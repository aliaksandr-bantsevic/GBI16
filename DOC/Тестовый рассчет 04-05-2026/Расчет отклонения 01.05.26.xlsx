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 defaultThemeVersion="124226"/>
  <xr:revisionPtr revIDLastSave="0" documentId="13_ncr:1_{306ADCE6-A5CE-46C5-990C-A6E1A440A134}" xr6:coauthVersionLast="47" xr6:coauthVersionMax="47" xr10:uidLastSave="{00000000-0000-0000-0000-000000000000}"/>
  <bookViews>
    <workbookView xWindow="-98" yWindow="-98" windowWidth="23236" windowHeight="13875" tabRatio="793" activeTab="1" xr2:uid="{00000000-000D-0000-FFFF-FFFF00000000}"/>
  </bookViews>
  <sheets>
    <sheet name="Граф_Наблюдения" sheetId="3" r:id="rId1"/>
    <sheet name="&quot;0&quot; цикл 24.06" sheetId="1" r:id="rId2"/>
    <sheet name="21.10.24" sheetId="13" r:id="rId3"/>
    <sheet name="2" sheetId="14" r:id="rId4"/>
    <sheet name="3" sheetId="15" r:id="rId5"/>
    <sheet name="4" sheetId="17" r:id="rId6"/>
    <sheet name="5" sheetId="18" r:id="rId7"/>
    <sheet name="6" sheetId="19" r:id="rId8"/>
    <sheet name="7" sheetId="22" r:id="rId9"/>
    <sheet name="8" sheetId="21" r:id="rId10"/>
    <sheet name="9" sheetId="24" r:id="rId11"/>
    <sheet name="10" sheetId="25" r:id="rId12"/>
    <sheet name="11" sheetId="26" r:id="rId13"/>
    <sheet name="12" sheetId="27" r:id="rId14"/>
    <sheet name="13" sheetId="28" r:id="rId15"/>
    <sheet name="Лист1" sheetId="23" r:id="rId16"/>
  </sheets>
  <definedNames>
    <definedName name="I1.18" localSheetId="8">'7'!#REF!</definedName>
    <definedName name="I1.18" localSheetId="9">'8'!#REF!</definedName>
    <definedName name="I1.18" localSheetId="10">'9'!#REF!</definedName>
    <definedName name="I1.18_1" localSheetId="8">'7'!#REF!</definedName>
    <definedName name="I1.18_1" localSheetId="9">'8'!#REF!</definedName>
    <definedName name="I1.18_1" localSheetId="10">'9'!#REF!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5" i="13" l="1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I124" i="13" s="1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E124" i="13" s="1"/>
  <c r="J125" i="13"/>
  <c r="M125" i="13" s="1"/>
  <c r="H125" i="13"/>
  <c r="D125" i="13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E122" i="1" s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I122" i="1" s="1"/>
  <c r="E121" i="1" l="1"/>
  <c r="E120" i="1" s="1"/>
  <c r="E119" i="1" s="1"/>
  <c r="E118" i="1" s="1"/>
  <c r="E117" i="1" s="1"/>
  <c r="E116" i="1" s="1"/>
  <c r="E115" i="1" s="1"/>
  <c r="E114" i="1" s="1"/>
  <c r="E113" i="1" s="1"/>
  <c r="E112" i="1" s="1"/>
  <c r="E111" i="1" s="1"/>
  <c r="E110" i="1" s="1"/>
  <c r="E109" i="1" s="1"/>
  <c r="E108" i="1" s="1"/>
  <c r="E107" i="1" s="1"/>
  <c r="E106" i="1" s="1"/>
  <c r="E105" i="1" s="1"/>
  <c r="E104" i="1" s="1"/>
  <c r="E103" i="1" s="1"/>
  <c r="E102" i="1" s="1"/>
  <c r="E101" i="1" s="1"/>
  <c r="E100" i="1" s="1"/>
  <c r="E99" i="1" s="1"/>
  <c r="E98" i="1" s="1"/>
  <c r="E97" i="1" s="1"/>
  <c r="E96" i="1" s="1"/>
  <c r="E95" i="1" s="1"/>
  <c r="E94" i="1" s="1"/>
  <c r="E93" i="1" s="1"/>
  <c r="E92" i="1" s="1"/>
  <c r="E91" i="1" s="1"/>
  <c r="E90" i="1" s="1"/>
  <c r="E89" i="1" s="1"/>
  <c r="E88" i="1" s="1"/>
  <c r="E87" i="1" s="1"/>
  <c r="E86" i="1" s="1"/>
  <c r="E85" i="1" s="1"/>
  <c r="E84" i="1" s="1"/>
  <c r="E83" i="1" s="1"/>
  <c r="E82" i="1" s="1"/>
  <c r="E81" i="1" s="1"/>
  <c r="E80" i="1" s="1"/>
  <c r="E79" i="1" s="1"/>
  <c r="E78" i="1" s="1"/>
  <c r="E77" i="1" s="1"/>
  <c r="E76" i="1" s="1"/>
  <c r="E75" i="1" s="1"/>
  <c r="E74" i="1" s="1"/>
  <c r="E73" i="1" s="1"/>
  <c r="E72" i="1" s="1"/>
  <c r="E71" i="1" s="1"/>
  <c r="E70" i="1" s="1"/>
  <c r="E69" i="1" s="1"/>
  <c r="E68" i="1" s="1"/>
  <c r="E67" i="1" s="1"/>
  <c r="E66" i="1" s="1"/>
  <c r="E65" i="1" s="1"/>
  <c r="E64" i="1" s="1"/>
  <c r="E63" i="1" s="1"/>
  <c r="E62" i="1" s="1"/>
  <c r="E61" i="1" s="1"/>
  <c r="E60" i="1" s="1"/>
  <c r="E59" i="1" s="1"/>
  <c r="E58" i="1" s="1"/>
  <c r="E57" i="1" s="1"/>
  <c r="E56" i="1" s="1"/>
  <c r="E55" i="1" s="1"/>
  <c r="J124" i="13"/>
  <c r="K124" i="13" s="1"/>
  <c r="L124" i="13" s="1"/>
  <c r="M124" i="13" s="1"/>
  <c r="I123" i="13"/>
  <c r="I122" i="13" s="1"/>
  <c r="E123" i="13"/>
  <c r="E122" i="13" s="1"/>
  <c r="E121" i="13" s="1"/>
  <c r="E120" i="13" s="1"/>
  <c r="E119" i="13" s="1"/>
  <c r="E118" i="13" s="1"/>
  <c r="E117" i="13" s="1"/>
  <c r="E116" i="13" s="1"/>
  <c r="E115" i="13" s="1"/>
  <c r="E114" i="13" s="1"/>
  <c r="E113" i="13" s="1"/>
  <c r="E112" i="13" s="1"/>
  <c r="E111" i="13" s="1"/>
  <c r="E110" i="13" s="1"/>
  <c r="E109" i="13" s="1"/>
  <c r="E108" i="13" s="1"/>
  <c r="E107" i="13" s="1"/>
  <c r="E106" i="13" s="1"/>
  <c r="E105" i="13" s="1"/>
  <c r="E104" i="13" s="1"/>
  <c r="E103" i="13" s="1"/>
  <c r="E102" i="13" s="1"/>
  <c r="E101" i="13" s="1"/>
  <c r="E100" i="13" s="1"/>
  <c r="E99" i="13" s="1"/>
  <c r="E98" i="13" s="1"/>
  <c r="E97" i="13" s="1"/>
  <c r="E96" i="13" s="1"/>
  <c r="E95" i="13" s="1"/>
  <c r="E94" i="13" s="1"/>
  <c r="E93" i="13" s="1"/>
  <c r="E92" i="13" s="1"/>
  <c r="E91" i="13" s="1"/>
  <c r="E90" i="13" s="1"/>
  <c r="E89" i="13" s="1"/>
  <c r="E88" i="13" s="1"/>
  <c r="E87" i="13" s="1"/>
  <c r="E86" i="13" s="1"/>
  <c r="E85" i="13" s="1"/>
  <c r="E84" i="13" s="1"/>
  <c r="E83" i="13" s="1"/>
  <c r="E82" i="13" s="1"/>
  <c r="E81" i="13" s="1"/>
  <c r="E80" i="13" s="1"/>
  <c r="E79" i="13" s="1"/>
  <c r="E78" i="13" s="1"/>
  <c r="E77" i="13" s="1"/>
  <c r="E76" i="13" s="1"/>
  <c r="E75" i="13" s="1"/>
  <c r="E74" i="13" s="1"/>
  <c r="E73" i="13" s="1"/>
  <c r="E72" i="13" s="1"/>
  <c r="E71" i="13" s="1"/>
  <c r="E70" i="13" s="1"/>
  <c r="E69" i="13" s="1"/>
  <c r="E68" i="13" s="1"/>
  <c r="E67" i="13" s="1"/>
  <c r="E66" i="13" s="1"/>
  <c r="E65" i="13" s="1"/>
  <c r="E64" i="13" s="1"/>
  <c r="E63" i="13" s="1"/>
  <c r="E62" i="13" s="1"/>
  <c r="E61" i="13" s="1"/>
  <c r="E60" i="13" s="1"/>
  <c r="E59" i="13" s="1"/>
  <c r="E58" i="13" s="1"/>
  <c r="E57" i="13" s="1"/>
  <c r="E56" i="13" s="1"/>
  <c r="E55" i="13" s="1"/>
  <c r="N125" i="13"/>
  <c r="J123" i="1"/>
  <c r="J122" i="1" l="1"/>
  <c r="K122" i="1" s="1"/>
  <c r="L122" i="1" s="1"/>
  <c r="N124" i="13"/>
  <c r="J122" i="13"/>
  <c r="K122" i="13" s="1"/>
  <c r="L122" i="13" s="1"/>
  <c r="I121" i="13"/>
  <c r="J123" i="13"/>
  <c r="K123" i="13" s="1"/>
  <c r="L123" i="13" s="1"/>
  <c r="O125" i="13"/>
  <c r="P125" i="13"/>
  <c r="K123" i="1"/>
  <c r="L123" i="1" s="1"/>
  <c r="N123" i="1" s="1"/>
  <c r="Q123" i="1" s="1"/>
  <c r="Q125" i="13" l="1"/>
  <c r="R125" i="13" s="1"/>
  <c r="S125" i="13" s="1"/>
  <c r="T125" i="13" s="1"/>
  <c r="I121" i="1"/>
  <c r="J121" i="1" s="1"/>
  <c r="K121" i="1" s="1"/>
  <c r="L121" i="1" s="1"/>
  <c r="P124" i="13"/>
  <c r="O124" i="13"/>
  <c r="M123" i="13"/>
  <c r="N123" i="13"/>
  <c r="J121" i="13"/>
  <c r="K121" i="13" s="1"/>
  <c r="L121" i="13" s="1"/>
  <c r="I120" i="13"/>
  <c r="M122" i="13"/>
  <c r="N122" i="13"/>
  <c r="M123" i="1"/>
  <c r="P123" i="1" s="1"/>
  <c r="R123" i="1" s="1"/>
  <c r="S123" i="1" s="1"/>
  <c r="T123" i="1" s="1"/>
  <c r="Q124" i="13"/>
  <c r="N122" i="1"/>
  <c r="M122" i="1"/>
  <c r="P122" i="1" s="1"/>
  <c r="I120" i="1" l="1"/>
  <c r="J120" i="1" s="1"/>
  <c r="K120" i="1" s="1"/>
  <c r="L120" i="1" s="1"/>
  <c r="P122" i="13"/>
  <c r="R124" i="13"/>
  <c r="S124" i="13" s="1"/>
  <c r="T124" i="13" s="1"/>
  <c r="P123" i="13"/>
  <c r="J120" i="13"/>
  <c r="I119" i="13"/>
  <c r="N121" i="13"/>
  <c r="M121" i="13"/>
  <c r="O123" i="13"/>
  <c r="Q123" i="13"/>
  <c r="Q122" i="13"/>
  <c r="O122" i="13"/>
  <c r="O123" i="1"/>
  <c r="O122" i="1"/>
  <c r="Q122" i="1"/>
  <c r="R122" i="1" s="1"/>
  <c r="S122" i="1" s="1"/>
  <c r="T122" i="1" s="1"/>
  <c r="N121" i="1"/>
  <c r="M121" i="1"/>
  <c r="P121" i="1" s="1"/>
  <c r="I119" i="1" l="1"/>
  <c r="J119" i="1" s="1"/>
  <c r="K119" i="1" s="1"/>
  <c r="L119" i="1" s="1"/>
  <c r="R122" i="13"/>
  <c r="S122" i="13" s="1"/>
  <c r="T122" i="13" s="1"/>
  <c r="R123" i="13"/>
  <c r="S123" i="13" s="1"/>
  <c r="T123" i="13" s="1"/>
  <c r="P121" i="13"/>
  <c r="O121" i="13"/>
  <c r="Q121" i="13"/>
  <c r="J119" i="13"/>
  <c r="I118" i="13"/>
  <c r="K120" i="13"/>
  <c r="L120" i="13" s="1"/>
  <c r="M120" i="13" s="1"/>
  <c r="O121" i="1"/>
  <c r="Q121" i="1"/>
  <c r="R121" i="1" s="1"/>
  <c r="S121" i="1" s="1"/>
  <c r="T121" i="1" s="1"/>
  <c r="N120" i="1"/>
  <c r="M120" i="1"/>
  <c r="P120" i="1" s="1"/>
  <c r="I118" i="1" l="1"/>
  <c r="R121" i="13"/>
  <c r="S121" i="13" s="1"/>
  <c r="T121" i="13" s="1"/>
  <c r="P120" i="13"/>
  <c r="K119" i="13"/>
  <c r="L119" i="13" s="1"/>
  <c r="M119" i="13" s="1"/>
  <c r="N120" i="13"/>
  <c r="J118" i="13"/>
  <c r="K118" i="13" s="1"/>
  <c r="L118" i="13" s="1"/>
  <c r="I117" i="13"/>
  <c r="Q120" i="1"/>
  <c r="R120" i="1" s="1"/>
  <c r="S120" i="1" s="1"/>
  <c r="T120" i="1" s="1"/>
  <c r="O120" i="1"/>
  <c r="J118" i="1"/>
  <c r="K118" i="1" s="1"/>
  <c r="L118" i="1" s="1"/>
  <c r="I117" i="1"/>
  <c r="N119" i="1"/>
  <c r="M119" i="1"/>
  <c r="P119" i="1" s="1"/>
  <c r="P119" i="13" l="1"/>
  <c r="J117" i="13"/>
  <c r="K117" i="13" s="1"/>
  <c r="L117" i="13" s="1"/>
  <c r="I116" i="13"/>
  <c r="M118" i="13"/>
  <c r="N118" i="13"/>
  <c r="O120" i="13"/>
  <c r="Q120" i="13"/>
  <c r="R120" i="13" s="1"/>
  <c r="S120" i="13" s="1"/>
  <c r="T120" i="13" s="1"/>
  <c r="N119" i="13"/>
  <c r="J117" i="1"/>
  <c r="K117" i="1" s="1"/>
  <c r="L117" i="1" s="1"/>
  <c r="I116" i="1"/>
  <c r="N118" i="1"/>
  <c r="M118" i="1"/>
  <c r="P118" i="1" s="1"/>
  <c r="O119" i="1"/>
  <c r="Q119" i="1"/>
  <c r="R119" i="1" s="1"/>
  <c r="S119" i="1" s="1"/>
  <c r="T119" i="1" s="1"/>
  <c r="P118" i="13" l="1"/>
  <c r="I115" i="13"/>
  <c r="J116" i="13"/>
  <c r="O118" i="13"/>
  <c r="Q118" i="13"/>
  <c r="N117" i="13"/>
  <c r="M117" i="13"/>
  <c r="Q119" i="13"/>
  <c r="R119" i="13" s="1"/>
  <c r="S119" i="13" s="1"/>
  <c r="T119" i="13" s="1"/>
  <c r="O119" i="13"/>
  <c r="O118" i="1"/>
  <c r="Q118" i="1"/>
  <c r="R118" i="1" s="1"/>
  <c r="S118" i="1" s="1"/>
  <c r="T118" i="1" s="1"/>
  <c r="J116" i="1"/>
  <c r="K116" i="1" s="1"/>
  <c r="L116" i="1" s="1"/>
  <c r="I115" i="1"/>
  <c r="N117" i="1"/>
  <c r="M117" i="1"/>
  <c r="P117" i="1" s="1"/>
  <c r="R118" i="13" l="1"/>
  <c r="S118" i="13" s="1"/>
  <c r="T118" i="13" s="1"/>
  <c r="P117" i="13"/>
  <c r="O117" i="13"/>
  <c r="Q117" i="13"/>
  <c r="J115" i="13"/>
  <c r="K115" i="13" s="1"/>
  <c r="L115" i="13" s="1"/>
  <c r="I114" i="13"/>
  <c r="K116" i="13"/>
  <c r="L116" i="13" s="1"/>
  <c r="M116" i="13" s="1"/>
  <c r="O117" i="1"/>
  <c r="Q117" i="1"/>
  <c r="R117" i="1" s="1"/>
  <c r="S117" i="1" s="1"/>
  <c r="T117" i="1" s="1"/>
  <c r="N116" i="1"/>
  <c r="M116" i="1"/>
  <c r="P116" i="1" s="1"/>
  <c r="J115" i="1"/>
  <c r="K115" i="1" s="1"/>
  <c r="L115" i="1" s="1"/>
  <c r="I114" i="1"/>
  <c r="P116" i="13" l="1"/>
  <c r="R117" i="13"/>
  <c r="S117" i="13" s="1"/>
  <c r="T117" i="13" s="1"/>
  <c r="N116" i="13"/>
  <c r="J114" i="13"/>
  <c r="K114" i="13" s="1"/>
  <c r="L114" i="13" s="1"/>
  <c r="I113" i="13"/>
  <c r="M115" i="13"/>
  <c r="N115" i="13"/>
  <c r="J114" i="1"/>
  <c r="K114" i="1" s="1"/>
  <c r="L114" i="1" s="1"/>
  <c r="I113" i="1"/>
  <c r="Q116" i="1"/>
  <c r="R116" i="1" s="1"/>
  <c r="S116" i="1" s="1"/>
  <c r="T116" i="1" s="1"/>
  <c r="O116" i="1"/>
  <c r="N115" i="1"/>
  <c r="M115" i="1"/>
  <c r="P115" i="1" s="1"/>
  <c r="P115" i="13" l="1"/>
  <c r="Q115" i="13"/>
  <c r="O115" i="13"/>
  <c r="J113" i="13"/>
  <c r="I112" i="13"/>
  <c r="M114" i="13"/>
  <c r="N114" i="13"/>
  <c r="O116" i="13"/>
  <c r="Q116" i="13"/>
  <c r="R116" i="13" s="1"/>
  <c r="S116" i="13" s="1"/>
  <c r="T116" i="13" s="1"/>
  <c r="J113" i="1"/>
  <c r="K113" i="1" s="1"/>
  <c r="L113" i="1" s="1"/>
  <c r="I112" i="1"/>
  <c r="O115" i="1"/>
  <c r="Q115" i="1"/>
  <c r="R115" i="1" s="1"/>
  <c r="S115" i="1" s="1"/>
  <c r="T115" i="1" s="1"/>
  <c r="N114" i="1"/>
  <c r="M114" i="1"/>
  <c r="P114" i="1" s="1"/>
  <c r="P114" i="13" l="1"/>
  <c r="R115" i="13"/>
  <c r="S115" i="13" s="1"/>
  <c r="T115" i="13" s="1"/>
  <c r="Q114" i="13"/>
  <c r="O114" i="13"/>
  <c r="K113" i="13"/>
  <c r="L113" i="13" s="1"/>
  <c r="N113" i="13" s="1"/>
  <c r="J112" i="13"/>
  <c r="K112" i="13" s="1"/>
  <c r="L112" i="13" s="1"/>
  <c r="I111" i="13"/>
  <c r="O114" i="1"/>
  <c r="Q114" i="1"/>
  <c r="R114" i="1" s="1"/>
  <c r="S114" i="1" s="1"/>
  <c r="T114" i="1" s="1"/>
  <c r="J112" i="1"/>
  <c r="K112" i="1" s="1"/>
  <c r="L112" i="1" s="1"/>
  <c r="I111" i="1"/>
  <c r="N113" i="1"/>
  <c r="M113" i="1"/>
  <c r="P113" i="1" s="1"/>
  <c r="R114" i="13" l="1"/>
  <c r="S114" i="13" s="1"/>
  <c r="T114" i="13" s="1"/>
  <c r="Q113" i="13"/>
  <c r="I110" i="13"/>
  <c r="J111" i="13"/>
  <c r="M113" i="13"/>
  <c r="P113" i="13" s="1"/>
  <c r="M112" i="13"/>
  <c r="N112" i="13"/>
  <c r="O113" i="1"/>
  <c r="Q113" i="1"/>
  <c r="R113" i="1" s="1"/>
  <c r="S113" i="1" s="1"/>
  <c r="T113" i="1" s="1"/>
  <c r="I110" i="1"/>
  <c r="J111" i="1"/>
  <c r="N112" i="1"/>
  <c r="M112" i="1"/>
  <c r="P112" i="1" s="1"/>
  <c r="P112" i="13" l="1"/>
  <c r="R113" i="13"/>
  <c r="S113" i="13" s="1"/>
  <c r="T113" i="13" s="1"/>
  <c r="O112" i="13"/>
  <c r="Q112" i="13"/>
  <c r="K111" i="13"/>
  <c r="L111" i="13" s="1"/>
  <c r="M111" i="13" s="1"/>
  <c r="J110" i="13"/>
  <c r="I109" i="13"/>
  <c r="O113" i="13"/>
  <c r="Q112" i="1"/>
  <c r="R112" i="1" s="1"/>
  <c r="S112" i="1" s="1"/>
  <c r="T112" i="1" s="1"/>
  <c r="O112" i="1"/>
  <c r="K111" i="1"/>
  <c r="L111" i="1" s="1"/>
  <c r="M111" i="1" s="1"/>
  <c r="P111" i="1" s="1"/>
  <c r="J110" i="1"/>
  <c r="K110" i="1" s="1"/>
  <c r="L110" i="1" s="1"/>
  <c r="I109" i="1"/>
  <c r="R112" i="13" l="1"/>
  <c r="S112" i="13" s="1"/>
  <c r="T112" i="13" s="1"/>
  <c r="P111" i="13"/>
  <c r="N111" i="13"/>
  <c r="I108" i="13"/>
  <c r="J109" i="13"/>
  <c r="K110" i="13"/>
  <c r="L110" i="13" s="1"/>
  <c r="N110" i="13" s="1"/>
  <c r="N110" i="1"/>
  <c r="M110" i="1"/>
  <c r="P110" i="1" s="1"/>
  <c r="N111" i="1"/>
  <c r="J109" i="1"/>
  <c r="I108" i="1"/>
  <c r="Q110" i="13" l="1"/>
  <c r="K109" i="13"/>
  <c r="L109" i="13" s="1"/>
  <c r="N109" i="13" s="1"/>
  <c r="J108" i="13"/>
  <c r="K108" i="13" s="1"/>
  <c r="L108" i="13" s="1"/>
  <c r="I107" i="13"/>
  <c r="Q111" i="13"/>
  <c r="R111" i="13" s="1"/>
  <c r="S111" i="13" s="1"/>
  <c r="T111" i="13" s="1"/>
  <c r="O111" i="13"/>
  <c r="M110" i="13"/>
  <c r="P110" i="13" s="1"/>
  <c r="K109" i="1"/>
  <c r="L109" i="1" s="1"/>
  <c r="M109" i="1" s="1"/>
  <c r="P109" i="1" s="1"/>
  <c r="J108" i="1"/>
  <c r="K108" i="1" s="1"/>
  <c r="L108" i="1" s="1"/>
  <c r="I107" i="1"/>
  <c r="O111" i="1"/>
  <c r="Q111" i="1"/>
  <c r="R111" i="1" s="1"/>
  <c r="S111" i="1" s="1"/>
  <c r="T111" i="1" s="1"/>
  <c r="Q110" i="1"/>
  <c r="R110" i="1" s="1"/>
  <c r="S110" i="1" s="1"/>
  <c r="T110" i="1" s="1"/>
  <c r="O110" i="1"/>
  <c r="M108" i="13" l="1"/>
  <c r="N108" i="13"/>
  <c r="R110" i="13"/>
  <c r="S110" i="13" s="1"/>
  <c r="T110" i="13" s="1"/>
  <c r="M109" i="13"/>
  <c r="P109" i="13" s="1"/>
  <c r="J107" i="13"/>
  <c r="I106" i="13"/>
  <c r="O110" i="13"/>
  <c r="N109" i="1"/>
  <c r="O109" i="1" s="1"/>
  <c r="J107" i="1"/>
  <c r="K107" i="1" s="1"/>
  <c r="L107" i="1" s="1"/>
  <c r="I106" i="1"/>
  <c r="N108" i="1"/>
  <c r="M108" i="1"/>
  <c r="P108" i="1" s="1"/>
  <c r="P108" i="13" l="1"/>
  <c r="Q109" i="13"/>
  <c r="R109" i="13" s="1"/>
  <c r="S109" i="13" s="1"/>
  <c r="T109" i="13" s="1"/>
  <c r="K107" i="13"/>
  <c r="L107" i="13" s="1"/>
  <c r="M107" i="13" s="1"/>
  <c r="O108" i="13"/>
  <c r="Q108" i="13"/>
  <c r="J106" i="13"/>
  <c r="I105" i="13"/>
  <c r="O109" i="13"/>
  <c r="Q109" i="1"/>
  <c r="R109" i="1" s="1"/>
  <c r="S109" i="1" s="1"/>
  <c r="T109" i="1" s="1"/>
  <c r="J106" i="1"/>
  <c r="K106" i="1" s="1"/>
  <c r="L106" i="1" s="1"/>
  <c r="I105" i="1"/>
  <c r="M107" i="1"/>
  <c r="P107" i="1" s="1"/>
  <c r="N107" i="1"/>
  <c r="Q108" i="1"/>
  <c r="R108" i="1" s="1"/>
  <c r="S108" i="1" s="1"/>
  <c r="T108" i="1" s="1"/>
  <c r="O108" i="1"/>
  <c r="R108" i="13" l="1"/>
  <c r="S108" i="13" s="1"/>
  <c r="T108" i="13" s="1"/>
  <c r="P107" i="13"/>
  <c r="N107" i="13"/>
  <c r="K106" i="13"/>
  <c r="L106" i="13" s="1"/>
  <c r="N106" i="13" s="1"/>
  <c r="I104" i="13"/>
  <c r="J105" i="13"/>
  <c r="J105" i="1"/>
  <c r="K105" i="1" s="1"/>
  <c r="L105" i="1" s="1"/>
  <c r="I104" i="1"/>
  <c r="O107" i="1"/>
  <c r="Q107" i="1"/>
  <c r="R107" i="1" s="1"/>
  <c r="S107" i="1" s="1"/>
  <c r="T107" i="1" s="1"/>
  <c r="N106" i="1"/>
  <c r="M106" i="1"/>
  <c r="P106" i="1" s="1"/>
  <c r="Q106" i="13" l="1"/>
  <c r="K105" i="13"/>
  <c r="L105" i="13" s="1"/>
  <c r="M105" i="13" s="1"/>
  <c r="J104" i="13"/>
  <c r="K104" i="13" s="1"/>
  <c r="L104" i="13" s="1"/>
  <c r="I103" i="13"/>
  <c r="O107" i="13"/>
  <c r="Q107" i="13"/>
  <c r="R107" i="13" s="1"/>
  <c r="S107" i="13" s="1"/>
  <c r="T107" i="13" s="1"/>
  <c r="M106" i="13"/>
  <c r="P106" i="13" s="1"/>
  <c r="Q106" i="1"/>
  <c r="R106" i="1" s="1"/>
  <c r="S106" i="1" s="1"/>
  <c r="T106" i="1" s="1"/>
  <c r="O106" i="1"/>
  <c r="J104" i="1"/>
  <c r="K104" i="1" s="1"/>
  <c r="L104" i="1" s="1"/>
  <c r="I103" i="1"/>
  <c r="M105" i="1"/>
  <c r="P105" i="1" s="1"/>
  <c r="N105" i="1"/>
  <c r="R106" i="13" l="1"/>
  <c r="S106" i="13" s="1"/>
  <c r="T106" i="13" s="1"/>
  <c r="P105" i="13"/>
  <c r="M104" i="13"/>
  <c r="N104" i="13"/>
  <c r="N105" i="13"/>
  <c r="J103" i="13"/>
  <c r="I102" i="13"/>
  <c r="O106" i="13"/>
  <c r="O105" i="1"/>
  <c r="Q105" i="1"/>
  <c r="R105" i="1" s="1"/>
  <c r="S105" i="1" s="1"/>
  <c r="T105" i="1" s="1"/>
  <c r="J103" i="1"/>
  <c r="K103" i="1" s="1"/>
  <c r="L103" i="1" s="1"/>
  <c r="I102" i="1"/>
  <c r="N104" i="1"/>
  <c r="M104" i="1"/>
  <c r="P104" i="1" s="1"/>
  <c r="P104" i="13" l="1"/>
  <c r="K103" i="13"/>
  <c r="L103" i="13" s="1"/>
  <c r="M103" i="13" s="1"/>
  <c r="O105" i="13"/>
  <c r="Q105" i="13"/>
  <c r="R105" i="13" s="1"/>
  <c r="S105" i="13" s="1"/>
  <c r="T105" i="13" s="1"/>
  <c r="J102" i="13"/>
  <c r="K102" i="13" s="1"/>
  <c r="L102" i="13" s="1"/>
  <c r="I101" i="13"/>
  <c r="O104" i="13"/>
  <c r="Q104" i="13"/>
  <c r="R104" i="13" s="1"/>
  <c r="S104" i="13" s="1"/>
  <c r="T104" i="13" s="1"/>
  <c r="J102" i="1"/>
  <c r="K102" i="1" s="1"/>
  <c r="L102" i="1" s="1"/>
  <c r="I101" i="1"/>
  <c r="Q104" i="1"/>
  <c r="R104" i="1" s="1"/>
  <c r="S104" i="1" s="1"/>
  <c r="T104" i="1" s="1"/>
  <c r="O104" i="1"/>
  <c r="M103" i="1"/>
  <c r="P103" i="1" s="1"/>
  <c r="N103" i="1"/>
  <c r="P103" i="13" l="1"/>
  <c r="I100" i="13"/>
  <c r="J101" i="13"/>
  <c r="N102" i="13"/>
  <c r="M102" i="13"/>
  <c r="N103" i="13"/>
  <c r="O103" i="1"/>
  <c r="Q103" i="1"/>
  <c r="R103" i="1" s="1"/>
  <c r="S103" i="1" s="1"/>
  <c r="T103" i="1" s="1"/>
  <c r="J101" i="1"/>
  <c r="K101" i="1" s="1"/>
  <c r="L101" i="1" s="1"/>
  <c r="I100" i="1"/>
  <c r="N102" i="1"/>
  <c r="M102" i="1"/>
  <c r="P102" i="1" s="1"/>
  <c r="P102" i="13" l="1"/>
  <c r="Q103" i="13"/>
  <c r="R103" i="13" s="1"/>
  <c r="S103" i="13" s="1"/>
  <c r="T103" i="13" s="1"/>
  <c r="O103" i="13"/>
  <c r="O102" i="13"/>
  <c r="Q102" i="13"/>
  <c r="J100" i="13"/>
  <c r="I99" i="13"/>
  <c r="K101" i="13"/>
  <c r="L101" i="13" s="1"/>
  <c r="M101" i="13" s="1"/>
  <c r="M101" i="1"/>
  <c r="P101" i="1" s="1"/>
  <c r="N101" i="1"/>
  <c r="Q102" i="1"/>
  <c r="R102" i="1" s="1"/>
  <c r="S102" i="1" s="1"/>
  <c r="T102" i="1" s="1"/>
  <c r="O102" i="1"/>
  <c r="J100" i="1"/>
  <c r="I99" i="1"/>
  <c r="P101" i="13" l="1"/>
  <c r="R102" i="13"/>
  <c r="S102" i="13" s="1"/>
  <c r="T102" i="13" s="1"/>
  <c r="N101" i="13"/>
  <c r="J99" i="13"/>
  <c r="K99" i="13" s="1"/>
  <c r="L99" i="13" s="1"/>
  <c r="I98" i="13"/>
  <c r="K100" i="13"/>
  <c r="L100" i="13" s="1"/>
  <c r="M100" i="13" s="1"/>
  <c r="J99" i="1"/>
  <c r="K99" i="1" s="1"/>
  <c r="L99" i="1" s="1"/>
  <c r="I98" i="1"/>
  <c r="O101" i="1"/>
  <c r="Q101" i="1"/>
  <c r="R101" i="1" s="1"/>
  <c r="S101" i="1" s="1"/>
  <c r="T101" i="1" s="1"/>
  <c r="K100" i="1"/>
  <c r="L100" i="1" s="1"/>
  <c r="M100" i="1" s="1"/>
  <c r="P100" i="1" s="1"/>
  <c r="P100" i="13" l="1"/>
  <c r="J98" i="13"/>
  <c r="K98" i="13" s="1"/>
  <c r="L98" i="13" s="1"/>
  <c r="I97" i="13"/>
  <c r="M99" i="13"/>
  <c r="N99" i="13"/>
  <c r="N100" i="13"/>
  <c r="O101" i="13"/>
  <c r="Q101" i="13"/>
  <c r="R101" i="13" s="1"/>
  <c r="S101" i="13" s="1"/>
  <c r="T101" i="13" s="1"/>
  <c r="N100" i="1"/>
  <c r="J98" i="1"/>
  <c r="K98" i="1" s="1"/>
  <c r="L98" i="1" s="1"/>
  <c r="I97" i="1"/>
  <c r="M99" i="1"/>
  <c r="P99" i="1" s="1"/>
  <c r="N99" i="1"/>
  <c r="P99" i="13" l="1"/>
  <c r="O99" i="13"/>
  <c r="Q99" i="13"/>
  <c r="I96" i="13"/>
  <c r="J97" i="13"/>
  <c r="N98" i="13"/>
  <c r="M98" i="13"/>
  <c r="Q100" i="13"/>
  <c r="R100" i="13" s="1"/>
  <c r="S100" i="13" s="1"/>
  <c r="T100" i="13" s="1"/>
  <c r="O100" i="13"/>
  <c r="N98" i="1"/>
  <c r="M98" i="1"/>
  <c r="P98" i="1" s="1"/>
  <c r="Q99" i="1"/>
  <c r="R99" i="1" s="1"/>
  <c r="S99" i="1" s="1"/>
  <c r="T99" i="1" s="1"/>
  <c r="O99" i="1"/>
  <c r="J97" i="1"/>
  <c r="K97" i="1" s="1"/>
  <c r="L97" i="1" s="1"/>
  <c r="I96" i="1"/>
  <c r="Q100" i="1"/>
  <c r="R100" i="1" s="1"/>
  <c r="S100" i="1" s="1"/>
  <c r="T100" i="1" s="1"/>
  <c r="O100" i="1"/>
  <c r="P98" i="13" l="1"/>
  <c r="R99" i="13"/>
  <c r="S99" i="13" s="1"/>
  <c r="T99" i="13" s="1"/>
  <c r="J96" i="13"/>
  <c r="K96" i="13" s="1"/>
  <c r="L96" i="13" s="1"/>
  <c r="I95" i="13"/>
  <c r="K97" i="13"/>
  <c r="L97" i="13" s="1"/>
  <c r="M97" i="13" s="1"/>
  <c r="O98" i="13"/>
  <c r="Q98" i="13"/>
  <c r="J96" i="1"/>
  <c r="K96" i="1" s="1"/>
  <c r="L96" i="1" s="1"/>
  <c r="I95" i="1"/>
  <c r="Q98" i="1"/>
  <c r="R98" i="1" s="1"/>
  <c r="S98" i="1" s="1"/>
  <c r="T98" i="1" s="1"/>
  <c r="O98" i="1"/>
  <c r="M97" i="1"/>
  <c r="P97" i="1" s="1"/>
  <c r="N97" i="1"/>
  <c r="R98" i="13" l="1"/>
  <c r="S98" i="13" s="1"/>
  <c r="T98" i="13" s="1"/>
  <c r="P97" i="13"/>
  <c r="N97" i="13"/>
  <c r="J95" i="13"/>
  <c r="K95" i="13" s="1"/>
  <c r="L95" i="13" s="1"/>
  <c r="I94" i="13"/>
  <c r="M96" i="13"/>
  <c r="N96" i="13"/>
  <c r="J95" i="1"/>
  <c r="K95" i="1" s="1"/>
  <c r="L95" i="1" s="1"/>
  <c r="I94" i="1"/>
  <c r="Q97" i="1"/>
  <c r="R97" i="1" s="1"/>
  <c r="S97" i="1" s="1"/>
  <c r="T97" i="1" s="1"/>
  <c r="O97" i="1"/>
  <c r="N96" i="1"/>
  <c r="M96" i="1"/>
  <c r="P96" i="1" s="1"/>
  <c r="P96" i="13" l="1"/>
  <c r="O96" i="13"/>
  <c r="Q96" i="13"/>
  <c r="J94" i="13"/>
  <c r="K94" i="13" s="1"/>
  <c r="L94" i="13" s="1"/>
  <c r="I93" i="13"/>
  <c r="M95" i="13"/>
  <c r="N95" i="13"/>
  <c r="O97" i="13"/>
  <c r="Q97" i="13"/>
  <c r="R97" i="13" s="1"/>
  <c r="S97" i="13" s="1"/>
  <c r="T97" i="13" s="1"/>
  <c r="Q96" i="1"/>
  <c r="R96" i="1" s="1"/>
  <c r="S96" i="1" s="1"/>
  <c r="T96" i="1" s="1"/>
  <c r="O96" i="1"/>
  <c r="J94" i="1"/>
  <c r="K94" i="1" s="1"/>
  <c r="L94" i="1" s="1"/>
  <c r="I93" i="1"/>
  <c r="M95" i="1"/>
  <c r="P95" i="1" s="1"/>
  <c r="N95" i="1"/>
  <c r="R96" i="13" l="1"/>
  <c r="S96" i="13" s="1"/>
  <c r="T96" i="13" s="1"/>
  <c r="P95" i="13"/>
  <c r="Q95" i="13"/>
  <c r="O95" i="13"/>
  <c r="I92" i="13"/>
  <c r="J93" i="13"/>
  <c r="N94" i="13"/>
  <c r="M94" i="13"/>
  <c r="O95" i="1"/>
  <c r="Q95" i="1"/>
  <c r="R95" i="1" s="1"/>
  <c r="S95" i="1" s="1"/>
  <c r="T95" i="1" s="1"/>
  <c r="J93" i="1"/>
  <c r="K93" i="1" s="1"/>
  <c r="L93" i="1" s="1"/>
  <c r="I92" i="1"/>
  <c r="N94" i="1"/>
  <c r="M94" i="1"/>
  <c r="P94" i="1" s="1"/>
  <c r="R95" i="13" l="1"/>
  <c r="S95" i="13" s="1"/>
  <c r="T95" i="13" s="1"/>
  <c r="P94" i="13"/>
  <c r="O94" i="13"/>
  <c r="Q94" i="13"/>
  <c r="K93" i="13"/>
  <c r="L93" i="13" s="1"/>
  <c r="M93" i="13" s="1"/>
  <c r="J92" i="13"/>
  <c r="K92" i="13" s="1"/>
  <c r="L92" i="13" s="1"/>
  <c r="I91" i="13"/>
  <c r="Q94" i="1"/>
  <c r="R94" i="1" s="1"/>
  <c r="S94" i="1" s="1"/>
  <c r="T94" i="1" s="1"/>
  <c r="O94" i="1"/>
  <c r="J92" i="1"/>
  <c r="K92" i="1" s="1"/>
  <c r="L92" i="1" s="1"/>
  <c r="I91" i="1"/>
  <c r="M93" i="1"/>
  <c r="P93" i="1" s="1"/>
  <c r="N93" i="1"/>
  <c r="R94" i="13" l="1"/>
  <c r="S94" i="13" s="1"/>
  <c r="T94" i="13" s="1"/>
  <c r="P93" i="13"/>
  <c r="M92" i="13"/>
  <c r="N92" i="13"/>
  <c r="N93" i="13"/>
  <c r="J91" i="13"/>
  <c r="K91" i="13" s="1"/>
  <c r="L91" i="13" s="1"/>
  <c r="I90" i="13"/>
  <c r="N92" i="1"/>
  <c r="M92" i="1"/>
  <c r="P92" i="1" s="1"/>
  <c r="Q93" i="1"/>
  <c r="R93" i="1" s="1"/>
  <c r="S93" i="1" s="1"/>
  <c r="T93" i="1" s="1"/>
  <c r="O93" i="1"/>
  <c r="J91" i="1"/>
  <c r="K91" i="1" s="1"/>
  <c r="L91" i="1" s="1"/>
  <c r="I90" i="1"/>
  <c r="P92" i="13" l="1"/>
  <c r="M91" i="13"/>
  <c r="N91" i="13"/>
  <c r="J90" i="13"/>
  <c r="I89" i="13"/>
  <c r="Q92" i="13"/>
  <c r="O92" i="13"/>
  <c r="O93" i="13"/>
  <c r="Q93" i="13"/>
  <c r="R93" i="13" s="1"/>
  <c r="S93" i="13" s="1"/>
  <c r="T93" i="13" s="1"/>
  <c r="M91" i="1"/>
  <c r="P91" i="1" s="1"/>
  <c r="N91" i="1"/>
  <c r="Q92" i="1"/>
  <c r="O92" i="1"/>
  <c r="J90" i="1"/>
  <c r="K90" i="1" s="1"/>
  <c r="L90" i="1" s="1"/>
  <c r="I89" i="1"/>
  <c r="R92" i="1"/>
  <c r="S92" i="1" s="1"/>
  <c r="T92" i="1" s="1"/>
  <c r="R92" i="13" l="1"/>
  <c r="S92" i="13" s="1"/>
  <c r="T92" i="13" s="1"/>
  <c r="P91" i="13"/>
  <c r="I88" i="13"/>
  <c r="J89" i="13"/>
  <c r="K89" i="13" s="1"/>
  <c r="L89" i="13" s="1"/>
  <c r="K90" i="13"/>
  <c r="L90" i="13" s="1"/>
  <c r="N90" i="13" s="1"/>
  <c r="O91" i="13"/>
  <c r="Q91" i="13"/>
  <c r="R91" i="13" s="1"/>
  <c r="S91" i="13" s="1"/>
  <c r="T91" i="13" s="1"/>
  <c r="N90" i="1"/>
  <c r="M90" i="1"/>
  <c r="P90" i="1" s="1"/>
  <c r="J89" i="1"/>
  <c r="K89" i="1" s="1"/>
  <c r="L89" i="1" s="1"/>
  <c r="I88" i="1"/>
  <c r="O91" i="1"/>
  <c r="Q91" i="1"/>
  <c r="R91" i="1" s="1"/>
  <c r="S91" i="1" s="1"/>
  <c r="T91" i="1" s="1"/>
  <c r="Q90" i="13" l="1"/>
  <c r="J88" i="13"/>
  <c r="K88" i="13" s="1"/>
  <c r="L88" i="13" s="1"/>
  <c r="I87" i="13"/>
  <c r="M89" i="13"/>
  <c r="N89" i="13"/>
  <c r="M90" i="13"/>
  <c r="P90" i="13" s="1"/>
  <c r="J88" i="1"/>
  <c r="K88" i="1" s="1"/>
  <c r="L88" i="1" s="1"/>
  <c r="I87" i="1"/>
  <c r="M89" i="1"/>
  <c r="P89" i="1" s="1"/>
  <c r="N89" i="1"/>
  <c r="Q90" i="1"/>
  <c r="R90" i="1" s="1"/>
  <c r="S90" i="1" s="1"/>
  <c r="T90" i="1" s="1"/>
  <c r="O90" i="1"/>
  <c r="R90" i="13" l="1"/>
  <c r="S90" i="13" s="1"/>
  <c r="T90" i="13" s="1"/>
  <c r="P89" i="13"/>
  <c r="O89" i="13"/>
  <c r="Q89" i="13"/>
  <c r="J87" i="13"/>
  <c r="K87" i="13" s="1"/>
  <c r="L87" i="13" s="1"/>
  <c r="I86" i="13"/>
  <c r="M88" i="13"/>
  <c r="N88" i="13"/>
  <c r="R89" i="13"/>
  <c r="S89" i="13" s="1"/>
  <c r="T89" i="13" s="1"/>
  <c r="O90" i="13"/>
  <c r="O89" i="1"/>
  <c r="Q89" i="1"/>
  <c r="R89" i="1" s="1"/>
  <c r="S89" i="1" s="1"/>
  <c r="T89" i="1" s="1"/>
  <c r="J87" i="1"/>
  <c r="K87" i="1" s="1"/>
  <c r="L87" i="1" s="1"/>
  <c r="I86" i="1"/>
  <c r="N88" i="1"/>
  <c r="M88" i="1"/>
  <c r="P88" i="1" s="1"/>
  <c r="P88" i="13" l="1"/>
  <c r="O88" i="13"/>
  <c r="Q88" i="13"/>
  <c r="J86" i="13"/>
  <c r="K86" i="13" s="1"/>
  <c r="L86" i="13" s="1"/>
  <c r="I85" i="13"/>
  <c r="M87" i="13"/>
  <c r="N87" i="13"/>
  <c r="J86" i="1"/>
  <c r="I85" i="1"/>
  <c r="Q88" i="1"/>
  <c r="R88" i="1" s="1"/>
  <c r="S88" i="1" s="1"/>
  <c r="T88" i="1" s="1"/>
  <c r="O88" i="1"/>
  <c r="M87" i="1"/>
  <c r="P87" i="1" s="1"/>
  <c r="N87" i="1"/>
  <c r="P87" i="13" l="1"/>
  <c r="R88" i="13"/>
  <c r="S88" i="13" s="1"/>
  <c r="T88" i="13" s="1"/>
  <c r="I84" i="13"/>
  <c r="J85" i="13"/>
  <c r="Q87" i="13"/>
  <c r="O87" i="13"/>
  <c r="N86" i="13"/>
  <c r="M86" i="13"/>
  <c r="J85" i="1"/>
  <c r="K85" i="1" s="1"/>
  <c r="L85" i="1" s="1"/>
  <c r="I84" i="1"/>
  <c r="O87" i="1"/>
  <c r="Q87" i="1"/>
  <c r="R87" i="1" s="1"/>
  <c r="S87" i="1" s="1"/>
  <c r="T87" i="1" s="1"/>
  <c r="K86" i="1"/>
  <c r="L86" i="1" s="1"/>
  <c r="M86" i="1" s="1"/>
  <c r="P86" i="1" s="1"/>
  <c r="R87" i="13" l="1"/>
  <c r="S87" i="13" s="1"/>
  <c r="T87" i="13" s="1"/>
  <c r="P86" i="13"/>
  <c r="O86" i="13"/>
  <c r="J84" i="13"/>
  <c r="I83" i="13"/>
  <c r="K85" i="13"/>
  <c r="L85" i="13" s="1"/>
  <c r="N85" i="13" s="1"/>
  <c r="N86" i="1"/>
  <c r="Q86" i="13" s="1"/>
  <c r="J84" i="1"/>
  <c r="K84" i="1" s="1"/>
  <c r="L84" i="1" s="1"/>
  <c r="I83" i="1"/>
  <c r="M85" i="1"/>
  <c r="P85" i="1" s="1"/>
  <c r="N85" i="1"/>
  <c r="R86" i="13" l="1"/>
  <c r="S86" i="13" s="1"/>
  <c r="T86" i="13" s="1"/>
  <c r="Q85" i="13"/>
  <c r="J83" i="13"/>
  <c r="K83" i="13" s="1"/>
  <c r="L83" i="13" s="1"/>
  <c r="I82" i="13"/>
  <c r="M85" i="13"/>
  <c r="P85" i="13" s="1"/>
  <c r="K84" i="13"/>
  <c r="L84" i="13" s="1"/>
  <c r="N84" i="13" s="1"/>
  <c r="Q85" i="1"/>
  <c r="R85" i="1" s="1"/>
  <c r="S85" i="1" s="1"/>
  <c r="T85" i="1" s="1"/>
  <c r="O85" i="1"/>
  <c r="J83" i="1"/>
  <c r="K83" i="1" s="1"/>
  <c r="L83" i="1" s="1"/>
  <c r="I82" i="1"/>
  <c r="Q86" i="1"/>
  <c r="R86" i="1" s="1"/>
  <c r="S86" i="1" s="1"/>
  <c r="T86" i="1" s="1"/>
  <c r="O86" i="1"/>
  <c r="N84" i="1"/>
  <c r="M84" i="1"/>
  <c r="P84" i="1" s="1"/>
  <c r="R85" i="13" l="1"/>
  <c r="S85" i="13" s="1"/>
  <c r="T85" i="13" s="1"/>
  <c r="Q84" i="13"/>
  <c r="M84" i="13"/>
  <c r="P84" i="13" s="1"/>
  <c r="J82" i="13"/>
  <c r="I81" i="13"/>
  <c r="M83" i="13"/>
  <c r="N83" i="13"/>
  <c r="O85" i="13"/>
  <c r="M83" i="1"/>
  <c r="P83" i="1" s="1"/>
  <c r="N83" i="1"/>
  <c r="J82" i="1"/>
  <c r="K82" i="1" s="1"/>
  <c r="L82" i="1" s="1"/>
  <c r="I81" i="1"/>
  <c r="Q84" i="1"/>
  <c r="R84" i="1" s="1"/>
  <c r="S84" i="1" s="1"/>
  <c r="T84" i="1" s="1"/>
  <c r="O84" i="1"/>
  <c r="R84" i="13" l="1"/>
  <c r="S84" i="13" s="1"/>
  <c r="T84" i="13" s="1"/>
  <c r="P83" i="13"/>
  <c r="O83" i="13"/>
  <c r="Q83" i="13"/>
  <c r="K82" i="13"/>
  <c r="L82" i="13" s="1"/>
  <c r="N82" i="13" s="1"/>
  <c r="O84" i="13"/>
  <c r="I80" i="13"/>
  <c r="J81" i="13"/>
  <c r="K81" i="13" s="1"/>
  <c r="L81" i="13" s="1"/>
  <c r="N82" i="1"/>
  <c r="M82" i="1"/>
  <c r="P82" i="1" s="1"/>
  <c r="Q83" i="1"/>
  <c r="O83" i="1"/>
  <c r="J81" i="1"/>
  <c r="I80" i="1"/>
  <c r="R83" i="1"/>
  <c r="S83" i="1" s="1"/>
  <c r="T83" i="1" s="1"/>
  <c r="R83" i="13" l="1"/>
  <c r="S83" i="13" s="1"/>
  <c r="T83" i="13" s="1"/>
  <c r="Q82" i="13"/>
  <c r="M82" i="13"/>
  <c r="P82" i="13" s="1"/>
  <c r="M81" i="13"/>
  <c r="N81" i="13"/>
  <c r="J80" i="13"/>
  <c r="K80" i="13" s="1"/>
  <c r="L80" i="13" s="1"/>
  <c r="I79" i="13"/>
  <c r="K81" i="1"/>
  <c r="L81" i="1" s="1"/>
  <c r="M81" i="1" s="1"/>
  <c r="P81" i="1" s="1"/>
  <c r="J80" i="1"/>
  <c r="K80" i="1" s="1"/>
  <c r="L80" i="1" s="1"/>
  <c r="I79" i="1"/>
  <c r="Q82" i="1"/>
  <c r="R82" i="1" s="1"/>
  <c r="S82" i="1" s="1"/>
  <c r="T82" i="1" s="1"/>
  <c r="O82" i="1"/>
  <c r="R82" i="13" l="1"/>
  <c r="S82" i="13" s="1"/>
  <c r="T82" i="13" s="1"/>
  <c r="P81" i="13"/>
  <c r="O82" i="13"/>
  <c r="J79" i="13"/>
  <c r="K79" i="13" s="1"/>
  <c r="L79" i="13" s="1"/>
  <c r="I78" i="13"/>
  <c r="O81" i="13"/>
  <c r="M80" i="13"/>
  <c r="N80" i="13"/>
  <c r="N80" i="1"/>
  <c r="M80" i="1"/>
  <c r="P80" i="1" s="1"/>
  <c r="J79" i="1"/>
  <c r="I78" i="1"/>
  <c r="N81" i="1"/>
  <c r="Q81" i="13" s="1"/>
  <c r="P80" i="13" l="1"/>
  <c r="R81" i="13"/>
  <c r="S81" i="13" s="1"/>
  <c r="T81" i="13" s="1"/>
  <c r="O80" i="13"/>
  <c r="Q80" i="13"/>
  <c r="J78" i="13"/>
  <c r="K78" i="13" s="1"/>
  <c r="L78" i="13" s="1"/>
  <c r="I77" i="13"/>
  <c r="M79" i="13"/>
  <c r="N79" i="13"/>
  <c r="Q81" i="1"/>
  <c r="R81" i="1" s="1"/>
  <c r="S81" i="1" s="1"/>
  <c r="T81" i="1" s="1"/>
  <c r="O81" i="1"/>
  <c r="K79" i="1"/>
  <c r="L79" i="1" s="1"/>
  <c r="M79" i="1" s="1"/>
  <c r="P79" i="1" s="1"/>
  <c r="J78" i="1"/>
  <c r="I77" i="1"/>
  <c r="Q80" i="1"/>
  <c r="R80" i="1" s="1"/>
  <c r="S80" i="1" s="1"/>
  <c r="T80" i="1" s="1"/>
  <c r="O80" i="1"/>
  <c r="P79" i="13" l="1"/>
  <c r="R80" i="13"/>
  <c r="S80" i="13" s="1"/>
  <c r="T80" i="13" s="1"/>
  <c r="I76" i="13"/>
  <c r="J77" i="13"/>
  <c r="O79" i="13"/>
  <c r="N78" i="13"/>
  <c r="M78" i="13"/>
  <c r="N79" i="1"/>
  <c r="Q79" i="13" s="1"/>
  <c r="K78" i="1"/>
  <c r="L78" i="1" s="1"/>
  <c r="N78" i="1" s="1"/>
  <c r="J77" i="1"/>
  <c r="K77" i="1" s="1"/>
  <c r="L77" i="1" s="1"/>
  <c r="I76" i="1"/>
  <c r="R79" i="13" l="1"/>
  <c r="S79" i="13" s="1"/>
  <c r="T79" i="13" s="1"/>
  <c r="O78" i="13"/>
  <c r="Q78" i="13"/>
  <c r="J76" i="13"/>
  <c r="I75" i="13"/>
  <c r="K77" i="13"/>
  <c r="L77" i="13" s="1"/>
  <c r="M77" i="13" s="1"/>
  <c r="Q78" i="1"/>
  <c r="J76" i="1"/>
  <c r="K76" i="1" s="1"/>
  <c r="L76" i="1" s="1"/>
  <c r="I75" i="1"/>
  <c r="M77" i="1"/>
  <c r="P77" i="1" s="1"/>
  <c r="N77" i="1"/>
  <c r="M78" i="1"/>
  <c r="P78" i="1" s="1"/>
  <c r="O79" i="1"/>
  <c r="Q79" i="1"/>
  <c r="R79" i="1" s="1"/>
  <c r="S79" i="1" s="1"/>
  <c r="T79" i="1" s="1"/>
  <c r="P77" i="13" l="1"/>
  <c r="P78" i="13"/>
  <c r="R78" i="13" s="1"/>
  <c r="S78" i="13" s="1"/>
  <c r="T78" i="13" s="1"/>
  <c r="R78" i="1"/>
  <c r="S78" i="1" s="1"/>
  <c r="T78" i="1" s="1"/>
  <c r="J75" i="13"/>
  <c r="K75" i="13" s="1"/>
  <c r="L75" i="13" s="1"/>
  <c r="I74" i="13"/>
  <c r="N77" i="13"/>
  <c r="K76" i="13"/>
  <c r="L76" i="13" s="1"/>
  <c r="M76" i="13" s="1"/>
  <c r="J75" i="1"/>
  <c r="K75" i="1" s="1"/>
  <c r="L75" i="1" s="1"/>
  <c r="I74" i="1"/>
  <c r="O78" i="1"/>
  <c r="Q77" i="1"/>
  <c r="R77" i="1" s="1"/>
  <c r="S77" i="1" s="1"/>
  <c r="T77" i="1" s="1"/>
  <c r="O77" i="1"/>
  <c r="N76" i="1"/>
  <c r="M76" i="1"/>
  <c r="P76" i="1" s="1"/>
  <c r="P76" i="13" l="1"/>
  <c r="O77" i="13"/>
  <c r="Q77" i="13"/>
  <c r="R77" i="13" s="1"/>
  <c r="S77" i="13" s="1"/>
  <c r="T77" i="13" s="1"/>
  <c r="N76" i="13"/>
  <c r="J74" i="13"/>
  <c r="I73" i="13"/>
  <c r="M75" i="13"/>
  <c r="N75" i="13"/>
  <c r="Q76" i="1"/>
  <c r="R76" i="1" s="1"/>
  <c r="S76" i="1" s="1"/>
  <c r="T76" i="1" s="1"/>
  <c r="O76" i="1"/>
  <c r="J74" i="1"/>
  <c r="K74" i="1" s="1"/>
  <c r="L74" i="1" s="1"/>
  <c r="I73" i="1"/>
  <c r="M75" i="1"/>
  <c r="P75" i="1" s="1"/>
  <c r="N75" i="1"/>
  <c r="P75" i="13" l="1"/>
  <c r="J73" i="13"/>
  <c r="K73" i="13" s="1"/>
  <c r="L73" i="13" s="1"/>
  <c r="I72" i="13"/>
  <c r="K74" i="13"/>
  <c r="L74" i="13" s="1"/>
  <c r="M74" i="13" s="1"/>
  <c r="Q76" i="13"/>
  <c r="R76" i="13" s="1"/>
  <c r="S76" i="13" s="1"/>
  <c r="T76" i="13" s="1"/>
  <c r="O76" i="13"/>
  <c r="O75" i="13"/>
  <c r="Q75" i="13"/>
  <c r="O75" i="1"/>
  <c r="Q75" i="1"/>
  <c r="R75" i="1" s="1"/>
  <c r="S75" i="1" s="1"/>
  <c r="T75" i="1" s="1"/>
  <c r="N74" i="1"/>
  <c r="M74" i="1"/>
  <c r="P74" i="1" s="1"/>
  <c r="J73" i="1"/>
  <c r="I72" i="1"/>
  <c r="R75" i="13" l="1"/>
  <c r="S75" i="13" s="1"/>
  <c r="T75" i="13" s="1"/>
  <c r="P74" i="13"/>
  <c r="J72" i="13"/>
  <c r="K72" i="13" s="1"/>
  <c r="L72" i="13" s="1"/>
  <c r="I71" i="13"/>
  <c r="N74" i="13"/>
  <c r="M73" i="13"/>
  <c r="N73" i="13"/>
  <c r="K73" i="1"/>
  <c r="L73" i="1" s="1"/>
  <c r="M73" i="1" s="1"/>
  <c r="P73" i="1" s="1"/>
  <c r="Q74" i="1"/>
  <c r="R74" i="1" s="1"/>
  <c r="S74" i="1" s="1"/>
  <c r="T74" i="1" s="1"/>
  <c r="O74" i="1"/>
  <c r="J72" i="1"/>
  <c r="I71" i="1"/>
  <c r="P73" i="13" l="1"/>
  <c r="O73" i="13"/>
  <c r="O74" i="13"/>
  <c r="Q74" i="13"/>
  <c r="R74" i="13" s="1"/>
  <c r="S74" i="13" s="1"/>
  <c r="T74" i="13" s="1"/>
  <c r="J71" i="13"/>
  <c r="I70" i="13"/>
  <c r="M72" i="13"/>
  <c r="N72" i="13"/>
  <c r="J71" i="1"/>
  <c r="K71" i="1" s="1"/>
  <c r="L71" i="1" s="1"/>
  <c r="I70" i="1"/>
  <c r="N73" i="1"/>
  <c r="Q73" i="13" s="1"/>
  <c r="K72" i="1"/>
  <c r="L72" i="1" s="1"/>
  <c r="M72" i="1" s="1"/>
  <c r="P72" i="1" s="1"/>
  <c r="R73" i="13" l="1"/>
  <c r="S73" i="13" s="1"/>
  <c r="T73" i="13" s="1"/>
  <c r="P72" i="13"/>
  <c r="J70" i="13"/>
  <c r="K70" i="13" s="1"/>
  <c r="L70" i="13" s="1"/>
  <c r="I69" i="13"/>
  <c r="K71" i="13"/>
  <c r="L71" i="13" s="1"/>
  <c r="M71" i="13" s="1"/>
  <c r="O72" i="13"/>
  <c r="J70" i="1"/>
  <c r="K70" i="1" s="1"/>
  <c r="L70" i="1" s="1"/>
  <c r="I69" i="1"/>
  <c r="M71" i="1"/>
  <c r="P71" i="1" s="1"/>
  <c r="N71" i="1"/>
  <c r="N72" i="1"/>
  <c r="Q72" i="13" s="1"/>
  <c r="R72" i="13" s="1"/>
  <c r="S72" i="13" s="1"/>
  <c r="T72" i="13" s="1"/>
  <c r="O73" i="1"/>
  <c r="Q73" i="1"/>
  <c r="R73" i="1" s="1"/>
  <c r="S73" i="1" s="1"/>
  <c r="T73" i="1" s="1"/>
  <c r="P71" i="13" l="1"/>
  <c r="N71" i="13"/>
  <c r="I68" i="13"/>
  <c r="J69" i="13"/>
  <c r="N70" i="13"/>
  <c r="M70" i="13"/>
  <c r="Q72" i="1"/>
  <c r="R72" i="1" s="1"/>
  <c r="S72" i="1" s="1"/>
  <c r="T72" i="1" s="1"/>
  <c r="O72" i="1"/>
  <c r="J69" i="1"/>
  <c r="K69" i="1" s="1"/>
  <c r="L69" i="1" s="1"/>
  <c r="I68" i="1"/>
  <c r="N70" i="1"/>
  <c r="M70" i="1"/>
  <c r="P70" i="1" s="1"/>
  <c r="O71" i="1"/>
  <c r="Q71" i="1"/>
  <c r="R71" i="1" s="1"/>
  <c r="S71" i="1" s="1"/>
  <c r="T71" i="1" s="1"/>
  <c r="P70" i="13" l="1"/>
  <c r="O70" i="13"/>
  <c r="Q70" i="13"/>
  <c r="Q71" i="13"/>
  <c r="R71" i="13" s="1"/>
  <c r="S71" i="13" s="1"/>
  <c r="T71" i="13" s="1"/>
  <c r="O71" i="13"/>
  <c r="J68" i="13"/>
  <c r="I67" i="13"/>
  <c r="K69" i="13"/>
  <c r="L69" i="13" s="1"/>
  <c r="M69" i="13" s="1"/>
  <c r="J68" i="1"/>
  <c r="K68" i="1" s="1"/>
  <c r="L68" i="1" s="1"/>
  <c r="I67" i="1"/>
  <c r="Q70" i="1"/>
  <c r="R70" i="1" s="1"/>
  <c r="S70" i="1" s="1"/>
  <c r="T70" i="1" s="1"/>
  <c r="O70" i="1"/>
  <c r="M69" i="1"/>
  <c r="P69" i="1" s="1"/>
  <c r="N69" i="1"/>
  <c r="R70" i="13" l="1"/>
  <c r="S70" i="13" s="1"/>
  <c r="T70" i="13" s="1"/>
  <c r="P69" i="13"/>
  <c r="N69" i="13"/>
  <c r="J67" i="13"/>
  <c r="K67" i="13" s="1"/>
  <c r="L67" i="13" s="1"/>
  <c r="I66" i="13"/>
  <c r="K68" i="13"/>
  <c r="L68" i="13" s="1"/>
  <c r="N68" i="13" s="1"/>
  <c r="Q69" i="1"/>
  <c r="O69" i="1"/>
  <c r="R69" i="1"/>
  <c r="S69" i="1" s="1"/>
  <c r="T69" i="1" s="1"/>
  <c r="J67" i="1"/>
  <c r="K67" i="1" s="1"/>
  <c r="L67" i="1" s="1"/>
  <c r="I66" i="1"/>
  <c r="N68" i="1"/>
  <c r="M68" i="1"/>
  <c r="P68" i="1" s="1"/>
  <c r="Q68" i="13" l="1"/>
  <c r="J66" i="13"/>
  <c r="K66" i="13" s="1"/>
  <c r="L66" i="13" s="1"/>
  <c r="I65" i="13"/>
  <c r="O69" i="13"/>
  <c r="Q69" i="13"/>
  <c r="R69" i="13" s="1"/>
  <c r="S69" i="13" s="1"/>
  <c r="T69" i="13" s="1"/>
  <c r="M68" i="13"/>
  <c r="P68" i="13" s="1"/>
  <c r="M67" i="13"/>
  <c r="N67" i="13"/>
  <c r="Q68" i="1"/>
  <c r="R68" i="1" s="1"/>
  <c r="S68" i="1" s="1"/>
  <c r="T68" i="1" s="1"/>
  <c r="O68" i="1"/>
  <c r="J66" i="1"/>
  <c r="K66" i="1" s="1"/>
  <c r="L66" i="1" s="1"/>
  <c r="I65" i="1"/>
  <c r="M67" i="1"/>
  <c r="P67" i="1" s="1"/>
  <c r="N67" i="1"/>
  <c r="P67" i="13" l="1"/>
  <c r="R68" i="13"/>
  <c r="S68" i="13" s="1"/>
  <c r="T68" i="13" s="1"/>
  <c r="J65" i="13"/>
  <c r="I64" i="13"/>
  <c r="O67" i="13"/>
  <c r="Q67" i="13"/>
  <c r="O68" i="13"/>
  <c r="N66" i="13"/>
  <c r="M66" i="13"/>
  <c r="Q67" i="1"/>
  <c r="R67" i="1" s="1"/>
  <c r="S67" i="1" s="1"/>
  <c r="T67" i="1" s="1"/>
  <c r="O67" i="1"/>
  <c r="J65" i="1"/>
  <c r="I64" i="1"/>
  <c r="N66" i="1"/>
  <c r="M66" i="1"/>
  <c r="P66" i="1" s="1"/>
  <c r="R67" i="13" l="1"/>
  <c r="S67" i="13" s="1"/>
  <c r="T67" i="13" s="1"/>
  <c r="P66" i="13"/>
  <c r="O66" i="13"/>
  <c r="Q66" i="13"/>
  <c r="J64" i="13"/>
  <c r="K64" i="13" s="1"/>
  <c r="L64" i="13" s="1"/>
  <c r="I63" i="13"/>
  <c r="K65" i="13"/>
  <c r="L65" i="13" s="1"/>
  <c r="N65" i="13" s="1"/>
  <c r="Q66" i="1"/>
  <c r="R66" i="1" s="1"/>
  <c r="S66" i="1" s="1"/>
  <c r="T66" i="1" s="1"/>
  <c r="O66" i="1"/>
  <c r="J64" i="1"/>
  <c r="K64" i="1" s="1"/>
  <c r="L64" i="1" s="1"/>
  <c r="I63" i="1"/>
  <c r="K65" i="1"/>
  <c r="L65" i="1" s="1"/>
  <c r="M65" i="1" s="1"/>
  <c r="P65" i="1" s="1"/>
  <c r="R66" i="13" l="1"/>
  <c r="S66" i="13" s="1"/>
  <c r="T66" i="13" s="1"/>
  <c r="M65" i="13"/>
  <c r="P65" i="13" s="1"/>
  <c r="M64" i="13"/>
  <c r="N64" i="13"/>
  <c r="J63" i="13"/>
  <c r="K63" i="13" s="1"/>
  <c r="L63" i="13" s="1"/>
  <c r="I62" i="13"/>
  <c r="N65" i="1"/>
  <c r="Q65" i="1" s="1"/>
  <c r="R65" i="1" s="1"/>
  <c r="S65" i="1" s="1"/>
  <c r="T65" i="1" s="1"/>
  <c r="J63" i="1"/>
  <c r="K63" i="1" s="1"/>
  <c r="L63" i="1" s="1"/>
  <c r="I62" i="1"/>
  <c r="N64" i="1"/>
  <c r="M64" i="1"/>
  <c r="P64" i="1" s="1"/>
  <c r="O65" i="13" l="1"/>
  <c r="P64" i="13"/>
  <c r="Q65" i="13"/>
  <c r="R65" i="13" s="1"/>
  <c r="S65" i="13" s="1"/>
  <c r="T65" i="13" s="1"/>
  <c r="J62" i="13"/>
  <c r="K62" i="13" s="1"/>
  <c r="L62" i="13" s="1"/>
  <c r="I61" i="13"/>
  <c r="O64" i="13"/>
  <c r="Q64" i="13"/>
  <c r="M63" i="13"/>
  <c r="N63" i="13"/>
  <c r="O65" i="1"/>
  <c r="Q64" i="1"/>
  <c r="O64" i="1"/>
  <c r="J62" i="1"/>
  <c r="K62" i="1" s="1"/>
  <c r="L62" i="1" s="1"/>
  <c r="I61" i="1"/>
  <c r="R64" i="1"/>
  <c r="S64" i="1" s="1"/>
  <c r="T64" i="1" s="1"/>
  <c r="M63" i="1"/>
  <c r="P63" i="1" s="1"/>
  <c r="N63" i="1"/>
  <c r="R64" i="13" l="1"/>
  <c r="S64" i="13" s="1"/>
  <c r="T64" i="13" s="1"/>
  <c r="P63" i="13"/>
  <c r="Q63" i="13"/>
  <c r="O63" i="13"/>
  <c r="I60" i="13"/>
  <c r="J61" i="13"/>
  <c r="N62" i="13"/>
  <c r="M62" i="13"/>
  <c r="O63" i="1"/>
  <c r="Q63" i="1"/>
  <c r="J61" i="1"/>
  <c r="K61" i="1" s="1"/>
  <c r="L61" i="1" s="1"/>
  <c r="I60" i="1"/>
  <c r="R63" i="1"/>
  <c r="S63" i="1" s="1"/>
  <c r="T63" i="1" s="1"/>
  <c r="N62" i="1"/>
  <c r="M62" i="1"/>
  <c r="P62" i="1" s="1"/>
  <c r="R63" i="13" l="1"/>
  <c r="S63" i="13" s="1"/>
  <c r="T63" i="13" s="1"/>
  <c r="P62" i="13"/>
  <c r="J60" i="13"/>
  <c r="K60" i="13" s="1"/>
  <c r="L60" i="13" s="1"/>
  <c r="I59" i="13"/>
  <c r="O62" i="13"/>
  <c r="Q62" i="13"/>
  <c r="K61" i="13"/>
  <c r="L61" i="13" s="1"/>
  <c r="M61" i="13" s="1"/>
  <c r="J60" i="1"/>
  <c r="K60" i="1" s="1"/>
  <c r="L60" i="1" s="1"/>
  <c r="I59" i="1"/>
  <c r="M61" i="1"/>
  <c r="P61" i="1" s="1"/>
  <c r="N61" i="1"/>
  <c r="Q62" i="1"/>
  <c r="R62" i="1" s="1"/>
  <c r="S62" i="1" s="1"/>
  <c r="T62" i="1" s="1"/>
  <c r="O62" i="1"/>
  <c r="P61" i="13" l="1"/>
  <c r="R62" i="13"/>
  <c r="S62" i="13" s="1"/>
  <c r="T62" i="13" s="1"/>
  <c r="N61" i="13"/>
  <c r="O61" i="13" s="1"/>
  <c r="M60" i="13"/>
  <c r="N60" i="13"/>
  <c r="J59" i="13"/>
  <c r="K59" i="13" s="1"/>
  <c r="L59" i="13" s="1"/>
  <c r="I58" i="13"/>
  <c r="J59" i="1"/>
  <c r="K59" i="1" s="1"/>
  <c r="L59" i="1" s="1"/>
  <c r="I58" i="1"/>
  <c r="O61" i="1"/>
  <c r="Q61" i="1"/>
  <c r="R61" i="1" s="1"/>
  <c r="S61" i="1" s="1"/>
  <c r="T61" i="1" s="1"/>
  <c r="N60" i="1"/>
  <c r="M60" i="1"/>
  <c r="P60" i="1" s="1"/>
  <c r="Q61" i="13" l="1"/>
  <c r="R61" i="13" s="1"/>
  <c r="S61" i="13" s="1"/>
  <c r="T61" i="13" s="1"/>
  <c r="P60" i="13"/>
  <c r="Q60" i="13"/>
  <c r="O60" i="13"/>
  <c r="M59" i="13"/>
  <c r="N59" i="13"/>
  <c r="J58" i="13"/>
  <c r="K58" i="13" s="1"/>
  <c r="L58" i="13" s="1"/>
  <c r="I57" i="13"/>
  <c r="Q60" i="1"/>
  <c r="R60" i="1" s="1"/>
  <c r="S60" i="1" s="1"/>
  <c r="T60" i="1" s="1"/>
  <c r="O60" i="1"/>
  <c r="J58" i="1"/>
  <c r="K58" i="1" s="1"/>
  <c r="L58" i="1" s="1"/>
  <c r="I57" i="1"/>
  <c r="M59" i="1"/>
  <c r="P59" i="1" s="1"/>
  <c r="N59" i="1"/>
  <c r="R60" i="13" l="1"/>
  <c r="S60" i="13" s="1"/>
  <c r="T60" i="13" s="1"/>
  <c r="P59" i="13"/>
  <c r="J57" i="13"/>
  <c r="I56" i="13"/>
  <c r="O59" i="13"/>
  <c r="Q59" i="13"/>
  <c r="N58" i="13"/>
  <c r="M58" i="13"/>
  <c r="O59" i="1"/>
  <c r="Q59" i="1"/>
  <c r="J57" i="1"/>
  <c r="K57" i="1" s="1"/>
  <c r="L57" i="1" s="1"/>
  <c r="I56" i="1"/>
  <c r="N58" i="1"/>
  <c r="M58" i="1"/>
  <c r="P58" i="1" s="1"/>
  <c r="R59" i="1"/>
  <c r="S59" i="1" s="1"/>
  <c r="T59" i="1" s="1"/>
  <c r="R59" i="13" l="1"/>
  <c r="S59" i="13" s="1"/>
  <c r="T59" i="13" s="1"/>
  <c r="P58" i="13"/>
  <c r="O58" i="13"/>
  <c r="Q58" i="13"/>
  <c r="J56" i="13"/>
  <c r="K56" i="13" s="1"/>
  <c r="L56" i="13" s="1"/>
  <c r="I55" i="13"/>
  <c r="K57" i="13"/>
  <c r="L57" i="13" s="1"/>
  <c r="N57" i="13" s="1"/>
  <c r="M57" i="1"/>
  <c r="P57" i="1" s="1"/>
  <c r="N57" i="1"/>
  <c r="J56" i="1"/>
  <c r="K56" i="1" s="1"/>
  <c r="L56" i="1" s="1"/>
  <c r="Q58" i="1"/>
  <c r="R58" i="1" s="1"/>
  <c r="S58" i="1" s="1"/>
  <c r="T58" i="1" s="1"/>
  <c r="O58" i="1"/>
  <c r="M57" i="13" l="1"/>
  <c r="P57" i="13" s="1"/>
  <c r="R58" i="13"/>
  <c r="S58" i="13" s="1"/>
  <c r="T58" i="13" s="1"/>
  <c r="Q57" i="13"/>
  <c r="J55" i="13"/>
  <c r="K55" i="13" s="1"/>
  <c r="L55" i="13" s="1"/>
  <c r="M56" i="13"/>
  <c r="N56" i="13"/>
  <c r="O57" i="1"/>
  <c r="Q57" i="1"/>
  <c r="R57" i="1" s="1"/>
  <c r="S57" i="1" s="1"/>
  <c r="T57" i="1" s="1"/>
  <c r="N56" i="1"/>
  <c r="M56" i="1"/>
  <c r="P56" i="1" s="1"/>
  <c r="R57" i="13" l="1"/>
  <c r="S57" i="13" s="1"/>
  <c r="T57" i="13" s="1"/>
  <c r="O57" i="13"/>
  <c r="P56" i="13"/>
  <c r="M55" i="13"/>
  <c r="N55" i="13"/>
  <c r="O56" i="13"/>
  <c r="Q56" i="13"/>
  <c r="O56" i="1"/>
  <c r="Q56" i="1"/>
  <c r="R56" i="1" s="1"/>
  <c r="S56" i="1" s="1"/>
  <c r="T56" i="1" s="1"/>
  <c r="R56" i="13" l="1"/>
  <c r="S56" i="13" s="1"/>
  <c r="T56" i="13" s="1"/>
  <c r="O55" i="13"/>
  <c r="H55" i="1" l="1"/>
  <c r="I55" i="1" s="1"/>
  <c r="J55" i="1" s="1"/>
  <c r="K55" i="1" l="1"/>
  <c r="L55" i="1" s="1"/>
  <c r="M55" i="1" s="1"/>
  <c r="H52" i="13"/>
  <c r="H53" i="13"/>
  <c r="H54" i="13"/>
  <c r="I54" i="13" s="1"/>
  <c r="H53" i="1"/>
  <c r="H54" i="1"/>
  <c r="I54" i="1" s="1"/>
  <c r="D54" i="13"/>
  <c r="E54" i="13" s="1"/>
  <c r="D54" i="1"/>
  <c r="E54" i="1" s="1"/>
  <c r="P55" i="1" l="1"/>
  <c r="P55" i="13"/>
  <c r="N55" i="1"/>
  <c r="I53" i="13"/>
  <c r="J54" i="13"/>
  <c r="J54" i="1"/>
  <c r="K54" i="1" s="1"/>
  <c r="L54" i="1" s="1"/>
  <c r="I53" i="1"/>
  <c r="H54" i="21"/>
  <c r="I54" i="21" s="1"/>
  <c r="D54" i="21"/>
  <c r="E54" i="21" s="1"/>
  <c r="H53" i="21"/>
  <c r="D53" i="21"/>
  <c r="H52" i="21"/>
  <c r="D52" i="21"/>
  <c r="H51" i="21"/>
  <c r="D51" i="21"/>
  <c r="H50" i="21"/>
  <c r="D50" i="21"/>
  <c r="H49" i="21"/>
  <c r="D49" i="21"/>
  <c r="H48" i="21"/>
  <c r="D48" i="21"/>
  <c r="H47" i="21"/>
  <c r="D47" i="21"/>
  <c r="H46" i="21"/>
  <c r="D46" i="21"/>
  <c r="H45" i="21"/>
  <c r="D45" i="21"/>
  <c r="H44" i="21"/>
  <c r="D44" i="21"/>
  <c r="H43" i="21"/>
  <c r="D43" i="21"/>
  <c r="H42" i="21"/>
  <c r="D42" i="21"/>
  <c r="H41" i="21"/>
  <c r="D41" i="21"/>
  <c r="H40" i="21"/>
  <c r="D40" i="21"/>
  <c r="H39" i="21"/>
  <c r="D39" i="21"/>
  <c r="H38" i="21"/>
  <c r="D38" i="21"/>
  <c r="H37" i="21"/>
  <c r="D37" i="21"/>
  <c r="H36" i="21"/>
  <c r="D36" i="21"/>
  <c r="H35" i="21"/>
  <c r="D35" i="21"/>
  <c r="H34" i="21"/>
  <c r="D34" i="21"/>
  <c r="H33" i="21"/>
  <c r="D33" i="21"/>
  <c r="H32" i="21"/>
  <c r="D32" i="21"/>
  <c r="H31" i="21"/>
  <c r="D31" i="21"/>
  <c r="H30" i="21"/>
  <c r="D30" i="21"/>
  <c r="H29" i="21"/>
  <c r="D29" i="21"/>
  <c r="H28" i="21"/>
  <c r="D28" i="21"/>
  <c r="H27" i="21"/>
  <c r="D27" i="21"/>
  <c r="H26" i="21"/>
  <c r="D26" i="21"/>
  <c r="H25" i="21"/>
  <c r="D25" i="21"/>
  <c r="H24" i="21"/>
  <c r="D24" i="21"/>
  <c r="H23" i="21"/>
  <c r="D23" i="21"/>
  <c r="H22" i="21"/>
  <c r="D22" i="21"/>
  <c r="H21" i="21"/>
  <c r="D21" i="21"/>
  <c r="H20" i="21"/>
  <c r="D20" i="21"/>
  <c r="H19" i="21"/>
  <c r="D19" i="21"/>
  <c r="H18" i="21"/>
  <c r="D18" i="21"/>
  <c r="H17" i="21"/>
  <c r="D17" i="21"/>
  <c r="H16" i="21"/>
  <c r="D16" i="21"/>
  <c r="H15" i="21"/>
  <c r="D15" i="21"/>
  <c r="H14" i="21"/>
  <c r="D14" i="21"/>
  <c r="H13" i="21"/>
  <c r="D13" i="21"/>
  <c r="H12" i="21"/>
  <c r="D12" i="21"/>
  <c r="H11" i="21"/>
  <c r="D11" i="21"/>
  <c r="H10" i="21"/>
  <c r="D10" i="21"/>
  <c r="H9" i="21"/>
  <c r="D9" i="21"/>
  <c r="H8" i="21"/>
  <c r="D8" i="21"/>
  <c r="H7" i="21"/>
  <c r="D7" i="21"/>
  <c r="H6" i="21"/>
  <c r="D6" i="21"/>
  <c r="H5" i="21"/>
  <c r="D5" i="21"/>
  <c r="H4" i="21"/>
  <c r="D4" i="21"/>
  <c r="H3" i="21"/>
  <c r="D3" i="21"/>
  <c r="H54" i="22"/>
  <c r="I54" i="22" s="1"/>
  <c r="D54" i="22"/>
  <c r="E54" i="22" s="1"/>
  <c r="H53" i="22"/>
  <c r="D53" i="22"/>
  <c r="H52" i="22"/>
  <c r="D52" i="22"/>
  <c r="H51" i="22"/>
  <c r="D51" i="22"/>
  <c r="H50" i="22"/>
  <c r="D50" i="22"/>
  <c r="H49" i="22"/>
  <c r="D49" i="22"/>
  <c r="H48" i="22"/>
  <c r="D48" i="22"/>
  <c r="H47" i="22"/>
  <c r="D47" i="22"/>
  <c r="H46" i="22"/>
  <c r="D46" i="22"/>
  <c r="H45" i="22"/>
  <c r="D45" i="22"/>
  <c r="H44" i="22"/>
  <c r="D44" i="22"/>
  <c r="H43" i="22"/>
  <c r="D43" i="22"/>
  <c r="H42" i="22"/>
  <c r="D42" i="22"/>
  <c r="H41" i="22"/>
  <c r="D41" i="22"/>
  <c r="H40" i="22"/>
  <c r="D40" i="22"/>
  <c r="H39" i="22"/>
  <c r="D39" i="22"/>
  <c r="H38" i="22"/>
  <c r="D38" i="22"/>
  <c r="H37" i="22"/>
  <c r="D37" i="22"/>
  <c r="H36" i="22"/>
  <c r="D36" i="22"/>
  <c r="H35" i="22"/>
  <c r="D35" i="22"/>
  <c r="H34" i="22"/>
  <c r="D34" i="22"/>
  <c r="H33" i="22"/>
  <c r="D33" i="22"/>
  <c r="H32" i="22"/>
  <c r="D32" i="22"/>
  <c r="H31" i="22"/>
  <c r="D31" i="22"/>
  <c r="H30" i="22"/>
  <c r="D30" i="22"/>
  <c r="H29" i="22"/>
  <c r="D29" i="22"/>
  <c r="H28" i="22"/>
  <c r="D28" i="22"/>
  <c r="H27" i="22"/>
  <c r="D27" i="22"/>
  <c r="H26" i="22"/>
  <c r="D26" i="22"/>
  <c r="H25" i="22"/>
  <c r="D25" i="22"/>
  <c r="H24" i="22"/>
  <c r="D24" i="22"/>
  <c r="H23" i="22"/>
  <c r="D23" i="22"/>
  <c r="H22" i="22"/>
  <c r="D22" i="22"/>
  <c r="H21" i="22"/>
  <c r="D21" i="22"/>
  <c r="H20" i="22"/>
  <c r="D20" i="22"/>
  <c r="H19" i="22"/>
  <c r="D19" i="22"/>
  <c r="H18" i="22"/>
  <c r="D18" i="22"/>
  <c r="H17" i="22"/>
  <c r="D17" i="22"/>
  <c r="H16" i="22"/>
  <c r="D16" i="22"/>
  <c r="H15" i="22"/>
  <c r="D15" i="22"/>
  <c r="H14" i="22"/>
  <c r="D14" i="22"/>
  <c r="H13" i="22"/>
  <c r="D13" i="22"/>
  <c r="H12" i="22"/>
  <c r="D12" i="22"/>
  <c r="H11" i="22"/>
  <c r="D11" i="22"/>
  <c r="H10" i="22"/>
  <c r="D10" i="22"/>
  <c r="H9" i="22"/>
  <c r="D9" i="22"/>
  <c r="H8" i="22"/>
  <c r="D8" i="22"/>
  <c r="H7" i="22"/>
  <c r="D7" i="22"/>
  <c r="H6" i="22"/>
  <c r="D6" i="22"/>
  <c r="H5" i="22"/>
  <c r="D5" i="22"/>
  <c r="H4" i="22"/>
  <c r="D4" i="22"/>
  <c r="H3" i="22"/>
  <c r="D3" i="22"/>
  <c r="H54" i="19"/>
  <c r="I54" i="19" s="1"/>
  <c r="D54" i="19"/>
  <c r="E54" i="19" s="1"/>
  <c r="H53" i="19"/>
  <c r="D53" i="19"/>
  <c r="H52" i="19"/>
  <c r="D52" i="19"/>
  <c r="H51" i="19"/>
  <c r="D51" i="19"/>
  <c r="H50" i="19"/>
  <c r="D50" i="19"/>
  <c r="H49" i="19"/>
  <c r="D49" i="19"/>
  <c r="H48" i="19"/>
  <c r="D48" i="19"/>
  <c r="H47" i="19"/>
  <c r="D47" i="19"/>
  <c r="H46" i="19"/>
  <c r="D46" i="19"/>
  <c r="H45" i="19"/>
  <c r="D45" i="19"/>
  <c r="H44" i="19"/>
  <c r="D44" i="19"/>
  <c r="H43" i="19"/>
  <c r="D43" i="19"/>
  <c r="H42" i="19"/>
  <c r="D42" i="19"/>
  <c r="H41" i="19"/>
  <c r="D41" i="19"/>
  <c r="H40" i="19"/>
  <c r="D40" i="19"/>
  <c r="H39" i="19"/>
  <c r="D39" i="19"/>
  <c r="H38" i="19"/>
  <c r="D38" i="19"/>
  <c r="H37" i="19"/>
  <c r="D37" i="19"/>
  <c r="H36" i="19"/>
  <c r="D36" i="19"/>
  <c r="H35" i="19"/>
  <c r="D35" i="19"/>
  <c r="H34" i="19"/>
  <c r="D34" i="19"/>
  <c r="H33" i="19"/>
  <c r="D33" i="19"/>
  <c r="H32" i="19"/>
  <c r="D32" i="19"/>
  <c r="H31" i="19"/>
  <c r="D31" i="19"/>
  <c r="H30" i="19"/>
  <c r="D30" i="19"/>
  <c r="H29" i="19"/>
  <c r="D29" i="19"/>
  <c r="H28" i="19"/>
  <c r="D28" i="19"/>
  <c r="H27" i="19"/>
  <c r="D27" i="19"/>
  <c r="H26" i="19"/>
  <c r="D26" i="19"/>
  <c r="H25" i="19"/>
  <c r="D25" i="19"/>
  <c r="H24" i="19"/>
  <c r="D24" i="19"/>
  <c r="H23" i="19"/>
  <c r="D23" i="19"/>
  <c r="H22" i="19"/>
  <c r="D22" i="19"/>
  <c r="H21" i="19"/>
  <c r="D21" i="19"/>
  <c r="H20" i="19"/>
  <c r="D20" i="19"/>
  <c r="H19" i="19"/>
  <c r="D19" i="19"/>
  <c r="H18" i="19"/>
  <c r="D18" i="19"/>
  <c r="H17" i="19"/>
  <c r="D17" i="19"/>
  <c r="H16" i="19"/>
  <c r="D16" i="19"/>
  <c r="H15" i="19"/>
  <c r="D15" i="19"/>
  <c r="H14" i="19"/>
  <c r="D14" i="19"/>
  <c r="H13" i="19"/>
  <c r="D13" i="19"/>
  <c r="H12" i="19"/>
  <c r="D12" i="19"/>
  <c r="H11" i="19"/>
  <c r="D11" i="19"/>
  <c r="H10" i="19"/>
  <c r="D10" i="19"/>
  <c r="H9" i="19"/>
  <c r="D9" i="19"/>
  <c r="H8" i="19"/>
  <c r="D8" i="19"/>
  <c r="H7" i="19"/>
  <c r="D7" i="19"/>
  <c r="H6" i="19"/>
  <c r="D6" i="19"/>
  <c r="H5" i="19"/>
  <c r="D5" i="19"/>
  <c r="H4" i="19"/>
  <c r="D4" i="19"/>
  <c r="H3" i="19"/>
  <c r="D3" i="19"/>
  <c r="H54" i="18"/>
  <c r="I54" i="18" s="1"/>
  <c r="D54" i="18"/>
  <c r="E54" i="18" s="1"/>
  <c r="H53" i="18"/>
  <c r="D53" i="18"/>
  <c r="H52" i="18"/>
  <c r="D52" i="18"/>
  <c r="H51" i="18"/>
  <c r="D51" i="18"/>
  <c r="H50" i="18"/>
  <c r="D50" i="18"/>
  <c r="H49" i="18"/>
  <c r="D49" i="18"/>
  <c r="H48" i="18"/>
  <c r="D48" i="18"/>
  <c r="H47" i="18"/>
  <c r="D47" i="18"/>
  <c r="H46" i="18"/>
  <c r="D46" i="18"/>
  <c r="H45" i="18"/>
  <c r="D45" i="18"/>
  <c r="H44" i="18"/>
  <c r="D44" i="18"/>
  <c r="H43" i="18"/>
  <c r="D43" i="18"/>
  <c r="H42" i="18"/>
  <c r="D42" i="18"/>
  <c r="H41" i="18"/>
  <c r="D41" i="18"/>
  <c r="H40" i="18"/>
  <c r="D40" i="18"/>
  <c r="H39" i="18"/>
  <c r="D39" i="18"/>
  <c r="H38" i="18"/>
  <c r="D38" i="18"/>
  <c r="H37" i="18"/>
  <c r="D37" i="18"/>
  <c r="H36" i="18"/>
  <c r="D36" i="18"/>
  <c r="H35" i="18"/>
  <c r="D35" i="18"/>
  <c r="H34" i="18"/>
  <c r="D34" i="18"/>
  <c r="H33" i="18"/>
  <c r="D33" i="18"/>
  <c r="H32" i="18"/>
  <c r="D32" i="18"/>
  <c r="H31" i="18"/>
  <c r="D31" i="18"/>
  <c r="H30" i="18"/>
  <c r="D30" i="18"/>
  <c r="H29" i="18"/>
  <c r="D29" i="18"/>
  <c r="H28" i="18"/>
  <c r="D28" i="18"/>
  <c r="H27" i="18"/>
  <c r="D27" i="18"/>
  <c r="H26" i="18"/>
  <c r="D26" i="18"/>
  <c r="H25" i="18"/>
  <c r="D25" i="18"/>
  <c r="H24" i="18"/>
  <c r="D24" i="18"/>
  <c r="H23" i="18"/>
  <c r="D23" i="18"/>
  <c r="H22" i="18"/>
  <c r="D22" i="18"/>
  <c r="H21" i="18"/>
  <c r="D21" i="18"/>
  <c r="H20" i="18"/>
  <c r="D20" i="18"/>
  <c r="H19" i="18"/>
  <c r="D19" i="18"/>
  <c r="H18" i="18"/>
  <c r="D18" i="18"/>
  <c r="H17" i="18"/>
  <c r="D17" i="18"/>
  <c r="H16" i="18"/>
  <c r="D16" i="18"/>
  <c r="H15" i="18"/>
  <c r="D15" i="18"/>
  <c r="H14" i="18"/>
  <c r="D14" i="18"/>
  <c r="H13" i="18"/>
  <c r="D13" i="18"/>
  <c r="H12" i="18"/>
  <c r="D12" i="18"/>
  <c r="H11" i="18"/>
  <c r="D11" i="18"/>
  <c r="H10" i="18"/>
  <c r="D10" i="18"/>
  <c r="H9" i="18"/>
  <c r="D9" i="18"/>
  <c r="H8" i="18"/>
  <c r="D8" i="18"/>
  <c r="H7" i="18"/>
  <c r="D7" i="18"/>
  <c r="H6" i="18"/>
  <c r="D6" i="18"/>
  <c r="H5" i="18"/>
  <c r="D5" i="18"/>
  <c r="H4" i="18"/>
  <c r="D4" i="18"/>
  <c r="H3" i="18"/>
  <c r="D3" i="18"/>
  <c r="H54" i="17"/>
  <c r="I54" i="17" s="1"/>
  <c r="D54" i="17"/>
  <c r="E54" i="17" s="1"/>
  <c r="H53" i="17"/>
  <c r="D53" i="17"/>
  <c r="H52" i="17"/>
  <c r="D52" i="17"/>
  <c r="H51" i="17"/>
  <c r="D51" i="17"/>
  <c r="H50" i="17"/>
  <c r="D50" i="17"/>
  <c r="H49" i="17"/>
  <c r="D49" i="17"/>
  <c r="H48" i="17"/>
  <c r="D48" i="17"/>
  <c r="H47" i="17"/>
  <c r="D47" i="17"/>
  <c r="H46" i="17"/>
  <c r="D46" i="17"/>
  <c r="H45" i="17"/>
  <c r="D45" i="17"/>
  <c r="H44" i="17"/>
  <c r="D44" i="17"/>
  <c r="H43" i="17"/>
  <c r="D43" i="17"/>
  <c r="H42" i="17"/>
  <c r="D42" i="17"/>
  <c r="H41" i="17"/>
  <c r="D41" i="17"/>
  <c r="H40" i="17"/>
  <c r="D40" i="17"/>
  <c r="H39" i="17"/>
  <c r="D39" i="17"/>
  <c r="H38" i="17"/>
  <c r="D38" i="17"/>
  <c r="H37" i="17"/>
  <c r="D37" i="17"/>
  <c r="H36" i="17"/>
  <c r="D36" i="17"/>
  <c r="H35" i="17"/>
  <c r="D35" i="17"/>
  <c r="H34" i="17"/>
  <c r="D34" i="17"/>
  <c r="H33" i="17"/>
  <c r="D33" i="17"/>
  <c r="H32" i="17"/>
  <c r="D32" i="17"/>
  <c r="H31" i="17"/>
  <c r="D31" i="17"/>
  <c r="H30" i="17"/>
  <c r="D30" i="17"/>
  <c r="H29" i="17"/>
  <c r="D29" i="17"/>
  <c r="H28" i="17"/>
  <c r="D28" i="17"/>
  <c r="H27" i="17"/>
  <c r="D27" i="17"/>
  <c r="H26" i="17"/>
  <c r="D26" i="17"/>
  <c r="H25" i="17"/>
  <c r="D25" i="17"/>
  <c r="H24" i="17"/>
  <c r="D24" i="17"/>
  <c r="H23" i="17"/>
  <c r="D23" i="17"/>
  <c r="H22" i="17"/>
  <c r="D22" i="17"/>
  <c r="H21" i="17"/>
  <c r="D21" i="17"/>
  <c r="H20" i="17"/>
  <c r="D20" i="17"/>
  <c r="H19" i="17"/>
  <c r="D19" i="17"/>
  <c r="H18" i="17"/>
  <c r="D18" i="17"/>
  <c r="H17" i="17"/>
  <c r="D17" i="17"/>
  <c r="H16" i="17"/>
  <c r="D16" i="17"/>
  <c r="H15" i="17"/>
  <c r="D15" i="17"/>
  <c r="H14" i="17"/>
  <c r="D14" i="17"/>
  <c r="H13" i="17"/>
  <c r="D13" i="17"/>
  <c r="H12" i="17"/>
  <c r="D12" i="17"/>
  <c r="H11" i="17"/>
  <c r="D11" i="17"/>
  <c r="H10" i="17"/>
  <c r="D10" i="17"/>
  <c r="H9" i="17"/>
  <c r="D9" i="17"/>
  <c r="H8" i="17"/>
  <c r="D8" i="17"/>
  <c r="H7" i="17"/>
  <c r="D7" i="17"/>
  <c r="H6" i="17"/>
  <c r="D6" i="17"/>
  <c r="H5" i="17"/>
  <c r="D5" i="17"/>
  <c r="H4" i="17"/>
  <c r="D4" i="17"/>
  <c r="H3" i="17"/>
  <c r="D3" i="17"/>
  <c r="H54" i="15"/>
  <c r="I54" i="15" s="1"/>
  <c r="D54" i="15"/>
  <c r="E54" i="15" s="1"/>
  <c r="H53" i="15"/>
  <c r="D53" i="15"/>
  <c r="H52" i="15"/>
  <c r="D52" i="15"/>
  <c r="H51" i="15"/>
  <c r="D51" i="15"/>
  <c r="H50" i="15"/>
  <c r="D50" i="15"/>
  <c r="H49" i="15"/>
  <c r="D49" i="15"/>
  <c r="H48" i="15"/>
  <c r="D48" i="15"/>
  <c r="H47" i="15"/>
  <c r="D47" i="15"/>
  <c r="H46" i="15"/>
  <c r="D46" i="15"/>
  <c r="H45" i="15"/>
  <c r="D45" i="15"/>
  <c r="H44" i="15"/>
  <c r="D44" i="15"/>
  <c r="H43" i="15"/>
  <c r="D43" i="15"/>
  <c r="H42" i="15"/>
  <c r="D42" i="15"/>
  <c r="H41" i="15"/>
  <c r="D41" i="15"/>
  <c r="H40" i="15"/>
  <c r="D40" i="15"/>
  <c r="H39" i="15"/>
  <c r="D39" i="15"/>
  <c r="H38" i="15"/>
  <c r="D38" i="15"/>
  <c r="H37" i="15"/>
  <c r="D37" i="15"/>
  <c r="H36" i="15"/>
  <c r="D36" i="15"/>
  <c r="H35" i="15"/>
  <c r="D35" i="15"/>
  <c r="H34" i="15"/>
  <c r="D34" i="15"/>
  <c r="H33" i="15"/>
  <c r="D33" i="15"/>
  <c r="H32" i="15"/>
  <c r="D32" i="15"/>
  <c r="H31" i="15"/>
  <c r="D31" i="15"/>
  <c r="H30" i="15"/>
  <c r="D30" i="15"/>
  <c r="H29" i="15"/>
  <c r="D29" i="15"/>
  <c r="H28" i="15"/>
  <c r="D28" i="15"/>
  <c r="H27" i="15"/>
  <c r="D27" i="15"/>
  <c r="H26" i="15"/>
  <c r="D26" i="15"/>
  <c r="H25" i="15"/>
  <c r="D25" i="15"/>
  <c r="H24" i="15"/>
  <c r="D24" i="15"/>
  <c r="H23" i="15"/>
  <c r="D23" i="15"/>
  <c r="H22" i="15"/>
  <c r="D22" i="15"/>
  <c r="H21" i="15"/>
  <c r="D21" i="15"/>
  <c r="H20" i="15"/>
  <c r="D20" i="15"/>
  <c r="H19" i="15"/>
  <c r="D19" i="15"/>
  <c r="H18" i="15"/>
  <c r="D18" i="15"/>
  <c r="H17" i="15"/>
  <c r="D17" i="15"/>
  <c r="H16" i="15"/>
  <c r="D16" i="15"/>
  <c r="H15" i="15"/>
  <c r="D15" i="15"/>
  <c r="H14" i="15"/>
  <c r="D14" i="15"/>
  <c r="H13" i="15"/>
  <c r="D13" i="15"/>
  <c r="H12" i="15"/>
  <c r="D12" i="15"/>
  <c r="H11" i="15"/>
  <c r="D11" i="15"/>
  <c r="H10" i="15"/>
  <c r="D10" i="15"/>
  <c r="H9" i="15"/>
  <c r="D9" i="15"/>
  <c r="H8" i="15"/>
  <c r="D8" i="15"/>
  <c r="H7" i="15"/>
  <c r="D7" i="15"/>
  <c r="H6" i="15"/>
  <c r="D6" i="15"/>
  <c r="H5" i="15"/>
  <c r="D5" i="15"/>
  <c r="H4" i="15"/>
  <c r="D4" i="15"/>
  <c r="H3" i="15"/>
  <c r="D3" i="15"/>
  <c r="H54" i="14"/>
  <c r="I54" i="14" s="1"/>
  <c r="D54" i="14"/>
  <c r="E54" i="14" s="1"/>
  <c r="H53" i="14"/>
  <c r="D53" i="14"/>
  <c r="H52" i="14"/>
  <c r="D52" i="14"/>
  <c r="H51" i="14"/>
  <c r="D51" i="14"/>
  <c r="H50" i="14"/>
  <c r="D50" i="14"/>
  <c r="H49" i="14"/>
  <c r="D49" i="14"/>
  <c r="H48" i="14"/>
  <c r="D48" i="14"/>
  <c r="H47" i="14"/>
  <c r="D47" i="14"/>
  <c r="H46" i="14"/>
  <c r="D46" i="14"/>
  <c r="H45" i="14"/>
  <c r="D45" i="14"/>
  <c r="H44" i="14"/>
  <c r="D44" i="14"/>
  <c r="H43" i="14"/>
  <c r="D43" i="14"/>
  <c r="H42" i="14"/>
  <c r="D42" i="14"/>
  <c r="H41" i="14"/>
  <c r="D41" i="14"/>
  <c r="H40" i="14"/>
  <c r="D40" i="14"/>
  <c r="H39" i="14"/>
  <c r="D39" i="14"/>
  <c r="H38" i="14"/>
  <c r="D38" i="14"/>
  <c r="H37" i="14"/>
  <c r="D37" i="14"/>
  <c r="H36" i="14"/>
  <c r="D36" i="14"/>
  <c r="H35" i="14"/>
  <c r="D35" i="14"/>
  <c r="H34" i="14"/>
  <c r="D34" i="14"/>
  <c r="H33" i="14"/>
  <c r="D33" i="14"/>
  <c r="H32" i="14"/>
  <c r="D32" i="14"/>
  <c r="H31" i="14"/>
  <c r="D31" i="14"/>
  <c r="H30" i="14"/>
  <c r="D30" i="14"/>
  <c r="H29" i="14"/>
  <c r="D29" i="14"/>
  <c r="H28" i="14"/>
  <c r="D28" i="14"/>
  <c r="H27" i="14"/>
  <c r="D27" i="14"/>
  <c r="H26" i="14"/>
  <c r="D26" i="14"/>
  <c r="H25" i="14"/>
  <c r="D25" i="14"/>
  <c r="H24" i="14"/>
  <c r="D24" i="14"/>
  <c r="H23" i="14"/>
  <c r="D23" i="14"/>
  <c r="H22" i="14"/>
  <c r="D22" i="14"/>
  <c r="H21" i="14"/>
  <c r="D21" i="14"/>
  <c r="H20" i="14"/>
  <c r="D20" i="14"/>
  <c r="H19" i="14"/>
  <c r="D19" i="14"/>
  <c r="H18" i="14"/>
  <c r="D18" i="14"/>
  <c r="H17" i="14"/>
  <c r="D17" i="14"/>
  <c r="H16" i="14"/>
  <c r="D16" i="14"/>
  <c r="H15" i="14"/>
  <c r="D15" i="14"/>
  <c r="H14" i="14"/>
  <c r="D14" i="14"/>
  <c r="H13" i="14"/>
  <c r="D13" i="14"/>
  <c r="H12" i="14"/>
  <c r="D12" i="14"/>
  <c r="H11" i="14"/>
  <c r="D11" i="14"/>
  <c r="H10" i="14"/>
  <c r="D10" i="14"/>
  <c r="H9" i="14"/>
  <c r="D9" i="14"/>
  <c r="H8" i="14"/>
  <c r="D8" i="14"/>
  <c r="H7" i="14"/>
  <c r="D7" i="14"/>
  <c r="H6" i="14"/>
  <c r="D6" i="14"/>
  <c r="H5" i="14"/>
  <c r="D5" i="14"/>
  <c r="H4" i="14"/>
  <c r="D4" i="14"/>
  <c r="H3" i="14"/>
  <c r="D3" i="14"/>
  <c r="E53" i="22" l="1"/>
  <c r="E52" i="22" s="1"/>
  <c r="E51" i="22" s="1"/>
  <c r="I53" i="17"/>
  <c r="E53" i="17"/>
  <c r="I53" i="18"/>
  <c r="I52" i="18" s="1"/>
  <c r="E53" i="15"/>
  <c r="I53" i="22"/>
  <c r="I52" i="22" s="1"/>
  <c r="I52" i="17"/>
  <c r="I51" i="17" s="1"/>
  <c r="I50" i="17" s="1"/>
  <c r="I49" i="17" s="1"/>
  <c r="I48" i="17" s="1"/>
  <c r="I47" i="17" s="1"/>
  <c r="I46" i="17" s="1"/>
  <c r="I45" i="17" s="1"/>
  <c r="I44" i="17" s="1"/>
  <c r="I43" i="17" s="1"/>
  <c r="I42" i="17" s="1"/>
  <c r="I41" i="17" s="1"/>
  <c r="I40" i="17" s="1"/>
  <c r="I39" i="17" s="1"/>
  <c r="I38" i="17" s="1"/>
  <c r="I37" i="17" s="1"/>
  <c r="I36" i="17" s="1"/>
  <c r="I35" i="17" s="1"/>
  <c r="I34" i="17" s="1"/>
  <c r="I33" i="17" s="1"/>
  <c r="I32" i="17" s="1"/>
  <c r="I31" i="17" s="1"/>
  <c r="I30" i="17" s="1"/>
  <c r="I29" i="17" s="1"/>
  <c r="I28" i="17" s="1"/>
  <c r="I27" i="17" s="1"/>
  <c r="I26" i="17" s="1"/>
  <c r="I25" i="17" s="1"/>
  <c r="I24" i="17" s="1"/>
  <c r="I23" i="17" s="1"/>
  <c r="I22" i="17" s="1"/>
  <c r="I21" i="17" s="1"/>
  <c r="I20" i="17" s="1"/>
  <c r="I19" i="17" s="1"/>
  <c r="I18" i="17" s="1"/>
  <c r="I17" i="17" s="1"/>
  <c r="I16" i="17" s="1"/>
  <c r="I15" i="17" s="1"/>
  <c r="I14" i="17" s="1"/>
  <c r="I13" i="17" s="1"/>
  <c r="I12" i="17" s="1"/>
  <c r="I11" i="17" s="1"/>
  <c r="I10" i="17" s="1"/>
  <c r="I9" i="17" s="1"/>
  <c r="I8" i="17" s="1"/>
  <c r="I7" i="17" s="1"/>
  <c r="I6" i="17" s="1"/>
  <c r="I5" i="17" s="1"/>
  <c r="I4" i="17" s="1"/>
  <c r="I3" i="17" s="1"/>
  <c r="E53" i="19"/>
  <c r="I53" i="19"/>
  <c r="I52" i="19" s="1"/>
  <c r="I51" i="19" s="1"/>
  <c r="I50" i="19" s="1"/>
  <c r="I49" i="19" s="1"/>
  <c r="I48" i="19" s="1"/>
  <c r="I47" i="19" s="1"/>
  <c r="I46" i="19" s="1"/>
  <c r="I45" i="19" s="1"/>
  <c r="I44" i="19" s="1"/>
  <c r="I43" i="19" s="1"/>
  <c r="I42" i="19" s="1"/>
  <c r="I41" i="19" s="1"/>
  <c r="I40" i="19" s="1"/>
  <c r="I39" i="19" s="1"/>
  <c r="I38" i="19" s="1"/>
  <c r="I37" i="19" s="1"/>
  <c r="I36" i="19" s="1"/>
  <c r="I35" i="19" s="1"/>
  <c r="I34" i="19" s="1"/>
  <c r="I33" i="19" s="1"/>
  <c r="I32" i="19" s="1"/>
  <c r="I31" i="19" s="1"/>
  <c r="I30" i="19" s="1"/>
  <c r="I29" i="19" s="1"/>
  <c r="I28" i="19" s="1"/>
  <c r="I27" i="19" s="1"/>
  <c r="I26" i="19" s="1"/>
  <c r="I25" i="19" s="1"/>
  <c r="I24" i="19" s="1"/>
  <c r="I23" i="19" s="1"/>
  <c r="I22" i="19" s="1"/>
  <c r="I21" i="19" s="1"/>
  <c r="I20" i="19" s="1"/>
  <c r="I19" i="19" s="1"/>
  <c r="I18" i="19" s="1"/>
  <c r="I17" i="19" s="1"/>
  <c r="I16" i="19" s="1"/>
  <c r="I15" i="19" s="1"/>
  <c r="I14" i="19" s="1"/>
  <c r="I13" i="19" s="1"/>
  <c r="I12" i="19" s="1"/>
  <c r="I11" i="19" s="1"/>
  <c r="I10" i="19" s="1"/>
  <c r="I9" i="19" s="1"/>
  <c r="I8" i="19" s="1"/>
  <c r="I7" i="19" s="1"/>
  <c r="I6" i="19" s="1"/>
  <c r="I5" i="19" s="1"/>
  <c r="I4" i="19" s="1"/>
  <c r="I3" i="19" s="1"/>
  <c r="J54" i="17"/>
  <c r="K54" i="17" s="1"/>
  <c r="I53" i="21"/>
  <c r="I52" i="21" s="1"/>
  <c r="I51" i="21" s="1"/>
  <c r="I50" i="21" s="1"/>
  <c r="I49" i="21" s="1"/>
  <c r="I48" i="21" s="1"/>
  <c r="I47" i="21" s="1"/>
  <c r="I46" i="21" s="1"/>
  <c r="I45" i="21" s="1"/>
  <c r="I44" i="21" s="1"/>
  <c r="I43" i="21" s="1"/>
  <c r="I42" i="21" s="1"/>
  <c r="I41" i="21" s="1"/>
  <c r="I40" i="21" s="1"/>
  <c r="I39" i="21" s="1"/>
  <c r="I38" i="21" s="1"/>
  <c r="I37" i="21" s="1"/>
  <c r="I36" i="21" s="1"/>
  <c r="I35" i="21" s="1"/>
  <c r="I34" i="21" s="1"/>
  <c r="I33" i="21" s="1"/>
  <c r="I32" i="21" s="1"/>
  <c r="I31" i="21" s="1"/>
  <c r="I30" i="21" s="1"/>
  <c r="I29" i="21" s="1"/>
  <c r="I28" i="21" s="1"/>
  <c r="I27" i="21" s="1"/>
  <c r="I26" i="21" s="1"/>
  <c r="I25" i="21" s="1"/>
  <c r="I24" i="21" s="1"/>
  <c r="I23" i="21" s="1"/>
  <c r="I22" i="21" s="1"/>
  <c r="I21" i="21" s="1"/>
  <c r="I20" i="21" s="1"/>
  <c r="I19" i="21" s="1"/>
  <c r="I18" i="21" s="1"/>
  <c r="I17" i="21" s="1"/>
  <c r="I16" i="21" s="1"/>
  <c r="I15" i="21" s="1"/>
  <c r="I14" i="21" s="1"/>
  <c r="I13" i="21" s="1"/>
  <c r="I12" i="21" s="1"/>
  <c r="I11" i="21" s="1"/>
  <c r="I10" i="21" s="1"/>
  <c r="I9" i="21" s="1"/>
  <c r="I8" i="21" s="1"/>
  <c r="I7" i="21" s="1"/>
  <c r="I6" i="21" s="1"/>
  <c r="I5" i="21" s="1"/>
  <c r="I4" i="21" s="1"/>
  <c r="I3" i="21" s="1"/>
  <c r="J53" i="22"/>
  <c r="I53" i="15"/>
  <c r="I52" i="15" s="1"/>
  <c r="I53" i="14"/>
  <c r="I52" i="14" s="1"/>
  <c r="I51" i="14" s="1"/>
  <c r="I50" i="14" s="1"/>
  <c r="I49" i="14" s="1"/>
  <c r="I48" i="14" s="1"/>
  <c r="I47" i="14" s="1"/>
  <c r="I46" i="14" s="1"/>
  <c r="I45" i="14" s="1"/>
  <c r="I44" i="14" s="1"/>
  <c r="I43" i="14" s="1"/>
  <c r="I42" i="14" s="1"/>
  <c r="I41" i="14" s="1"/>
  <c r="I40" i="14" s="1"/>
  <c r="I39" i="14" s="1"/>
  <c r="I38" i="14" s="1"/>
  <c r="I37" i="14" s="1"/>
  <c r="I36" i="14" s="1"/>
  <c r="I35" i="14" s="1"/>
  <c r="I34" i="14" s="1"/>
  <c r="I33" i="14" s="1"/>
  <c r="I32" i="14" s="1"/>
  <c r="I31" i="14" s="1"/>
  <c r="I30" i="14" s="1"/>
  <c r="I29" i="14" s="1"/>
  <c r="I28" i="14" s="1"/>
  <c r="I27" i="14" s="1"/>
  <c r="I26" i="14" s="1"/>
  <c r="I25" i="14" s="1"/>
  <c r="I24" i="14" s="1"/>
  <c r="I23" i="14" s="1"/>
  <c r="I22" i="14" s="1"/>
  <c r="I21" i="14" s="1"/>
  <c r="I20" i="14" s="1"/>
  <c r="I19" i="14" s="1"/>
  <c r="I18" i="14" s="1"/>
  <c r="I17" i="14" s="1"/>
  <c r="I16" i="14" s="1"/>
  <c r="I15" i="14" s="1"/>
  <c r="I14" i="14" s="1"/>
  <c r="I13" i="14" s="1"/>
  <c r="I12" i="14" s="1"/>
  <c r="I11" i="14" s="1"/>
  <c r="I10" i="14" s="1"/>
  <c r="I9" i="14" s="1"/>
  <c r="I8" i="14" s="1"/>
  <c r="I7" i="14" s="1"/>
  <c r="I6" i="14" s="1"/>
  <c r="I5" i="14" s="1"/>
  <c r="I4" i="14" s="1"/>
  <c r="I3" i="14" s="1"/>
  <c r="E53" i="18"/>
  <c r="E52" i="18" s="1"/>
  <c r="E51" i="18" s="1"/>
  <c r="J54" i="22"/>
  <c r="M54" i="22" s="1"/>
  <c r="E52" i="15"/>
  <c r="E51" i="15" s="1"/>
  <c r="E50" i="15" s="1"/>
  <c r="O55" i="1"/>
  <c r="Q55" i="13"/>
  <c r="R55" i="13" s="1"/>
  <c r="S55" i="13" s="1"/>
  <c r="T55" i="13" s="1"/>
  <c r="Q55" i="1"/>
  <c r="R55" i="1" s="1"/>
  <c r="S55" i="1" s="1"/>
  <c r="T55" i="1" s="1"/>
  <c r="K54" i="13"/>
  <c r="L54" i="13" s="1"/>
  <c r="M54" i="13" s="1"/>
  <c r="I52" i="13"/>
  <c r="M54" i="1"/>
  <c r="P54" i="1" s="1"/>
  <c r="N54" i="1"/>
  <c r="Q54" i="1" s="1"/>
  <c r="E53" i="21"/>
  <c r="J54" i="21"/>
  <c r="K54" i="21" s="1"/>
  <c r="J54" i="19"/>
  <c r="J54" i="18"/>
  <c r="J53" i="17"/>
  <c r="K53" i="17" s="1"/>
  <c r="L53" i="17" s="1"/>
  <c r="E52" i="17"/>
  <c r="J54" i="15"/>
  <c r="K54" i="15"/>
  <c r="E53" i="14"/>
  <c r="E52" i="14" s="1"/>
  <c r="J54" i="14"/>
  <c r="D53" i="1"/>
  <c r="E53" i="1" s="1"/>
  <c r="J53" i="1" s="1"/>
  <c r="H52" i="1"/>
  <c r="D52" i="1"/>
  <c r="H51" i="1"/>
  <c r="D51" i="1"/>
  <c r="H50" i="1"/>
  <c r="D50" i="1"/>
  <c r="H49" i="1"/>
  <c r="D49" i="1"/>
  <c r="H48" i="1"/>
  <c r="D48" i="1"/>
  <c r="H47" i="1"/>
  <c r="D47" i="1"/>
  <c r="H46" i="1"/>
  <c r="D46" i="1"/>
  <c r="H45" i="1"/>
  <c r="D45" i="1"/>
  <c r="H44" i="1"/>
  <c r="D44" i="1"/>
  <c r="H43" i="1"/>
  <c r="D43" i="1"/>
  <c r="H42" i="1"/>
  <c r="D42" i="1"/>
  <c r="H41" i="1"/>
  <c r="D41" i="1"/>
  <c r="H40" i="1"/>
  <c r="D40" i="1"/>
  <c r="H39" i="1"/>
  <c r="D39" i="1"/>
  <c r="H38" i="1"/>
  <c r="D38" i="1"/>
  <c r="H37" i="1"/>
  <c r="D37" i="1"/>
  <c r="H36" i="1"/>
  <c r="D36" i="1"/>
  <c r="H35" i="1"/>
  <c r="D35" i="1"/>
  <c r="H34" i="1"/>
  <c r="D34" i="1"/>
  <c r="H33" i="1"/>
  <c r="D33" i="1"/>
  <c r="H32" i="1"/>
  <c r="D32" i="1"/>
  <c r="H31" i="1"/>
  <c r="D31" i="1"/>
  <c r="H30" i="1"/>
  <c r="D30" i="1"/>
  <c r="H29" i="1"/>
  <c r="D29" i="1"/>
  <c r="H28" i="1"/>
  <c r="D28" i="1"/>
  <c r="H27" i="1"/>
  <c r="D27" i="1"/>
  <c r="H26" i="1"/>
  <c r="D26" i="1"/>
  <c r="H25" i="1"/>
  <c r="D25" i="1"/>
  <c r="H24" i="1"/>
  <c r="D24" i="1"/>
  <c r="H23" i="1"/>
  <c r="D23" i="1"/>
  <c r="H22" i="1"/>
  <c r="D22" i="1"/>
  <c r="H21" i="1"/>
  <c r="D21" i="1"/>
  <c r="H20" i="1"/>
  <c r="D20" i="1"/>
  <c r="H19" i="1"/>
  <c r="D19" i="1"/>
  <c r="H18" i="1"/>
  <c r="D18" i="1"/>
  <c r="H17" i="1"/>
  <c r="D17" i="1"/>
  <c r="H16" i="1"/>
  <c r="D16" i="1"/>
  <c r="H15" i="1"/>
  <c r="D15" i="1"/>
  <c r="H14" i="1"/>
  <c r="D14" i="1"/>
  <c r="H13" i="1"/>
  <c r="D13" i="1"/>
  <c r="H12" i="1"/>
  <c r="D12" i="1"/>
  <c r="H11" i="1"/>
  <c r="D11" i="1"/>
  <c r="H10" i="1"/>
  <c r="D10" i="1"/>
  <c r="H9" i="1"/>
  <c r="D9" i="1"/>
  <c r="H8" i="1"/>
  <c r="D8" i="1"/>
  <c r="H7" i="1"/>
  <c r="D7" i="1"/>
  <c r="H6" i="1"/>
  <c r="D6" i="1"/>
  <c r="H5" i="1"/>
  <c r="D5" i="1"/>
  <c r="H4" i="1"/>
  <c r="D4" i="1"/>
  <c r="H3" i="1"/>
  <c r="D3" i="1"/>
  <c r="H44" i="13"/>
  <c r="H45" i="13"/>
  <c r="H46" i="13"/>
  <c r="H47" i="13"/>
  <c r="H48" i="13"/>
  <c r="H49" i="13"/>
  <c r="H50" i="13"/>
  <c r="H51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J53" i="19" l="1"/>
  <c r="K53" i="19" s="1"/>
  <c r="L53" i="19" s="1"/>
  <c r="J53" i="18"/>
  <c r="J52" i="18"/>
  <c r="E52" i="19"/>
  <c r="E51" i="19" s="1"/>
  <c r="J51" i="19" s="1"/>
  <c r="K51" i="19" s="1"/>
  <c r="L51" i="19" s="1"/>
  <c r="J52" i="22"/>
  <c r="K52" i="22" s="1"/>
  <c r="L52" i="22" s="1"/>
  <c r="I51" i="22"/>
  <c r="I50" i="22" s="1"/>
  <c r="I49" i="22" s="1"/>
  <c r="I48" i="22" s="1"/>
  <c r="I47" i="22" s="1"/>
  <c r="I46" i="22" s="1"/>
  <c r="I45" i="22" s="1"/>
  <c r="I44" i="22" s="1"/>
  <c r="I43" i="22" s="1"/>
  <c r="I42" i="22" s="1"/>
  <c r="I41" i="22" s="1"/>
  <c r="I40" i="22" s="1"/>
  <c r="I39" i="22" s="1"/>
  <c r="I38" i="22" s="1"/>
  <c r="I37" i="22" s="1"/>
  <c r="I36" i="22" s="1"/>
  <c r="I35" i="22" s="1"/>
  <c r="I34" i="22" s="1"/>
  <c r="I33" i="22" s="1"/>
  <c r="I32" i="22" s="1"/>
  <c r="I31" i="22" s="1"/>
  <c r="I30" i="22" s="1"/>
  <c r="I29" i="22" s="1"/>
  <c r="I28" i="22" s="1"/>
  <c r="I27" i="22" s="1"/>
  <c r="I26" i="22" s="1"/>
  <c r="I25" i="22" s="1"/>
  <c r="I24" i="22" s="1"/>
  <c r="I23" i="22" s="1"/>
  <c r="I22" i="22" s="1"/>
  <c r="I21" i="22" s="1"/>
  <c r="I20" i="22" s="1"/>
  <c r="I19" i="22" s="1"/>
  <c r="I18" i="22" s="1"/>
  <c r="I17" i="22" s="1"/>
  <c r="I16" i="22" s="1"/>
  <c r="I15" i="22" s="1"/>
  <c r="I14" i="22" s="1"/>
  <c r="I13" i="22" s="1"/>
  <c r="I12" i="22" s="1"/>
  <c r="I11" i="22" s="1"/>
  <c r="I10" i="22" s="1"/>
  <c r="I9" i="22" s="1"/>
  <c r="I8" i="22" s="1"/>
  <c r="I7" i="22" s="1"/>
  <c r="I6" i="22" s="1"/>
  <c r="I5" i="22" s="1"/>
  <c r="I4" i="22" s="1"/>
  <c r="I3" i="22" s="1"/>
  <c r="J53" i="15"/>
  <c r="K53" i="15" s="1"/>
  <c r="L53" i="15" s="1"/>
  <c r="K53" i="22"/>
  <c r="L53" i="22" s="1"/>
  <c r="N53" i="22" s="1"/>
  <c r="M54" i="17"/>
  <c r="N54" i="17"/>
  <c r="K54" i="22"/>
  <c r="N54" i="22"/>
  <c r="R54" i="1"/>
  <c r="S54" i="1" s="1"/>
  <c r="T54" i="1" s="1"/>
  <c r="O54" i="1"/>
  <c r="N54" i="13"/>
  <c r="K53" i="1"/>
  <c r="L53" i="1" s="1"/>
  <c r="M53" i="1" s="1"/>
  <c r="P53" i="1" s="1"/>
  <c r="P54" i="13"/>
  <c r="N54" i="21"/>
  <c r="M54" i="21"/>
  <c r="J53" i="21"/>
  <c r="E52" i="21"/>
  <c r="J51" i="22"/>
  <c r="K51" i="22" s="1"/>
  <c r="L51" i="22" s="1"/>
  <c r="E50" i="22"/>
  <c r="N54" i="19"/>
  <c r="M54" i="19"/>
  <c r="K54" i="19"/>
  <c r="I51" i="18"/>
  <c r="I50" i="18" s="1"/>
  <c r="I49" i="18" s="1"/>
  <c r="I48" i="18" s="1"/>
  <c r="I47" i="18" s="1"/>
  <c r="I46" i="18" s="1"/>
  <c r="I45" i="18" s="1"/>
  <c r="I44" i="18" s="1"/>
  <c r="I43" i="18" s="1"/>
  <c r="I42" i="18" s="1"/>
  <c r="I41" i="18" s="1"/>
  <c r="I40" i="18" s="1"/>
  <c r="I39" i="18" s="1"/>
  <c r="I38" i="18" s="1"/>
  <c r="I37" i="18" s="1"/>
  <c r="I36" i="18" s="1"/>
  <c r="I35" i="18" s="1"/>
  <c r="I34" i="18" s="1"/>
  <c r="I33" i="18" s="1"/>
  <c r="I32" i="18" s="1"/>
  <c r="I31" i="18" s="1"/>
  <c r="I30" i="18" s="1"/>
  <c r="I29" i="18" s="1"/>
  <c r="I28" i="18" s="1"/>
  <c r="I27" i="18" s="1"/>
  <c r="I26" i="18" s="1"/>
  <c r="I25" i="18" s="1"/>
  <c r="I24" i="18" s="1"/>
  <c r="I23" i="18" s="1"/>
  <c r="I22" i="18" s="1"/>
  <c r="I21" i="18" s="1"/>
  <c r="I20" i="18" s="1"/>
  <c r="I19" i="18" s="1"/>
  <c r="I18" i="18" s="1"/>
  <c r="I17" i="18" s="1"/>
  <c r="I16" i="18" s="1"/>
  <c r="I15" i="18" s="1"/>
  <c r="I14" i="18" s="1"/>
  <c r="I13" i="18" s="1"/>
  <c r="I12" i="18" s="1"/>
  <c r="I11" i="18" s="1"/>
  <c r="I10" i="18" s="1"/>
  <c r="I9" i="18" s="1"/>
  <c r="I8" i="18" s="1"/>
  <c r="I7" i="18" s="1"/>
  <c r="I6" i="18" s="1"/>
  <c r="I5" i="18" s="1"/>
  <c r="I4" i="18" s="1"/>
  <c r="I3" i="18" s="1"/>
  <c r="K52" i="18"/>
  <c r="L52" i="18" s="1"/>
  <c r="M52" i="18" s="1"/>
  <c r="N54" i="18"/>
  <c r="M54" i="18"/>
  <c r="K54" i="18"/>
  <c r="N52" i="18"/>
  <c r="E50" i="18"/>
  <c r="K53" i="18"/>
  <c r="L53" i="18" s="1"/>
  <c r="N53" i="18" s="1"/>
  <c r="N53" i="17"/>
  <c r="M53" i="17"/>
  <c r="J52" i="17"/>
  <c r="E51" i="17"/>
  <c r="E49" i="15"/>
  <c r="N54" i="15"/>
  <c r="M54" i="15"/>
  <c r="I51" i="15"/>
  <c r="I50" i="15" s="1"/>
  <c r="I49" i="15" s="1"/>
  <c r="I48" i="15" s="1"/>
  <c r="I47" i="15" s="1"/>
  <c r="I46" i="15" s="1"/>
  <c r="I45" i="15" s="1"/>
  <c r="I44" i="15" s="1"/>
  <c r="I43" i="15" s="1"/>
  <c r="I42" i="15" s="1"/>
  <c r="I41" i="15" s="1"/>
  <c r="I40" i="15" s="1"/>
  <c r="I39" i="15" s="1"/>
  <c r="I38" i="15" s="1"/>
  <c r="I37" i="15" s="1"/>
  <c r="I36" i="15" s="1"/>
  <c r="I35" i="15" s="1"/>
  <c r="I34" i="15" s="1"/>
  <c r="I33" i="15" s="1"/>
  <c r="I32" i="15" s="1"/>
  <c r="I31" i="15" s="1"/>
  <c r="I30" i="15" s="1"/>
  <c r="I29" i="15" s="1"/>
  <c r="I28" i="15" s="1"/>
  <c r="I27" i="15" s="1"/>
  <c r="I26" i="15" s="1"/>
  <c r="I25" i="15" s="1"/>
  <c r="I24" i="15" s="1"/>
  <c r="I23" i="15" s="1"/>
  <c r="I22" i="15" s="1"/>
  <c r="I21" i="15" s="1"/>
  <c r="I20" i="15" s="1"/>
  <c r="I19" i="15" s="1"/>
  <c r="I18" i="15" s="1"/>
  <c r="I17" i="15" s="1"/>
  <c r="I16" i="15" s="1"/>
  <c r="I15" i="15" s="1"/>
  <c r="I14" i="15" s="1"/>
  <c r="I13" i="15" s="1"/>
  <c r="I12" i="15" s="1"/>
  <c r="I11" i="15" s="1"/>
  <c r="I10" i="15" s="1"/>
  <c r="I9" i="15" s="1"/>
  <c r="I8" i="15" s="1"/>
  <c r="I7" i="15" s="1"/>
  <c r="I6" i="15" s="1"/>
  <c r="I5" i="15" s="1"/>
  <c r="I4" i="15" s="1"/>
  <c r="I3" i="15" s="1"/>
  <c r="J52" i="15"/>
  <c r="M54" i="14"/>
  <c r="N54" i="14"/>
  <c r="J52" i="14"/>
  <c r="E51" i="14"/>
  <c r="K54" i="14"/>
  <c r="J53" i="14"/>
  <c r="I52" i="1"/>
  <c r="I51" i="1" s="1"/>
  <c r="E52" i="1"/>
  <c r="E51" i="1" s="1"/>
  <c r="I51" i="13"/>
  <c r="N53" i="19" l="1"/>
  <c r="M53" i="19"/>
  <c r="J52" i="19"/>
  <c r="M53" i="15"/>
  <c r="N53" i="15"/>
  <c r="E50" i="19"/>
  <c r="E49" i="19" s="1"/>
  <c r="N52" i="22"/>
  <c r="M53" i="22"/>
  <c r="M52" i="22"/>
  <c r="Q54" i="13"/>
  <c r="R54" i="13" s="1"/>
  <c r="S54" i="13" s="1"/>
  <c r="T54" i="13" s="1"/>
  <c r="O54" i="13"/>
  <c r="I50" i="1"/>
  <c r="I50" i="13"/>
  <c r="N53" i="1"/>
  <c r="Q53" i="1" s="1"/>
  <c r="R53" i="1" s="1"/>
  <c r="S53" i="1" s="1"/>
  <c r="T53" i="1" s="1"/>
  <c r="J52" i="21"/>
  <c r="E51" i="21"/>
  <c r="K53" i="21"/>
  <c r="L53" i="21" s="1"/>
  <c r="N53" i="21" s="1"/>
  <c r="N51" i="22"/>
  <c r="M51" i="22"/>
  <c r="E49" i="22"/>
  <c r="J50" i="22"/>
  <c r="K52" i="19"/>
  <c r="L52" i="19" s="1"/>
  <c r="M52" i="19" s="1"/>
  <c r="N51" i="19"/>
  <c r="M51" i="19"/>
  <c r="J50" i="18"/>
  <c r="E49" i="18"/>
  <c r="J51" i="18"/>
  <c r="M53" i="18"/>
  <c r="K52" i="17"/>
  <c r="L52" i="17" s="1"/>
  <c r="M52" i="17" s="1"/>
  <c r="J51" i="17"/>
  <c r="K51" i="17" s="1"/>
  <c r="L51" i="17" s="1"/>
  <c r="E50" i="17"/>
  <c r="J49" i="15"/>
  <c r="E48" i="15"/>
  <c r="K52" i="15"/>
  <c r="L52" i="15" s="1"/>
  <c r="N52" i="15" s="1"/>
  <c r="J50" i="15"/>
  <c r="J51" i="15"/>
  <c r="K51" i="15" s="1"/>
  <c r="L51" i="15" s="1"/>
  <c r="K50" i="15"/>
  <c r="L50" i="15" s="1"/>
  <c r="K53" i="14"/>
  <c r="L53" i="14" s="1"/>
  <c r="M53" i="14" s="1"/>
  <c r="J51" i="14"/>
  <c r="K51" i="14" s="1"/>
  <c r="L51" i="14" s="1"/>
  <c r="E50" i="14"/>
  <c r="K52" i="14"/>
  <c r="L52" i="14" s="1"/>
  <c r="N52" i="14" s="1"/>
  <c r="E50" i="1"/>
  <c r="E49" i="1" s="1"/>
  <c r="J51" i="1"/>
  <c r="J52" i="1"/>
  <c r="K52" i="1" s="1"/>
  <c r="L52" i="1" s="1"/>
  <c r="J50" i="19" l="1"/>
  <c r="K50" i="19" s="1"/>
  <c r="L50" i="19" s="1"/>
  <c r="N53" i="14"/>
  <c r="N52" i="19"/>
  <c r="N52" i="17"/>
  <c r="O53" i="1"/>
  <c r="I49" i="1"/>
  <c r="J49" i="1" s="1"/>
  <c r="K49" i="1" s="1"/>
  <c r="L49" i="1" s="1"/>
  <c r="I49" i="13"/>
  <c r="P54" i="15"/>
  <c r="O54" i="22"/>
  <c r="O54" i="17"/>
  <c r="P54" i="17"/>
  <c r="P54" i="22"/>
  <c r="O54" i="15"/>
  <c r="P54" i="21"/>
  <c r="O54" i="14"/>
  <c r="P54" i="19"/>
  <c r="P54" i="18"/>
  <c r="O54" i="21"/>
  <c r="O54" i="18"/>
  <c r="O54" i="19"/>
  <c r="P54" i="14"/>
  <c r="K52" i="21"/>
  <c r="L52" i="21" s="1"/>
  <c r="N52" i="21" s="1"/>
  <c r="M53" i="21"/>
  <c r="J51" i="21"/>
  <c r="K51" i="21" s="1"/>
  <c r="L51" i="21" s="1"/>
  <c r="E50" i="21"/>
  <c r="K50" i="22"/>
  <c r="L50" i="22" s="1"/>
  <c r="N50" i="22" s="1"/>
  <c r="J49" i="22"/>
  <c r="K49" i="22"/>
  <c r="L49" i="22" s="1"/>
  <c r="E48" i="22"/>
  <c r="J49" i="19"/>
  <c r="E48" i="19"/>
  <c r="K51" i="18"/>
  <c r="L51" i="18" s="1"/>
  <c r="M51" i="18" s="1"/>
  <c r="J49" i="18"/>
  <c r="E48" i="18"/>
  <c r="K50" i="18"/>
  <c r="L50" i="18" s="1"/>
  <c r="M50" i="18" s="1"/>
  <c r="J50" i="17"/>
  <c r="K50" i="17" s="1"/>
  <c r="L50" i="17" s="1"/>
  <c r="E49" i="17"/>
  <c r="N51" i="17"/>
  <c r="M51" i="17"/>
  <c r="M52" i="15"/>
  <c r="N51" i="15"/>
  <c r="M51" i="15"/>
  <c r="M50" i="15"/>
  <c r="N50" i="15"/>
  <c r="J48" i="15"/>
  <c r="E47" i="15"/>
  <c r="K49" i="15"/>
  <c r="L49" i="15" s="1"/>
  <c r="N49" i="15" s="1"/>
  <c r="M52" i="14"/>
  <c r="J50" i="14"/>
  <c r="K50" i="14" s="1"/>
  <c r="L50" i="14" s="1"/>
  <c r="E49" i="14"/>
  <c r="N51" i="14"/>
  <c r="M51" i="14"/>
  <c r="J50" i="1"/>
  <c r="K50" i="1" s="1"/>
  <c r="L50" i="1" s="1"/>
  <c r="N52" i="1"/>
  <c r="Q52" i="1" s="1"/>
  <c r="M52" i="1"/>
  <c r="P52" i="1" s="1"/>
  <c r="K51" i="1"/>
  <c r="L51" i="1" s="1"/>
  <c r="N51" i="1" s="1"/>
  <c r="Q51" i="1" s="1"/>
  <c r="E48" i="1"/>
  <c r="M52" i="21" l="1"/>
  <c r="N50" i="19"/>
  <c r="M50" i="19"/>
  <c r="M49" i="15"/>
  <c r="M50" i="22"/>
  <c r="R52" i="1"/>
  <c r="S52" i="1" s="1"/>
  <c r="T52" i="1" s="1"/>
  <c r="P52" i="17"/>
  <c r="O52" i="1"/>
  <c r="I48" i="1"/>
  <c r="J48" i="1" s="1"/>
  <c r="K48" i="1" s="1"/>
  <c r="L48" i="1" s="1"/>
  <c r="I48" i="13"/>
  <c r="Q54" i="15"/>
  <c r="R54" i="15" s="1"/>
  <c r="S54" i="15" s="1"/>
  <c r="O53" i="14"/>
  <c r="P53" i="21"/>
  <c r="Q54" i="19"/>
  <c r="R54" i="19" s="1"/>
  <c r="S54" i="19" s="1"/>
  <c r="Q54" i="21"/>
  <c r="R54" i="21" s="1"/>
  <c r="S54" i="21" s="1"/>
  <c r="O53" i="21"/>
  <c r="P53" i="14"/>
  <c r="P52" i="14"/>
  <c r="O53" i="18"/>
  <c r="P52" i="21"/>
  <c r="P52" i="19"/>
  <c r="Q54" i="14"/>
  <c r="R54" i="14" s="1"/>
  <c r="S54" i="14" s="1"/>
  <c r="P52" i="18"/>
  <c r="P52" i="22"/>
  <c r="Q54" i="18"/>
  <c r="R54" i="18" s="1"/>
  <c r="S54" i="18" s="1"/>
  <c r="Q54" i="17"/>
  <c r="R54" i="17" s="1"/>
  <c r="S54" i="17" s="1"/>
  <c r="P53" i="22"/>
  <c r="P53" i="15"/>
  <c r="P53" i="19"/>
  <c r="P53" i="18"/>
  <c r="P53" i="17"/>
  <c r="O53" i="22"/>
  <c r="O53" i="17"/>
  <c r="O53" i="15"/>
  <c r="O53" i="19"/>
  <c r="P52" i="15"/>
  <c r="Q54" i="22"/>
  <c r="R54" i="22" s="1"/>
  <c r="S54" i="22" s="1"/>
  <c r="E49" i="21"/>
  <c r="J50" i="21"/>
  <c r="K50" i="21" s="1"/>
  <c r="L50" i="21" s="1"/>
  <c r="N51" i="21"/>
  <c r="M51" i="21"/>
  <c r="E47" i="22"/>
  <c r="J48" i="22"/>
  <c r="K48" i="22" s="1"/>
  <c r="L48" i="22" s="1"/>
  <c r="N49" i="22"/>
  <c r="M49" i="22"/>
  <c r="J48" i="19"/>
  <c r="K48" i="19" s="1"/>
  <c r="L48" i="19" s="1"/>
  <c r="E47" i="19"/>
  <c r="K49" i="19"/>
  <c r="L49" i="19" s="1"/>
  <c r="N49" i="19" s="1"/>
  <c r="N50" i="18"/>
  <c r="N51" i="18"/>
  <c r="J48" i="18"/>
  <c r="K48" i="18" s="1"/>
  <c r="L48" i="18" s="1"/>
  <c r="E47" i="18"/>
  <c r="K49" i="18"/>
  <c r="L49" i="18" s="1"/>
  <c r="N49" i="18" s="1"/>
  <c r="J49" i="17"/>
  <c r="K49" i="17" s="1"/>
  <c r="L49" i="17" s="1"/>
  <c r="E48" i="17"/>
  <c r="N50" i="17"/>
  <c r="M50" i="17"/>
  <c r="J47" i="15"/>
  <c r="K47" i="15"/>
  <c r="L47" i="15" s="1"/>
  <c r="E46" i="15"/>
  <c r="K48" i="15"/>
  <c r="L48" i="15" s="1"/>
  <c r="M48" i="15" s="1"/>
  <c r="J49" i="14"/>
  <c r="K49" i="14" s="1"/>
  <c r="L49" i="14" s="1"/>
  <c r="E48" i="14"/>
  <c r="N50" i="14"/>
  <c r="M50" i="14"/>
  <c r="M50" i="1"/>
  <c r="P50" i="1" s="1"/>
  <c r="N50" i="1"/>
  <c r="Q50" i="1" s="1"/>
  <c r="M51" i="1"/>
  <c r="P51" i="1" s="1"/>
  <c r="R51" i="1" s="1"/>
  <c r="S51" i="1" s="1"/>
  <c r="T51" i="1" s="1"/>
  <c r="E47" i="1"/>
  <c r="N49" i="1"/>
  <c r="Q49" i="1" s="1"/>
  <c r="M49" i="1"/>
  <c r="P49" i="1" s="1"/>
  <c r="N48" i="15" l="1"/>
  <c r="M49" i="18"/>
  <c r="R49" i="1"/>
  <c r="S49" i="1" s="1"/>
  <c r="T49" i="1" s="1"/>
  <c r="R50" i="1"/>
  <c r="S50" i="1" s="1"/>
  <c r="T50" i="1" s="1"/>
  <c r="O52" i="15"/>
  <c r="Q52" i="15" s="1"/>
  <c r="R52" i="15" s="1"/>
  <c r="S52" i="15" s="1"/>
  <c r="O50" i="15"/>
  <c r="P51" i="14"/>
  <c r="O50" i="1"/>
  <c r="P50" i="19"/>
  <c r="O49" i="1"/>
  <c r="O51" i="1"/>
  <c r="I47" i="1"/>
  <c r="J47" i="1" s="1"/>
  <c r="I47" i="13"/>
  <c r="Q53" i="14"/>
  <c r="R53" i="14" s="1"/>
  <c r="S53" i="14" s="1"/>
  <c r="Q53" i="21"/>
  <c r="R53" i="21" s="1"/>
  <c r="S53" i="21" s="1"/>
  <c r="Q53" i="17"/>
  <c r="R53" i="17" s="1"/>
  <c r="S53" i="17" s="1"/>
  <c r="O50" i="17"/>
  <c r="O50" i="22"/>
  <c r="P50" i="15"/>
  <c r="O51" i="21"/>
  <c r="Q53" i="19"/>
  <c r="R53" i="19" s="1"/>
  <c r="S53" i="19" s="1"/>
  <c r="O52" i="14"/>
  <c r="Q52" i="14" s="1"/>
  <c r="R52" i="14" s="1"/>
  <c r="S52" i="14" s="1"/>
  <c r="P50" i="17"/>
  <c r="Q53" i="15"/>
  <c r="R53" i="15" s="1"/>
  <c r="S53" i="15" s="1"/>
  <c r="Q53" i="18"/>
  <c r="R53" i="18" s="1"/>
  <c r="S53" i="18" s="1"/>
  <c r="O50" i="18"/>
  <c r="O52" i="21"/>
  <c r="Q52" i="21" s="1"/>
  <c r="R52" i="21" s="1"/>
  <c r="S52" i="21" s="1"/>
  <c r="O51" i="22"/>
  <c r="O51" i="19"/>
  <c r="P51" i="21"/>
  <c r="Q53" i="22"/>
  <c r="R53" i="22" s="1"/>
  <c r="S53" i="22" s="1"/>
  <c r="P50" i="22"/>
  <c r="P51" i="22"/>
  <c r="P51" i="19"/>
  <c r="P51" i="17"/>
  <c r="P51" i="18"/>
  <c r="O50" i="14"/>
  <c r="P50" i="18"/>
  <c r="O51" i="18"/>
  <c r="O50" i="19"/>
  <c r="O51" i="15"/>
  <c r="P50" i="14"/>
  <c r="O51" i="17"/>
  <c r="O51" i="14"/>
  <c r="O52" i="22"/>
  <c r="Q52" i="22" s="1"/>
  <c r="R52" i="22" s="1"/>
  <c r="S52" i="22" s="1"/>
  <c r="O52" i="18"/>
  <c r="Q52" i="18" s="1"/>
  <c r="R52" i="18" s="1"/>
  <c r="S52" i="18" s="1"/>
  <c r="O52" i="19"/>
  <c r="Q52" i="19" s="1"/>
  <c r="R52" i="19" s="1"/>
  <c r="S52" i="19" s="1"/>
  <c r="O52" i="17"/>
  <c r="Q52" i="17" s="1"/>
  <c r="R52" i="17" s="1"/>
  <c r="S52" i="17" s="1"/>
  <c r="P51" i="15"/>
  <c r="J49" i="21"/>
  <c r="E48" i="21"/>
  <c r="M50" i="21"/>
  <c r="O50" i="21" s="1"/>
  <c r="N50" i="21"/>
  <c r="P50" i="21" s="1"/>
  <c r="J47" i="22"/>
  <c r="K47" i="22" s="1"/>
  <c r="L47" i="22" s="1"/>
  <c r="E46" i="22"/>
  <c r="N48" i="22"/>
  <c r="M48" i="22"/>
  <c r="N48" i="19"/>
  <c r="M48" i="19"/>
  <c r="M49" i="19"/>
  <c r="J47" i="19"/>
  <c r="E46" i="19"/>
  <c r="N48" i="18"/>
  <c r="M48" i="18"/>
  <c r="J47" i="18"/>
  <c r="E46" i="18"/>
  <c r="J48" i="17"/>
  <c r="E47" i="17"/>
  <c r="N49" i="17"/>
  <c r="M49" i="17"/>
  <c r="E45" i="15"/>
  <c r="J46" i="15"/>
  <c r="N47" i="15"/>
  <c r="M47" i="15"/>
  <c r="N49" i="14"/>
  <c r="M49" i="14"/>
  <c r="J48" i="14"/>
  <c r="E47" i="14"/>
  <c r="E46" i="1"/>
  <c r="N48" i="1"/>
  <c r="Q48" i="1" s="1"/>
  <c r="M48" i="1"/>
  <c r="P48" i="1" s="1"/>
  <c r="Q50" i="19" l="1"/>
  <c r="R50" i="19" s="1"/>
  <c r="S50" i="19" s="1"/>
  <c r="Q51" i="14"/>
  <c r="R51" i="14" s="1"/>
  <c r="S51" i="14" s="1"/>
  <c r="R48" i="1"/>
  <c r="S48" i="1" s="1"/>
  <c r="T48" i="1" s="1"/>
  <c r="Q50" i="15"/>
  <c r="R50" i="15" s="1"/>
  <c r="S50" i="15" s="1"/>
  <c r="O49" i="15"/>
  <c r="P49" i="15"/>
  <c r="O48" i="1"/>
  <c r="I46" i="1"/>
  <c r="J46" i="1" s="1"/>
  <c r="K46" i="1" s="1"/>
  <c r="L46" i="1" s="1"/>
  <c r="I46" i="13"/>
  <c r="Q51" i="17"/>
  <c r="R51" i="17" s="1"/>
  <c r="S51" i="17" s="1"/>
  <c r="Q51" i="21"/>
  <c r="R51" i="21" s="1"/>
  <c r="S51" i="21" s="1"/>
  <c r="Q50" i="17"/>
  <c r="R50" i="17" s="1"/>
  <c r="S50" i="17" s="1"/>
  <c r="Q50" i="22"/>
  <c r="R50" i="22" s="1"/>
  <c r="S50" i="22" s="1"/>
  <c r="Q50" i="14"/>
  <c r="R50" i="14" s="1"/>
  <c r="S50" i="14" s="1"/>
  <c r="Q51" i="19"/>
  <c r="R51" i="19" s="1"/>
  <c r="S51" i="19" s="1"/>
  <c r="Q51" i="15"/>
  <c r="R51" i="15" s="1"/>
  <c r="S51" i="15" s="1"/>
  <c r="P49" i="18"/>
  <c r="P49" i="22"/>
  <c r="O49" i="18"/>
  <c r="Q51" i="18"/>
  <c r="R51" i="18" s="1"/>
  <c r="S51" i="18" s="1"/>
  <c r="O49" i="22"/>
  <c r="O49" i="14"/>
  <c r="P49" i="19"/>
  <c r="Q50" i="18"/>
  <c r="R50" i="18" s="1"/>
  <c r="S50" i="18" s="1"/>
  <c r="O49" i="17"/>
  <c r="P49" i="17"/>
  <c r="P49" i="14"/>
  <c r="O49" i="19"/>
  <c r="Q51" i="22"/>
  <c r="R51" i="22" s="1"/>
  <c r="S51" i="22" s="1"/>
  <c r="K49" i="21"/>
  <c r="L49" i="21" s="1"/>
  <c r="M49" i="21" s="1"/>
  <c r="O49" i="21" s="1"/>
  <c r="Q50" i="21"/>
  <c r="R50" i="21" s="1"/>
  <c r="S50" i="21" s="1"/>
  <c r="J48" i="21"/>
  <c r="K48" i="21" s="1"/>
  <c r="L48" i="21" s="1"/>
  <c r="E47" i="21"/>
  <c r="J46" i="22"/>
  <c r="K46" i="22" s="1"/>
  <c r="L46" i="22" s="1"/>
  <c r="E45" i="22"/>
  <c r="N47" i="22"/>
  <c r="M47" i="22"/>
  <c r="J46" i="19"/>
  <c r="E45" i="19"/>
  <c r="K47" i="19"/>
  <c r="L47" i="19" s="1"/>
  <c r="N47" i="19" s="1"/>
  <c r="J46" i="18"/>
  <c r="E45" i="18"/>
  <c r="K47" i="18"/>
  <c r="L47" i="18" s="1"/>
  <c r="M47" i="18" s="1"/>
  <c r="J47" i="17"/>
  <c r="K47" i="17" s="1"/>
  <c r="L47" i="17" s="1"/>
  <c r="E46" i="17"/>
  <c r="K48" i="17"/>
  <c r="L48" i="17" s="1"/>
  <c r="N48" i="17" s="1"/>
  <c r="J45" i="15"/>
  <c r="E44" i="15"/>
  <c r="K46" i="15"/>
  <c r="L46" i="15" s="1"/>
  <c r="M46" i="15" s="1"/>
  <c r="J47" i="14"/>
  <c r="E46" i="14"/>
  <c r="K48" i="14"/>
  <c r="L48" i="14" s="1"/>
  <c r="N48" i="14" s="1"/>
  <c r="E45" i="1"/>
  <c r="K47" i="1"/>
  <c r="L47" i="1" s="1"/>
  <c r="M47" i="1" s="1"/>
  <c r="P47" i="1" s="1"/>
  <c r="N49" i="21" l="1"/>
  <c r="P49" i="21" s="1"/>
  <c r="Q49" i="21" s="1"/>
  <c r="R49" i="21" s="1"/>
  <c r="S49" i="21" s="1"/>
  <c r="Q49" i="15"/>
  <c r="R49" i="15" s="1"/>
  <c r="S49" i="15" s="1"/>
  <c r="O48" i="15"/>
  <c r="I45" i="1"/>
  <c r="J45" i="1" s="1"/>
  <c r="K45" i="1" s="1"/>
  <c r="L45" i="1" s="1"/>
  <c r="I45" i="13"/>
  <c r="Q49" i="14"/>
  <c r="R49" i="14" s="1"/>
  <c r="S49" i="14" s="1"/>
  <c r="Q49" i="22"/>
  <c r="R49" i="22" s="1"/>
  <c r="S49" i="22" s="1"/>
  <c r="Q49" i="18"/>
  <c r="R49" i="18" s="1"/>
  <c r="S49" i="18" s="1"/>
  <c r="Q49" i="19"/>
  <c r="R49" i="19" s="1"/>
  <c r="S49" i="19" s="1"/>
  <c r="O48" i="22"/>
  <c r="O48" i="19"/>
  <c r="O48" i="18"/>
  <c r="Q49" i="17"/>
  <c r="R49" i="17" s="1"/>
  <c r="S49" i="17" s="1"/>
  <c r="J47" i="21"/>
  <c r="E46" i="21"/>
  <c r="N48" i="21"/>
  <c r="M48" i="21"/>
  <c r="O48" i="21" s="1"/>
  <c r="J45" i="22"/>
  <c r="E44" i="22"/>
  <c r="K45" i="22"/>
  <c r="L45" i="22" s="1"/>
  <c r="N46" i="22"/>
  <c r="M46" i="22"/>
  <c r="J45" i="19"/>
  <c r="E44" i="19"/>
  <c r="K46" i="19"/>
  <c r="L46" i="19" s="1"/>
  <c r="M46" i="19" s="1"/>
  <c r="M47" i="19"/>
  <c r="N47" i="18"/>
  <c r="J45" i="18"/>
  <c r="E44" i="18"/>
  <c r="K46" i="18"/>
  <c r="L46" i="18" s="1"/>
  <c r="M46" i="18" s="1"/>
  <c r="N47" i="17"/>
  <c r="M47" i="17"/>
  <c r="M48" i="17"/>
  <c r="O48" i="17" s="1"/>
  <c r="J46" i="17"/>
  <c r="K46" i="17" s="1"/>
  <c r="L46" i="17" s="1"/>
  <c r="E45" i="17"/>
  <c r="N46" i="15"/>
  <c r="J44" i="15"/>
  <c r="E43" i="15"/>
  <c r="K45" i="15"/>
  <c r="L45" i="15" s="1"/>
  <c r="M45" i="15" s="1"/>
  <c r="M48" i="14"/>
  <c r="O48" i="14" s="1"/>
  <c r="J46" i="14"/>
  <c r="E45" i="14"/>
  <c r="K47" i="14"/>
  <c r="L47" i="14" s="1"/>
  <c r="N47" i="14" s="1"/>
  <c r="E44" i="1"/>
  <c r="M46" i="1"/>
  <c r="P46" i="1" s="1"/>
  <c r="N46" i="1"/>
  <c r="Q46" i="1" s="1"/>
  <c r="N47" i="1"/>
  <c r="Q47" i="1" s="1"/>
  <c r="R47" i="1" s="1"/>
  <c r="S47" i="1" s="1"/>
  <c r="T47" i="1" s="1"/>
  <c r="N46" i="18" l="1"/>
  <c r="R46" i="1"/>
  <c r="S46" i="1" s="1"/>
  <c r="T46" i="1" s="1"/>
  <c r="O47" i="15"/>
  <c r="P48" i="17"/>
  <c r="Q48" i="17" s="1"/>
  <c r="R48" i="17" s="1"/>
  <c r="S48" i="17" s="1"/>
  <c r="O47" i="1"/>
  <c r="P47" i="15"/>
  <c r="O46" i="1"/>
  <c r="I44" i="1"/>
  <c r="J44" i="1" s="1"/>
  <c r="K44" i="1" s="1"/>
  <c r="L44" i="1" s="1"/>
  <c r="I44" i="13"/>
  <c r="P47" i="17"/>
  <c r="P47" i="14"/>
  <c r="P47" i="18"/>
  <c r="P47" i="19"/>
  <c r="P48" i="14"/>
  <c r="Q48" i="14" s="1"/>
  <c r="R48" i="14" s="1"/>
  <c r="S48" i="14" s="1"/>
  <c r="P48" i="21"/>
  <c r="Q48" i="21" s="1"/>
  <c r="R48" i="21" s="1"/>
  <c r="S48" i="21" s="1"/>
  <c r="P48" i="15"/>
  <c r="Q48" i="15" s="1"/>
  <c r="R48" i="15" s="1"/>
  <c r="S48" i="15" s="1"/>
  <c r="P48" i="19"/>
  <c r="Q48" i="19" s="1"/>
  <c r="R48" i="19" s="1"/>
  <c r="S48" i="19" s="1"/>
  <c r="P48" i="18"/>
  <c r="Q48" i="18" s="1"/>
  <c r="R48" i="18" s="1"/>
  <c r="S48" i="18" s="1"/>
  <c r="P48" i="22"/>
  <c r="Q48" i="22" s="1"/>
  <c r="R48" i="22" s="1"/>
  <c r="S48" i="22" s="1"/>
  <c r="O47" i="18"/>
  <c r="P47" i="22"/>
  <c r="O47" i="17"/>
  <c r="O47" i="19"/>
  <c r="O47" i="22"/>
  <c r="K47" i="21"/>
  <c r="L47" i="21" s="1"/>
  <c r="N47" i="21" s="1"/>
  <c r="P47" i="21" s="1"/>
  <c r="J46" i="21"/>
  <c r="E45" i="21"/>
  <c r="E43" i="22"/>
  <c r="J44" i="22"/>
  <c r="N45" i="22"/>
  <c r="M45" i="22"/>
  <c r="N46" i="19"/>
  <c r="J44" i="19"/>
  <c r="K44" i="19" s="1"/>
  <c r="L44" i="19" s="1"/>
  <c r="E43" i="19"/>
  <c r="K45" i="19"/>
  <c r="L45" i="19" s="1"/>
  <c r="N45" i="19" s="1"/>
  <c r="J44" i="18"/>
  <c r="K44" i="18" s="1"/>
  <c r="L44" i="18" s="1"/>
  <c r="E43" i="18"/>
  <c r="K45" i="18"/>
  <c r="L45" i="18" s="1"/>
  <c r="N45" i="18" s="1"/>
  <c r="J45" i="17"/>
  <c r="K45" i="17" s="1"/>
  <c r="L45" i="17" s="1"/>
  <c r="E44" i="17"/>
  <c r="N46" i="17"/>
  <c r="M46" i="17"/>
  <c r="N45" i="15"/>
  <c r="J43" i="15"/>
  <c r="K43" i="15" s="1"/>
  <c r="L43" i="15" s="1"/>
  <c r="E42" i="15"/>
  <c r="K44" i="15"/>
  <c r="L44" i="15" s="1"/>
  <c r="M44" i="15" s="1"/>
  <c r="J45" i="14"/>
  <c r="K45" i="14" s="1"/>
  <c r="L45" i="14" s="1"/>
  <c r="E44" i="14"/>
  <c r="K46" i="14"/>
  <c r="L46" i="14" s="1"/>
  <c r="N46" i="14" s="1"/>
  <c r="M47" i="14"/>
  <c r="O47" i="14" s="1"/>
  <c r="E43" i="1"/>
  <c r="N45" i="1"/>
  <c r="Q45" i="1" s="1"/>
  <c r="M45" i="1"/>
  <c r="P45" i="1" s="1"/>
  <c r="R45" i="1" l="1"/>
  <c r="S45" i="1" s="1"/>
  <c r="T45" i="1" s="1"/>
  <c r="Q47" i="15"/>
  <c r="R47" i="15" s="1"/>
  <c r="S47" i="15" s="1"/>
  <c r="O46" i="15"/>
  <c r="P46" i="22"/>
  <c r="O45" i="1"/>
  <c r="I43" i="1"/>
  <c r="I43" i="13"/>
  <c r="Q47" i="19"/>
  <c r="R47" i="19" s="1"/>
  <c r="S47" i="19" s="1"/>
  <c r="Q47" i="17"/>
  <c r="R47" i="17" s="1"/>
  <c r="S47" i="17" s="1"/>
  <c r="P46" i="19"/>
  <c r="Q47" i="14"/>
  <c r="R47" i="14" s="1"/>
  <c r="S47" i="14" s="1"/>
  <c r="Q47" i="18"/>
  <c r="R47" i="18" s="1"/>
  <c r="S47" i="18" s="1"/>
  <c r="P46" i="18"/>
  <c r="O46" i="22"/>
  <c r="Q47" i="22"/>
  <c r="R47" i="22" s="1"/>
  <c r="S47" i="22" s="1"/>
  <c r="P46" i="14"/>
  <c r="O46" i="18"/>
  <c r="P46" i="17"/>
  <c r="P46" i="15"/>
  <c r="O46" i="19"/>
  <c r="O46" i="17"/>
  <c r="J45" i="21"/>
  <c r="E44" i="21"/>
  <c r="K46" i="21"/>
  <c r="L46" i="21" s="1"/>
  <c r="M46" i="21" s="1"/>
  <c r="O46" i="21" s="1"/>
  <c r="M47" i="21"/>
  <c r="O47" i="21" s="1"/>
  <c r="Q47" i="21" s="1"/>
  <c r="R47" i="21" s="1"/>
  <c r="S47" i="21" s="1"/>
  <c r="J43" i="22"/>
  <c r="E42" i="22"/>
  <c r="K44" i="22"/>
  <c r="L44" i="22" s="1"/>
  <c r="N44" i="22" s="1"/>
  <c r="J43" i="19"/>
  <c r="K43" i="19" s="1"/>
  <c r="L43" i="19" s="1"/>
  <c r="E42" i="19"/>
  <c r="M45" i="19"/>
  <c r="N44" i="19"/>
  <c r="M44" i="19"/>
  <c r="J43" i="18"/>
  <c r="K43" i="18" s="1"/>
  <c r="L43" i="18" s="1"/>
  <c r="E42" i="18"/>
  <c r="M45" i="18"/>
  <c r="N44" i="18"/>
  <c r="M44" i="18"/>
  <c r="J44" i="17"/>
  <c r="K44" i="17" s="1"/>
  <c r="L44" i="17" s="1"/>
  <c r="E43" i="17"/>
  <c r="N45" i="17"/>
  <c r="M45" i="17"/>
  <c r="N44" i="15"/>
  <c r="N43" i="15"/>
  <c r="M43" i="15"/>
  <c r="E41" i="15"/>
  <c r="J42" i="15"/>
  <c r="J44" i="14"/>
  <c r="E43" i="14"/>
  <c r="N45" i="14"/>
  <c r="M45" i="14"/>
  <c r="M46" i="14"/>
  <c r="O46" i="14" s="1"/>
  <c r="J43" i="1"/>
  <c r="E42" i="1"/>
  <c r="N44" i="1"/>
  <c r="Q44" i="1" s="1"/>
  <c r="M44" i="1"/>
  <c r="P44" i="1" s="1"/>
  <c r="R44" i="1" l="1"/>
  <c r="S44" i="1" s="1"/>
  <c r="T44" i="1" s="1"/>
  <c r="Q46" i="22"/>
  <c r="R46" i="22" s="1"/>
  <c r="S46" i="22" s="1"/>
  <c r="O45" i="15"/>
  <c r="Q46" i="15"/>
  <c r="R46" i="15" s="1"/>
  <c r="S46" i="15" s="1"/>
  <c r="P45" i="18"/>
  <c r="O44" i="1"/>
  <c r="I42" i="1"/>
  <c r="J42" i="1" s="1"/>
  <c r="I42" i="13"/>
  <c r="Q46" i="18"/>
  <c r="R46" i="18" s="1"/>
  <c r="S46" i="18" s="1"/>
  <c r="Q46" i="19"/>
  <c r="R46" i="19" s="1"/>
  <c r="S46" i="19" s="1"/>
  <c r="Q46" i="17"/>
  <c r="R46" i="17" s="1"/>
  <c r="S46" i="17" s="1"/>
  <c r="O45" i="14"/>
  <c r="P45" i="19"/>
  <c r="O45" i="17"/>
  <c r="P45" i="17"/>
  <c r="P45" i="15"/>
  <c r="O45" i="22"/>
  <c r="P45" i="22"/>
  <c r="P45" i="14"/>
  <c r="O45" i="19"/>
  <c r="O45" i="18"/>
  <c r="Q46" i="14"/>
  <c r="R46" i="14" s="1"/>
  <c r="S46" i="14" s="1"/>
  <c r="N46" i="21"/>
  <c r="P46" i="21" s="1"/>
  <c r="Q46" i="21" s="1"/>
  <c r="R46" i="21" s="1"/>
  <c r="S46" i="21" s="1"/>
  <c r="J44" i="21"/>
  <c r="K44" i="21" s="1"/>
  <c r="L44" i="21" s="1"/>
  <c r="E43" i="21"/>
  <c r="K45" i="21"/>
  <c r="L45" i="21" s="1"/>
  <c r="M45" i="21" s="1"/>
  <c r="O45" i="21" s="1"/>
  <c r="M44" i="22"/>
  <c r="J42" i="22"/>
  <c r="E41" i="22"/>
  <c r="K43" i="22"/>
  <c r="L43" i="22" s="1"/>
  <c r="N43" i="22" s="1"/>
  <c r="J42" i="19"/>
  <c r="E41" i="19"/>
  <c r="K42" i="19"/>
  <c r="L42" i="19" s="1"/>
  <c r="N43" i="19"/>
  <c r="M43" i="19"/>
  <c r="J42" i="18"/>
  <c r="K42" i="18" s="1"/>
  <c r="L42" i="18" s="1"/>
  <c r="E41" i="18"/>
  <c r="N43" i="18"/>
  <c r="M43" i="18"/>
  <c r="J43" i="17"/>
  <c r="K43" i="17" s="1"/>
  <c r="L43" i="17" s="1"/>
  <c r="E42" i="17"/>
  <c r="N44" i="17"/>
  <c r="M44" i="17"/>
  <c r="J41" i="15"/>
  <c r="E40" i="15"/>
  <c r="K42" i="15"/>
  <c r="L42" i="15" s="1"/>
  <c r="M42" i="15" s="1"/>
  <c r="J43" i="14"/>
  <c r="K43" i="14"/>
  <c r="L43" i="14" s="1"/>
  <c r="E42" i="14"/>
  <c r="K44" i="14"/>
  <c r="L44" i="14" s="1"/>
  <c r="N44" i="14" s="1"/>
  <c r="E41" i="1"/>
  <c r="K43" i="1"/>
  <c r="L43" i="1" s="1"/>
  <c r="N43" i="1" s="1"/>
  <c r="Q43" i="1" s="1"/>
  <c r="Q45" i="15" l="1"/>
  <c r="R45" i="15" s="1"/>
  <c r="S45" i="15" s="1"/>
  <c r="Q45" i="18"/>
  <c r="R45" i="18" s="1"/>
  <c r="S45" i="18" s="1"/>
  <c r="P44" i="15"/>
  <c r="I41" i="1"/>
  <c r="J41" i="1" s="1"/>
  <c r="K41" i="1" s="1"/>
  <c r="L41" i="1" s="1"/>
  <c r="I41" i="13"/>
  <c r="Q45" i="22"/>
  <c r="R45" i="22" s="1"/>
  <c r="S45" i="22" s="1"/>
  <c r="Q45" i="19"/>
  <c r="R45" i="19" s="1"/>
  <c r="S45" i="19" s="1"/>
  <c r="P44" i="14"/>
  <c r="P44" i="17"/>
  <c r="P44" i="19"/>
  <c r="P44" i="18"/>
  <c r="Q45" i="17"/>
  <c r="R45" i="17" s="1"/>
  <c r="S45" i="17" s="1"/>
  <c r="P44" i="22"/>
  <c r="Q45" i="14"/>
  <c r="R45" i="14" s="1"/>
  <c r="S45" i="14" s="1"/>
  <c r="J43" i="21"/>
  <c r="K43" i="21" s="1"/>
  <c r="L43" i="21" s="1"/>
  <c r="E42" i="21"/>
  <c r="N44" i="21"/>
  <c r="P44" i="21" s="1"/>
  <c r="M44" i="21"/>
  <c r="N45" i="21"/>
  <c r="P45" i="21" s="1"/>
  <c r="Q45" i="21" s="1"/>
  <c r="R45" i="21" s="1"/>
  <c r="S45" i="21" s="1"/>
  <c r="J41" i="22"/>
  <c r="K41" i="22" s="1"/>
  <c r="L41" i="22" s="1"/>
  <c r="E40" i="22"/>
  <c r="M43" i="22"/>
  <c r="K42" i="22"/>
  <c r="L42" i="22" s="1"/>
  <c r="M42" i="22" s="1"/>
  <c r="J41" i="19"/>
  <c r="E40" i="19"/>
  <c r="M42" i="19"/>
  <c r="N42" i="19"/>
  <c r="J41" i="18"/>
  <c r="K41" i="18" s="1"/>
  <c r="L41" i="18" s="1"/>
  <c r="E40" i="18"/>
  <c r="N42" i="18"/>
  <c r="M42" i="18"/>
  <c r="J42" i="17"/>
  <c r="E41" i="17"/>
  <c r="K42" i="17"/>
  <c r="L42" i="17" s="1"/>
  <c r="N43" i="17"/>
  <c r="M43" i="17"/>
  <c r="N42" i="15"/>
  <c r="J40" i="15"/>
  <c r="K40" i="15" s="1"/>
  <c r="L40" i="15" s="1"/>
  <c r="E39" i="15"/>
  <c r="K41" i="15"/>
  <c r="L41" i="15" s="1"/>
  <c r="N41" i="15" s="1"/>
  <c r="M44" i="14"/>
  <c r="J42" i="14"/>
  <c r="K42" i="14" s="1"/>
  <c r="L42" i="14" s="1"/>
  <c r="E41" i="14"/>
  <c r="N43" i="14"/>
  <c r="M43" i="14"/>
  <c r="M43" i="1"/>
  <c r="P43" i="1" s="1"/>
  <c r="R43" i="1" s="1"/>
  <c r="S43" i="1" s="1"/>
  <c r="T43" i="1" s="1"/>
  <c r="K42" i="1"/>
  <c r="L42" i="1" s="1"/>
  <c r="N42" i="1" s="1"/>
  <c r="Q42" i="1" s="1"/>
  <c r="E40" i="1"/>
  <c r="O44" i="22" l="1"/>
  <c r="Q44" i="22" s="1"/>
  <c r="R44" i="22" s="1"/>
  <c r="S44" i="22" s="1"/>
  <c r="P43" i="15"/>
  <c r="O43" i="1"/>
  <c r="I40" i="1"/>
  <c r="J40" i="1" s="1"/>
  <c r="K40" i="1" s="1"/>
  <c r="L40" i="1" s="1"/>
  <c r="I40" i="13"/>
  <c r="O44" i="14"/>
  <c r="Q44" i="14" s="1"/>
  <c r="R44" i="14" s="1"/>
  <c r="S44" i="14" s="1"/>
  <c r="O44" i="15"/>
  <c r="Q44" i="15" s="1"/>
  <c r="R44" i="15" s="1"/>
  <c r="S44" i="15" s="1"/>
  <c r="O44" i="19"/>
  <c r="Q44" i="19" s="1"/>
  <c r="R44" i="19" s="1"/>
  <c r="S44" i="19" s="1"/>
  <c r="O44" i="18"/>
  <c r="Q44" i="18" s="1"/>
  <c r="R44" i="18" s="1"/>
  <c r="S44" i="18" s="1"/>
  <c r="O44" i="21"/>
  <c r="Q44" i="21" s="1"/>
  <c r="R44" i="21" s="1"/>
  <c r="S44" i="21" s="1"/>
  <c r="O44" i="17"/>
  <c r="Q44" i="17" s="1"/>
  <c r="R44" i="17" s="1"/>
  <c r="S44" i="17" s="1"/>
  <c r="P43" i="19"/>
  <c r="P43" i="17"/>
  <c r="P43" i="22"/>
  <c r="P43" i="14"/>
  <c r="P43" i="18"/>
  <c r="J42" i="21"/>
  <c r="E41" i="21"/>
  <c r="N43" i="21"/>
  <c r="P43" i="21" s="1"/>
  <c r="M43" i="21"/>
  <c r="J40" i="22"/>
  <c r="K40" i="22" s="1"/>
  <c r="L40" i="22" s="1"/>
  <c r="E39" i="22"/>
  <c r="N41" i="22"/>
  <c r="M41" i="22"/>
  <c r="N42" i="22"/>
  <c r="J40" i="19"/>
  <c r="E39" i="19"/>
  <c r="K41" i="19"/>
  <c r="L41" i="19" s="1"/>
  <c r="N41" i="19" s="1"/>
  <c r="J40" i="18"/>
  <c r="K40" i="18" s="1"/>
  <c r="L40" i="18" s="1"/>
  <c r="E39" i="18"/>
  <c r="N41" i="18"/>
  <c r="M41" i="18"/>
  <c r="J41" i="17"/>
  <c r="E40" i="17"/>
  <c r="N42" i="17"/>
  <c r="M42" i="17"/>
  <c r="M41" i="15"/>
  <c r="J39" i="15"/>
  <c r="K39" i="15" s="1"/>
  <c r="L39" i="15" s="1"/>
  <c r="E38" i="15"/>
  <c r="N40" i="15"/>
  <c r="M40" i="15"/>
  <c r="J41" i="14"/>
  <c r="K41" i="14" s="1"/>
  <c r="L41" i="14" s="1"/>
  <c r="E40" i="14"/>
  <c r="N42" i="14"/>
  <c r="M42" i="14"/>
  <c r="M42" i="1"/>
  <c r="P42" i="1" s="1"/>
  <c r="R42" i="1" s="1"/>
  <c r="S42" i="1" s="1"/>
  <c r="T42" i="1" s="1"/>
  <c r="N41" i="1"/>
  <c r="Q41" i="1" s="1"/>
  <c r="M41" i="1"/>
  <c r="P41" i="1" s="1"/>
  <c r="E39" i="1"/>
  <c r="R41" i="1" l="1"/>
  <c r="S41" i="1" s="1"/>
  <c r="T41" i="1" s="1"/>
  <c r="O42" i="15"/>
  <c r="O43" i="14"/>
  <c r="Q43" i="14" s="1"/>
  <c r="R43" i="14" s="1"/>
  <c r="S43" i="14" s="1"/>
  <c r="O42" i="1"/>
  <c r="P42" i="19"/>
  <c r="O41" i="1"/>
  <c r="I39" i="1"/>
  <c r="J39" i="1" s="1"/>
  <c r="I39" i="13"/>
  <c r="O42" i="14"/>
  <c r="P42" i="14"/>
  <c r="P42" i="18"/>
  <c r="O42" i="19"/>
  <c r="P42" i="17"/>
  <c r="P42" i="15"/>
  <c r="O42" i="18"/>
  <c r="O43" i="21"/>
  <c r="Q43" i="21" s="1"/>
  <c r="R43" i="21" s="1"/>
  <c r="S43" i="21" s="1"/>
  <c r="P42" i="22"/>
  <c r="O43" i="15"/>
  <c r="Q43" i="15" s="1"/>
  <c r="R43" i="15" s="1"/>
  <c r="S43" i="15" s="1"/>
  <c r="O43" i="19"/>
  <c r="Q43" i="19" s="1"/>
  <c r="R43" i="19" s="1"/>
  <c r="S43" i="19" s="1"/>
  <c r="O43" i="18"/>
  <c r="Q43" i="18" s="1"/>
  <c r="R43" i="18" s="1"/>
  <c r="S43" i="18" s="1"/>
  <c r="O42" i="17"/>
  <c r="O42" i="22"/>
  <c r="O43" i="17"/>
  <c r="Q43" i="17" s="1"/>
  <c r="R43" i="17" s="1"/>
  <c r="S43" i="17" s="1"/>
  <c r="O43" i="22"/>
  <c r="Q43" i="22" s="1"/>
  <c r="R43" i="22" s="1"/>
  <c r="S43" i="22" s="1"/>
  <c r="J41" i="21"/>
  <c r="E40" i="21"/>
  <c r="K42" i="21"/>
  <c r="L42" i="21" s="1"/>
  <c r="M42" i="21" s="1"/>
  <c r="O42" i="21" s="1"/>
  <c r="J39" i="22"/>
  <c r="E38" i="22"/>
  <c r="N40" i="22"/>
  <c r="M40" i="22"/>
  <c r="J39" i="19"/>
  <c r="E38" i="19"/>
  <c r="K39" i="19"/>
  <c r="L39" i="19" s="1"/>
  <c r="K40" i="19"/>
  <c r="L40" i="19" s="1"/>
  <c r="N40" i="19" s="1"/>
  <c r="M41" i="19"/>
  <c r="J39" i="18"/>
  <c r="K39" i="18" s="1"/>
  <c r="L39" i="18" s="1"/>
  <c r="E38" i="18"/>
  <c r="N40" i="18"/>
  <c r="M40" i="18"/>
  <c r="J40" i="17"/>
  <c r="K40" i="17" s="1"/>
  <c r="L40" i="17" s="1"/>
  <c r="E39" i="17"/>
  <c r="K41" i="17"/>
  <c r="L41" i="17" s="1"/>
  <c r="N41" i="17" s="1"/>
  <c r="J38" i="15"/>
  <c r="K38" i="15" s="1"/>
  <c r="L38" i="15" s="1"/>
  <c r="E37" i="15"/>
  <c r="N39" i="15"/>
  <c r="M39" i="15"/>
  <c r="E39" i="14"/>
  <c r="J40" i="14"/>
  <c r="K40" i="14" s="1"/>
  <c r="L40" i="14" s="1"/>
  <c r="N41" i="14"/>
  <c r="M41" i="14"/>
  <c r="E38" i="1"/>
  <c r="N40" i="1"/>
  <c r="Q40" i="1" s="1"/>
  <c r="M40" i="1"/>
  <c r="P40" i="1" s="1"/>
  <c r="Q42" i="15" l="1"/>
  <c r="R42" i="15" s="1"/>
  <c r="S42" i="15" s="1"/>
  <c r="R40" i="1"/>
  <c r="S40" i="1" s="1"/>
  <c r="T40" i="1" s="1"/>
  <c r="O41" i="15"/>
  <c r="P41" i="15"/>
  <c r="O40" i="1"/>
  <c r="Q42" i="19"/>
  <c r="R42" i="19" s="1"/>
  <c r="S42" i="19" s="1"/>
  <c r="I38" i="1"/>
  <c r="J38" i="1" s="1"/>
  <c r="I38" i="13"/>
  <c r="Q42" i="17"/>
  <c r="R42" i="17" s="1"/>
  <c r="S42" i="17" s="1"/>
  <c r="Q42" i="18"/>
  <c r="R42" i="18" s="1"/>
  <c r="S42" i="18" s="1"/>
  <c r="P41" i="14"/>
  <c r="Q42" i="14"/>
  <c r="R42" i="14" s="1"/>
  <c r="S42" i="14" s="1"/>
  <c r="P41" i="17"/>
  <c r="O41" i="14"/>
  <c r="O41" i="19"/>
  <c r="P41" i="22"/>
  <c r="Q42" i="22"/>
  <c r="R42" i="22" s="1"/>
  <c r="S42" i="22" s="1"/>
  <c r="O41" i="18"/>
  <c r="O41" i="22"/>
  <c r="P41" i="18"/>
  <c r="P41" i="19"/>
  <c r="J40" i="21"/>
  <c r="K40" i="21" s="1"/>
  <c r="L40" i="21" s="1"/>
  <c r="E39" i="21"/>
  <c r="K41" i="21"/>
  <c r="L41" i="21" s="1"/>
  <c r="N41" i="21" s="1"/>
  <c r="P41" i="21" s="1"/>
  <c r="N42" i="21"/>
  <c r="P42" i="21" s="1"/>
  <c r="Q42" i="21" s="1"/>
  <c r="R42" i="21" s="1"/>
  <c r="S42" i="21" s="1"/>
  <c r="E37" i="22"/>
  <c r="J38" i="22"/>
  <c r="K39" i="22"/>
  <c r="L39" i="22" s="1"/>
  <c r="M39" i="22" s="1"/>
  <c r="E37" i="19"/>
  <c r="J38" i="19"/>
  <c r="N39" i="19"/>
  <c r="M39" i="19"/>
  <c r="M40" i="19"/>
  <c r="J38" i="18"/>
  <c r="E37" i="18"/>
  <c r="N39" i="18"/>
  <c r="M39" i="18"/>
  <c r="M41" i="17"/>
  <c r="O41" i="17" s="1"/>
  <c r="J39" i="17"/>
  <c r="K39" i="17" s="1"/>
  <c r="L39" i="17" s="1"/>
  <c r="E38" i="17"/>
  <c r="N40" i="17"/>
  <c r="M40" i="17"/>
  <c r="J37" i="15"/>
  <c r="E36" i="15"/>
  <c r="M38" i="15"/>
  <c r="N38" i="15"/>
  <c r="M40" i="14"/>
  <c r="N40" i="14"/>
  <c r="J39" i="14"/>
  <c r="K39" i="14" s="1"/>
  <c r="L39" i="14" s="1"/>
  <c r="E38" i="14"/>
  <c r="E37" i="1"/>
  <c r="K39" i="1"/>
  <c r="L39" i="1" s="1"/>
  <c r="N39" i="1" s="1"/>
  <c r="Q39" i="1" s="1"/>
  <c r="Q41" i="15" l="1"/>
  <c r="R41" i="15" s="1"/>
  <c r="S41" i="15" s="1"/>
  <c r="P40" i="15"/>
  <c r="I37" i="1"/>
  <c r="I37" i="13"/>
  <c r="Q41" i="22"/>
  <c r="R41" i="22" s="1"/>
  <c r="S41" i="22" s="1"/>
  <c r="Q41" i="17"/>
  <c r="R41" i="17" s="1"/>
  <c r="S41" i="17" s="1"/>
  <c r="Q41" i="14"/>
  <c r="R41" i="14" s="1"/>
  <c r="S41" i="14" s="1"/>
  <c r="Q41" i="18"/>
  <c r="R41" i="18" s="1"/>
  <c r="S41" i="18" s="1"/>
  <c r="P40" i="18"/>
  <c r="P40" i="17"/>
  <c r="P40" i="19"/>
  <c r="Q41" i="19"/>
  <c r="R41" i="19" s="1"/>
  <c r="S41" i="19" s="1"/>
  <c r="P40" i="22"/>
  <c r="P40" i="14"/>
  <c r="J39" i="21"/>
  <c r="E38" i="21"/>
  <c r="K39" i="21"/>
  <c r="L39" i="21" s="1"/>
  <c r="M41" i="21"/>
  <c r="O41" i="21" s="1"/>
  <c r="Q41" i="21" s="1"/>
  <c r="R41" i="21" s="1"/>
  <c r="S41" i="21" s="1"/>
  <c r="N40" i="21"/>
  <c r="P40" i="21" s="1"/>
  <c r="M40" i="21"/>
  <c r="N39" i="22"/>
  <c r="K38" i="22"/>
  <c r="L38" i="22" s="1"/>
  <c r="N38" i="22" s="1"/>
  <c r="J37" i="22"/>
  <c r="K37" i="22" s="1"/>
  <c r="L37" i="22" s="1"/>
  <c r="E36" i="22"/>
  <c r="J37" i="19"/>
  <c r="E36" i="19"/>
  <c r="K38" i="19"/>
  <c r="L38" i="19" s="1"/>
  <c r="M38" i="19" s="1"/>
  <c r="E36" i="18"/>
  <c r="J37" i="18"/>
  <c r="K37" i="18" s="1"/>
  <c r="L37" i="18" s="1"/>
  <c r="K38" i="18"/>
  <c r="L38" i="18" s="1"/>
  <c r="N38" i="18" s="1"/>
  <c r="J38" i="17"/>
  <c r="K38" i="17" s="1"/>
  <c r="L38" i="17" s="1"/>
  <c r="E37" i="17"/>
  <c r="N39" i="17"/>
  <c r="M39" i="17"/>
  <c r="J36" i="15"/>
  <c r="E35" i="15"/>
  <c r="K37" i="15"/>
  <c r="L37" i="15" s="1"/>
  <c r="N37" i="15" s="1"/>
  <c r="J38" i="14"/>
  <c r="E37" i="14"/>
  <c r="N39" i="14"/>
  <c r="M39" i="14"/>
  <c r="M39" i="1"/>
  <c r="P39" i="1" s="1"/>
  <c r="R39" i="1" s="1"/>
  <c r="S39" i="1" s="1"/>
  <c r="T39" i="1" s="1"/>
  <c r="E36" i="1"/>
  <c r="K38" i="1"/>
  <c r="L38" i="1" s="1"/>
  <c r="N38" i="1" s="1"/>
  <c r="Q38" i="1" s="1"/>
  <c r="O39" i="1" l="1"/>
  <c r="P39" i="15"/>
  <c r="I36" i="1"/>
  <c r="J37" i="1"/>
  <c r="K37" i="1" s="1"/>
  <c r="L37" i="1" s="1"/>
  <c r="N37" i="1" s="1"/>
  <c r="Q37" i="1" s="1"/>
  <c r="I36" i="13"/>
  <c r="O40" i="21"/>
  <c r="Q40" i="21" s="1"/>
  <c r="R40" i="21" s="1"/>
  <c r="S40" i="21" s="1"/>
  <c r="P39" i="22"/>
  <c r="P39" i="18"/>
  <c r="P39" i="14"/>
  <c r="O40" i="15"/>
  <c r="Q40" i="15" s="1"/>
  <c r="R40" i="15" s="1"/>
  <c r="S40" i="15" s="1"/>
  <c r="O40" i="18"/>
  <c r="Q40" i="18" s="1"/>
  <c r="R40" i="18" s="1"/>
  <c r="S40" i="18" s="1"/>
  <c r="O40" i="22"/>
  <c r="Q40" i="22" s="1"/>
  <c r="R40" i="22" s="1"/>
  <c r="S40" i="22" s="1"/>
  <c r="O40" i="17"/>
  <c r="Q40" i="17" s="1"/>
  <c r="R40" i="17" s="1"/>
  <c r="S40" i="17" s="1"/>
  <c r="P39" i="17"/>
  <c r="P39" i="19"/>
  <c r="O40" i="19"/>
  <c r="Q40" i="19" s="1"/>
  <c r="R40" i="19" s="1"/>
  <c r="S40" i="19" s="1"/>
  <c r="O40" i="14"/>
  <c r="Q40" i="14" s="1"/>
  <c r="R40" i="14" s="1"/>
  <c r="S40" i="14" s="1"/>
  <c r="J38" i="21"/>
  <c r="E37" i="21"/>
  <c r="N39" i="21"/>
  <c r="P39" i="21" s="1"/>
  <c r="M39" i="21"/>
  <c r="M38" i="22"/>
  <c r="E35" i="22"/>
  <c r="J36" i="22"/>
  <c r="N37" i="22"/>
  <c r="M37" i="22"/>
  <c r="J36" i="19"/>
  <c r="E35" i="19"/>
  <c r="K37" i="19"/>
  <c r="L37" i="19" s="1"/>
  <c r="M37" i="19" s="1"/>
  <c r="N38" i="19"/>
  <c r="M38" i="18"/>
  <c r="N37" i="18"/>
  <c r="M37" i="18"/>
  <c r="J36" i="18"/>
  <c r="K36" i="18" s="1"/>
  <c r="L36" i="18" s="1"/>
  <c r="E35" i="18"/>
  <c r="J37" i="17"/>
  <c r="E36" i="17"/>
  <c r="N38" i="17"/>
  <c r="M38" i="17"/>
  <c r="K36" i="15"/>
  <c r="L36" i="15" s="1"/>
  <c r="M36" i="15" s="1"/>
  <c r="M37" i="15"/>
  <c r="J35" i="15"/>
  <c r="K35" i="15" s="1"/>
  <c r="L35" i="15" s="1"/>
  <c r="E34" i="15"/>
  <c r="J37" i="14"/>
  <c r="K37" i="14" s="1"/>
  <c r="L37" i="14" s="1"/>
  <c r="E36" i="14"/>
  <c r="K38" i="14"/>
  <c r="L38" i="14" s="1"/>
  <c r="M38" i="14" s="1"/>
  <c r="M38" i="1"/>
  <c r="P38" i="1" s="1"/>
  <c r="R38" i="1" s="1"/>
  <c r="S38" i="1" s="1"/>
  <c r="T38" i="1" s="1"/>
  <c r="J36" i="1"/>
  <c r="K36" i="1" s="1"/>
  <c r="L36" i="1" s="1"/>
  <c r="E35" i="1"/>
  <c r="M37" i="1" l="1"/>
  <c r="P37" i="1" s="1"/>
  <c r="R37" i="1" s="1"/>
  <c r="S37" i="1" s="1"/>
  <c r="T37" i="1" s="1"/>
  <c r="O39" i="14"/>
  <c r="Q39" i="14" s="1"/>
  <c r="R39" i="14" s="1"/>
  <c r="S39" i="14" s="1"/>
  <c r="P38" i="15"/>
  <c r="O38" i="1"/>
  <c r="I35" i="1"/>
  <c r="I35" i="13"/>
  <c r="O39" i="17"/>
  <c r="Q39" i="17" s="1"/>
  <c r="R39" i="17" s="1"/>
  <c r="S39" i="17" s="1"/>
  <c r="O39" i="21"/>
  <c r="Q39" i="21" s="1"/>
  <c r="R39" i="21" s="1"/>
  <c r="S39" i="21" s="1"/>
  <c r="P38" i="17"/>
  <c r="O39" i="15"/>
  <c r="Q39" i="15" s="1"/>
  <c r="R39" i="15" s="1"/>
  <c r="S39" i="15" s="1"/>
  <c r="O39" i="22"/>
  <c r="Q39" i="22" s="1"/>
  <c r="R39" i="22" s="1"/>
  <c r="S39" i="22" s="1"/>
  <c r="O39" i="19"/>
  <c r="Q39" i="19" s="1"/>
  <c r="R39" i="19" s="1"/>
  <c r="S39" i="19" s="1"/>
  <c r="O39" i="18"/>
  <c r="Q39" i="18" s="1"/>
  <c r="R39" i="18" s="1"/>
  <c r="S39" i="18" s="1"/>
  <c r="P38" i="19"/>
  <c r="P38" i="22"/>
  <c r="P38" i="18"/>
  <c r="J37" i="21"/>
  <c r="E36" i="21"/>
  <c r="K38" i="21"/>
  <c r="L38" i="21" s="1"/>
  <c r="M38" i="21" s="1"/>
  <c r="J35" i="22"/>
  <c r="K35" i="22" s="1"/>
  <c r="L35" i="22" s="1"/>
  <c r="E34" i="22"/>
  <c r="K36" i="22"/>
  <c r="L36" i="22" s="1"/>
  <c r="N36" i="22" s="1"/>
  <c r="J35" i="19"/>
  <c r="K35" i="19" s="1"/>
  <c r="L35" i="19" s="1"/>
  <c r="E34" i="19"/>
  <c r="N37" i="19"/>
  <c r="K36" i="19"/>
  <c r="L36" i="19" s="1"/>
  <c r="M36" i="19" s="1"/>
  <c r="J35" i="18"/>
  <c r="E34" i="18"/>
  <c r="N36" i="18"/>
  <c r="M36" i="18"/>
  <c r="J36" i="17"/>
  <c r="K36" i="17" s="1"/>
  <c r="L36" i="17" s="1"/>
  <c r="E35" i="17"/>
  <c r="K37" i="17"/>
  <c r="L37" i="17" s="1"/>
  <c r="N37" i="17" s="1"/>
  <c r="E33" i="15"/>
  <c r="J34" i="15"/>
  <c r="N35" i="15"/>
  <c r="M35" i="15"/>
  <c r="N36" i="15"/>
  <c r="E35" i="14"/>
  <c r="J36" i="14"/>
  <c r="K36" i="14" s="1"/>
  <c r="L36" i="14" s="1"/>
  <c r="N37" i="14"/>
  <c r="M37" i="14"/>
  <c r="N38" i="14"/>
  <c r="P38" i="14" s="1"/>
  <c r="E34" i="1"/>
  <c r="M36" i="1"/>
  <c r="P36" i="1" s="1"/>
  <c r="N36" i="1"/>
  <c r="Q36" i="1" s="1"/>
  <c r="O38" i="14" l="1"/>
  <c r="Q38" i="14" s="1"/>
  <c r="R38" i="14" s="1"/>
  <c r="S38" i="14" s="1"/>
  <c r="O38" i="18"/>
  <c r="Q38" i="18" s="1"/>
  <c r="R38" i="18" s="1"/>
  <c r="S38" i="18" s="1"/>
  <c r="O38" i="21"/>
  <c r="O38" i="22"/>
  <c r="O38" i="19"/>
  <c r="Q38" i="19" s="1"/>
  <c r="R38" i="19" s="1"/>
  <c r="S38" i="19" s="1"/>
  <c r="O37" i="1"/>
  <c r="O38" i="17"/>
  <c r="Q38" i="17" s="1"/>
  <c r="R38" i="17" s="1"/>
  <c r="S38" i="17" s="1"/>
  <c r="O38" i="15"/>
  <c r="Q38" i="15" s="1"/>
  <c r="R38" i="15" s="1"/>
  <c r="S38" i="15" s="1"/>
  <c r="R36" i="1"/>
  <c r="S36" i="1" s="1"/>
  <c r="T36" i="1" s="1"/>
  <c r="O37" i="18"/>
  <c r="P37" i="15"/>
  <c r="O36" i="1"/>
  <c r="I34" i="1"/>
  <c r="J34" i="1" s="1"/>
  <c r="J35" i="1"/>
  <c r="K35" i="1" s="1"/>
  <c r="L35" i="1" s="1"/>
  <c r="N35" i="1" s="1"/>
  <c r="Q35" i="1" s="1"/>
  <c r="I34" i="13"/>
  <c r="Q38" i="22"/>
  <c r="R38" i="22" s="1"/>
  <c r="S38" i="22" s="1"/>
  <c r="P37" i="14"/>
  <c r="P37" i="17"/>
  <c r="P37" i="19"/>
  <c r="P37" i="18"/>
  <c r="O37" i="22"/>
  <c r="P37" i="22"/>
  <c r="O37" i="15"/>
  <c r="O37" i="19"/>
  <c r="O37" i="14"/>
  <c r="J36" i="21"/>
  <c r="E35" i="21"/>
  <c r="N38" i="21"/>
  <c r="P38" i="21" s="1"/>
  <c r="Q38" i="21" s="1"/>
  <c r="R38" i="21" s="1"/>
  <c r="S38" i="21" s="1"/>
  <c r="K37" i="21"/>
  <c r="L37" i="21" s="1"/>
  <c r="M37" i="21" s="1"/>
  <c r="O37" i="21" s="1"/>
  <c r="M36" i="22"/>
  <c r="J34" i="22"/>
  <c r="E33" i="22"/>
  <c r="K34" i="22"/>
  <c r="L34" i="22" s="1"/>
  <c r="N35" i="22"/>
  <c r="M35" i="22"/>
  <c r="N36" i="19"/>
  <c r="N35" i="19"/>
  <c r="M35" i="19"/>
  <c r="J34" i="19"/>
  <c r="K34" i="19" s="1"/>
  <c r="L34" i="19" s="1"/>
  <c r="E33" i="19"/>
  <c r="J34" i="18"/>
  <c r="K34" i="18" s="1"/>
  <c r="L34" i="18" s="1"/>
  <c r="E33" i="18"/>
  <c r="K35" i="18"/>
  <c r="L35" i="18" s="1"/>
  <c r="N35" i="18" s="1"/>
  <c r="J35" i="17"/>
  <c r="K35" i="17" s="1"/>
  <c r="L35" i="17" s="1"/>
  <c r="E34" i="17"/>
  <c r="N36" i="17"/>
  <c r="M36" i="17"/>
  <c r="M37" i="17"/>
  <c r="O37" i="17" s="1"/>
  <c r="J33" i="15"/>
  <c r="E32" i="15"/>
  <c r="K34" i="15"/>
  <c r="L34" i="15" s="1"/>
  <c r="M34" i="15" s="1"/>
  <c r="N36" i="14"/>
  <c r="M36" i="14"/>
  <c r="J35" i="14"/>
  <c r="K35" i="14" s="1"/>
  <c r="L35" i="14" s="1"/>
  <c r="E34" i="14"/>
  <c r="E33" i="1"/>
  <c r="Q37" i="18" l="1"/>
  <c r="R37" i="18" s="1"/>
  <c r="S37" i="18" s="1"/>
  <c r="M35" i="1"/>
  <c r="P35" i="1" s="1"/>
  <c r="R35" i="1" s="1"/>
  <c r="S35" i="1" s="1"/>
  <c r="T35" i="1" s="1"/>
  <c r="Q37" i="15"/>
  <c r="R37" i="15" s="1"/>
  <c r="S37" i="15" s="1"/>
  <c r="P36" i="15"/>
  <c r="I33" i="1"/>
  <c r="J33" i="1" s="1"/>
  <c r="K33" i="1" s="1"/>
  <c r="L33" i="1" s="1"/>
  <c r="I33" i="13"/>
  <c r="Q37" i="17"/>
  <c r="R37" i="17" s="1"/>
  <c r="S37" i="17" s="1"/>
  <c r="Q37" i="14"/>
  <c r="R37" i="14" s="1"/>
  <c r="S37" i="14" s="1"/>
  <c r="Q37" i="19"/>
  <c r="R37" i="19" s="1"/>
  <c r="S37" i="19" s="1"/>
  <c r="O36" i="14"/>
  <c r="Q37" i="22"/>
  <c r="R37" i="22" s="1"/>
  <c r="S37" i="22" s="1"/>
  <c r="P36" i="22"/>
  <c r="P36" i="19"/>
  <c r="P36" i="18"/>
  <c r="P36" i="14"/>
  <c r="P36" i="17"/>
  <c r="O36" i="17"/>
  <c r="N37" i="21"/>
  <c r="P37" i="21" s="1"/>
  <c r="Q37" i="21" s="1"/>
  <c r="R37" i="21" s="1"/>
  <c r="S37" i="21" s="1"/>
  <c r="J35" i="21"/>
  <c r="E34" i="21"/>
  <c r="K35" i="21"/>
  <c r="L35" i="21" s="1"/>
  <c r="K36" i="21"/>
  <c r="L36" i="21" s="1"/>
  <c r="M36" i="21" s="1"/>
  <c r="O36" i="21" s="1"/>
  <c r="J33" i="22"/>
  <c r="K33" i="22" s="1"/>
  <c r="L33" i="22" s="1"/>
  <c r="E32" i="22"/>
  <c r="N34" i="22"/>
  <c r="M34" i="22"/>
  <c r="M34" i="19"/>
  <c r="N34" i="19"/>
  <c r="J33" i="19"/>
  <c r="E32" i="19"/>
  <c r="M35" i="18"/>
  <c r="E32" i="18"/>
  <c r="J33" i="18"/>
  <c r="N34" i="18"/>
  <c r="M34" i="18"/>
  <c r="J34" i="17"/>
  <c r="E33" i="17"/>
  <c r="K34" i="17"/>
  <c r="L34" i="17" s="1"/>
  <c r="N35" i="17"/>
  <c r="M35" i="17"/>
  <c r="N34" i="15"/>
  <c r="J32" i="15"/>
  <c r="E31" i="15"/>
  <c r="K33" i="15"/>
  <c r="L33" i="15" s="1"/>
  <c r="N33" i="15" s="1"/>
  <c r="J34" i="14"/>
  <c r="E33" i="14"/>
  <c r="N35" i="14"/>
  <c r="M35" i="14"/>
  <c r="E32" i="1"/>
  <c r="K34" i="1"/>
  <c r="L34" i="1" s="1"/>
  <c r="N34" i="1" s="1"/>
  <c r="Q34" i="1" s="1"/>
  <c r="O35" i="1" l="1"/>
  <c r="O36" i="22"/>
  <c r="Q36" i="22" s="1"/>
  <c r="R36" i="22" s="1"/>
  <c r="S36" i="22" s="1"/>
  <c r="O36" i="19"/>
  <c r="O36" i="18"/>
  <c r="Q36" i="18" s="1"/>
  <c r="R36" i="18" s="1"/>
  <c r="S36" i="18" s="1"/>
  <c r="O36" i="15"/>
  <c r="Q36" i="15" s="1"/>
  <c r="R36" i="15" s="1"/>
  <c r="S36" i="15" s="1"/>
  <c r="P35" i="15"/>
  <c r="I32" i="1"/>
  <c r="J32" i="1" s="1"/>
  <c r="I32" i="13"/>
  <c r="Q36" i="17"/>
  <c r="R36" i="17" s="1"/>
  <c r="S36" i="17" s="1"/>
  <c r="Q36" i="19"/>
  <c r="R36" i="19" s="1"/>
  <c r="S36" i="19" s="1"/>
  <c r="Q36" i="14"/>
  <c r="R36" i="14" s="1"/>
  <c r="S36" i="14" s="1"/>
  <c r="P35" i="17"/>
  <c r="P35" i="22"/>
  <c r="P35" i="14"/>
  <c r="P35" i="19"/>
  <c r="P35" i="18"/>
  <c r="N36" i="21"/>
  <c r="P36" i="21" s="1"/>
  <c r="Q36" i="21" s="1"/>
  <c r="R36" i="21" s="1"/>
  <c r="S36" i="21" s="1"/>
  <c r="J34" i="21"/>
  <c r="K34" i="21" s="1"/>
  <c r="L34" i="21" s="1"/>
  <c r="E33" i="21"/>
  <c r="N35" i="21"/>
  <c r="P35" i="21" s="1"/>
  <c r="M35" i="21"/>
  <c r="J32" i="22"/>
  <c r="K32" i="22" s="1"/>
  <c r="L32" i="22" s="1"/>
  <c r="E31" i="22"/>
  <c r="N33" i="22"/>
  <c r="M33" i="22"/>
  <c r="J32" i="19"/>
  <c r="E31" i="19"/>
  <c r="K33" i="19"/>
  <c r="L33" i="19" s="1"/>
  <c r="N33" i="19" s="1"/>
  <c r="J32" i="18"/>
  <c r="E31" i="18"/>
  <c r="K33" i="18"/>
  <c r="L33" i="18" s="1"/>
  <c r="N33" i="18" s="1"/>
  <c r="J33" i="17"/>
  <c r="E32" i="17"/>
  <c r="N34" i="17"/>
  <c r="M34" i="17"/>
  <c r="K32" i="15"/>
  <c r="L32" i="15" s="1"/>
  <c r="N32" i="15" s="1"/>
  <c r="M33" i="15"/>
  <c r="J31" i="15"/>
  <c r="K31" i="15" s="1"/>
  <c r="L31" i="15" s="1"/>
  <c r="E30" i="15"/>
  <c r="J33" i="14"/>
  <c r="K33" i="14" s="1"/>
  <c r="L33" i="14" s="1"/>
  <c r="E32" i="14"/>
  <c r="K34" i="14"/>
  <c r="L34" i="14" s="1"/>
  <c r="N34" i="14" s="1"/>
  <c r="M34" i="1"/>
  <c r="P34" i="1" s="1"/>
  <c r="R34" i="1" s="1"/>
  <c r="S34" i="1" s="1"/>
  <c r="T34" i="1" s="1"/>
  <c r="E31" i="1"/>
  <c r="N33" i="1"/>
  <c r="Q33" i="1" s="1"/>
  <c r="M33" i="1"/>
  <c r="P33" i="1" s="1"/>
  <c r="R33" i="1" l="1"/>
  <c r="S33" i="1" s="1"/>
  <c r="T33" i="1" s="1"/>
  <c r="O34" i="15"/>
  <c r="O35" i="14"/>
  <c r="Q35" i="14" s="1"/>
  <c r="R35" i="14" s="1"/>
  <c r="S35" i="14" s="1"/>
  <c r="P34" i="22"/>
  <c r="O33" i="1"/>
  <c r="O34" i="1"/>
  <c r="I31" i="1"/>
  <c r="I30" i="1" s="1"/>
  <c r="I29" i="1" s="1"/>
  <c r="I28" i="1" s="1"/>
  <c r="I27" i="1" s="1"/>
  <c r="I26" i="1" s="1"/>
  <c r="I25" i="1" s="1"/>
  <c r="I24" i="1" s="1"/>
  <c r="I23" i="1" s="1"/>
  <c r="I22" i="1" s="1"/>
  <c r="I21" i="1" s="1"/>
  <c r="I20" i="1" s="1"/>
  <c r="I19" i="1" s="1"/>
  <c r="I18" i="1" s="1"/>
  <c r="I17" i="1" s="1"/>
  <c r="I16" i="1" s="1"/>
  <c r="I15" i="1" s="1"/>
  <c r="I14" i="1" s="1"/>
  <c r="I13" i="1" s="1"/>
  <c r="I12" i="1" s="1"/>
  <c r="I11" i="1" s="1"/>
  <c r="I10" i="1" s="1"/>
  <c r="I9" i="1" s="1"/>
  <c r="I8" i="1" s="1"/>
  <c r="I7" i="1" s="1"/>
  <c r="I6" i="1" s="1"/>
  <c r="I5" i="1" s="1"/>
  <c r="I4" i="1" s="1"/>
  <c r="I3" i="1" s="1"/>
  <c r="I31" i="13"/>
  <c r="P34" i="14"/>
  <c r="P34" i="15"/>
  <c r="P34" i="19"/>
  <c r="O35" i="21"/>
  <c r="Q35" i="21" s="1"/>
  <c r="R35" i="21" s="1"/>
  <c r="S35" i="21" s="1"/>
  <c r="P34" i="17"/>
  <c r="P34" i="18"/>
  <c r="O35" i="18"/>
  <c r="Q35" i="18" s="1"/>
  <c r="R35" i="18" s="1"/>
  <c r="S35" i="18" s="1"/>
  <c r="O34" i="19"/>
  <c r="O34" i="18"/>
  <c r="O34" i="17"/>
  <c r="O35" i="15"/>
  <c r="Q35" i="15" s="1"/>
  <c r="R35" i="15" s="1"/>
  <c r="S35" i="15" s="1"/>
  <c r="O35" i="19"/>
  <c r="Q35" i="19" s="1"/>
  <c r="R35" i="19" s="1"/>
  <c r="S35" i="19" s="1"/>
  <c r="O35" i="22"/>
  <c r="Q35" i="22" s="1"/>
  <c r="R35" i="22" s="1"/>
  <c r="S35" i="22" s="1"/>
  <c r="O34" i="22"/>
  <c r="O35" i="17"/>
  <c r="Q35" i="17" s="1"/>
  <c r="R35" i="17" s="1"/>
  <c r="S35" i="17" s="1"/>
  <c r="J33" i="21"/>
  <c r="E32" i="21"/>
  <c r="M34" i="21"/>
  <c r="O34" i="21" s="1"/>
  <c r="N34" i="21"/>
  <c r="P34" i="21" s="1"/>
  <c r="J31" i="22"/>
  <c r="K31" i="22"/>
  <c r="L31" i="22" s="1"/>
  <c r="E30" i="22"/>
  <c r="M32" i="22"/>
  <c r="N32" i="22"/>
  <c r="M33" i="19"/>
  <c r="J31" i="19"/>
  <c r="K31" i="19" s="1"/>
  <c r="L31" i="19" s="1"/>
  <c r="E30" i="19"/>
  <c r="K32" i="19"/>
  <c r="L32" i="19" s="1"/>
  <c r="M32" i="19" s="1"/>
  <c r="J31" i="18"/>
  <c r="E30" i="18"/>
  <c r="K32" i="18"/>
  <c r="L32" i="18" s="1"/>
  <c r="N32" i="18" s="1"/>
  <c r="M33" i="18"/>
  <c r="J32" i="17"/>
  <c r="K32" i="17" s="1"/>
  <c r="L32" i="17" s="1"/>
  <c r="E31" i="17"/>
  <c r="K33" i="17"/>
  <c r="L33" i="17" s="1"/>
  <c r="N33" i="17" s="1"/>
  <c r="J30" i="15"/>
  <c r="E29" i="15"/>
  <c r="N31" i="15"/>
  <c r="M31" i="15"/>
  <c r="M32" i="15"/>
  <c r="E31" i="14"/>
  <c r="J32" i="14"/>
  <c r="K32" i="14"/>
  <c r="L32" i="14" s="1"/>
  <c r="N33" i="14"/>
  <c r="M33" i="14"/>
  <c r="M34" i="14"/>
  <c r="O34" i="14" s="1"/>
  <c r="E30" i="1"/>
  <c r="K32" i="1"/>
  <c r="L32" i="1" s="1"/>
  <c r="N32" i="1" s="1"/>
  <c r="Q32" i="1" s="1"/>
  <c r="Q34" i="22" l="1"/>
  <c r="R34" i="22" s="1"/>
  <c r="S34" i="22" s="1"/>
  <c r="Q34" i="15"/>
  <c r="R34" i="15" s="1"/>
  <c r="S34" i="15" s="1"/>
  <c r="J31" i="1"/>
  <c r="K31" i="1" s="1"/>
  <c r="L31" i="1" s="1"/>
  <c r="N31" i="1" s="1"/>
  <c r="Q31" i="1" s="1"/>
  <c r="P33" i="15"/>
  <c r="I30" i="13"/>
  <c r="Q34" i="14"/>
  <c r="R34" i="14" s="1"/>
  <c r="S34" i="14" s="1"/>
  <c r="Q34" i="19"/>
  <c r="R34" i="19" s="1"/>
  <c r="S34" i="19" s="1"/>
  <c r="Q34" i="17"/>
  <c r="R34" i="17" s="1"/>
  <c r="S34" i="17" s="1"/>
  <c r="Q34" i="18"/>
  <c r="R34" i="18" s="1"/>
  <c r="S34" i="18" s="1"/>
  <c r="Q34" i="21"/>
  <c r="R34" i="21" s="1"/>
  <c r="S34" i="21" s="1"/>
  <c r="P33" i="22"/>
  <c r="P33" i="14"/>
  <c r="P33" i="18"/>
  <c r="P33" i="17"/>
  <c r="P33" i="19"/>
  <c r="J32" i="21"/>
  <c r="E31" i="21"/>
  <c r="K33" i="21"/>
  <c r="L33" i="21" s="1"/>
  <c r="N33" i="21" s="1"/>
  <c r="P33" i="21" s="1"/>
  <c r="J30" i="22"/>
  <c r="E29" i="22"/>
  <c r="N31" i="22"/>
  <c r="M31" i="22"/>
  <c r="N31" i="19"/>
  <c r="M31" i="19"/>
  <c r="J30" i="19"/>
  <c r="E29" i="19"/>
  <c r="N32" i="19"/>
  <c r="J30" i="18"/>
  <c r="E29" i="18"/>
  <c r="K31" i="18"/>
  <c r="L31" i="18" s="1"/>
  <c r="N31" i="18" s="1"/>
  <c r="M32" i="18"/>
  <c r="J31" i="17"/>
  <c r="K31" i="17" s="1"/>
  <c r="L31" i="17" s="1"/>
  <c r="E30" i="17"/>
  <c r="M33" i="17"/>
  <c r="N32" i="17"/>
  <c r="M32" i="17"/>
  <c r="J29" i="15"/>
  <c r="E28" i="15"/>
  <c r="K30" i="15"/>
  <c r="L30" i="15" s="1"/>
  <c r="M30" i="15" s="1"/>
  <c r="M32" i="14"/>
  <c r="N32" i="14"/>
  <c r="J31" i="14"/>
  <c r="K31" i="14" s="1"/>
  <c r="L31" i="14" s="1"/>
  <c r="E30" i="14"/>
  <c r="M32" i="1"/>
  <c r="P32" i="1" s="1"/>
  <c r="R32" i="1" s="1"/>
  <c r="S32" i="1" s="1"/>
  <c r="T32" i="1" s="1"/>
  <c r="J30" i="1"/>
  <c r="E29" i="1"/>
  <c r="O33" i="14" l="1"/>
  <c r="Q33" i="14" s="1"/>
  <c r="R33" i="14" s="1"/>
  <c r="S33" i="14" s="1"/>
  <c r="P32" i="15"/>
  <c r="O32" i="1"/>
  <c r="I29" i="13"/>
  <c r="O33" i="19"/>
  <c r="Q33" i="19" s="1"/>
  <c r="R33" i="19" s="1"/>
  <c r="S33" i="19" s="1"/>
  <c r="O33" i="17"/>
  <c r="Q33" i="17" s="1"/>
  <c r="R33" i="17" s="1"/>
  <c r="S33" i="17" s="1"/>
  <c r="O33" i="18"/>
  <c r="Q33" i="18" s="1"/>
  <c r="R33" i="18" s="1"/>
  <c r="S33" i="18" s="1"/>
  <c r="P32" i="17"/>
  <c r="P32" i="18"/>
  <c r="P32" i="19"/>
  <c r="P32" i="14"/>
  <c r="P32" i="22"/>
  <c r="O33" i="22"/>
  <c r="Q33" i="22" s="1"/>
  <c r="R33" i="22" s="1"/>
  <c r="S33" i="22" s="1"/>
  <c r="O33" i="15"/>
  <c r="Q33" i="15" s="1"/>
  <c r="R33" i="15" s="1"/>
  <c r="S33" i="15" s="1"/>
  <c r="E30" i="21"/>
  <c r="J31" i="21"/>
  <c r="K31" i="21" s="1"/>
  <c r="L31" i="21" s="1"/>
  <c r="M33" i="21"/>
  <c r="O33" i="21" s="1"/>
  <c r="Q33" i="21" s="1"/>
  <c r="R33" i="21" s="1"/>
  <c r="S33" i="21" s="1"/>
  <c r="K32" i="21"/>
  <c r="L32" i="21" s="1"/>
  <c r="N32" i="21" s="1"/>
  <c r="P32" i="21" s="1"/>
  <c r="J29" i="22"/>
  <c r="K29" i="22" s="1"/>
  <c r="L29" i="22" s="1"/>
  <c r="E28" i="22"/>
  <c r="K30" i="22"/>
  <c r="L30" i="22" s="1"/>
  <c r="M30" i="22" s="1"/>
  <c r="K30" i="19"/>
  <c r="L30" i="19" s="1"/>
  <c r="M30" i="19" s="1"/>
  <c r="J29" i="19"/>
  <c r="K29" i="19" s="1"/>
  <c r="L29" i="19" s="1"/>
  <c r="E28" i="19"/>
  <c r="M31" i="18"/>
  <c r="J29" i="18"/>
  <c r="E28" i="18"/>
  <c r="K30" i="18"/>
  <c r="L30" i="18" s="1"/>
  <c r="N30" i="18" s="1"/>
  <c r="J30" i="17"/>
  <c r="K30" i="17" s="1"/>
  <c r="L30" i="17" s="1"/>
  <c r="E29" i="17"/>
  <c r="N31" i="17"/>
  <c r="M31" i="17"/>
  <c r="N30" i="15"/>
  <c r="J28" i="15"/>
  <c r="K28" i="15" s="1"/>
  <c r="L28" i="15" s="1"/>
  <c r="E27" i="15"/>
  <c r="K29" i="15"/>
  <c r="L29" i="15" s="1"/>
  <c r="N29" i="15" s="1"/>
  <c r="E29" i="14"/>
  <c r="J30" i="14"/>
  <c r="N31" i="14"/>
  <c r="M31" i="14"/>
  <c r="M31" i="1"/>
  <c r="P31" i="1" s="1"/>
  <c r="R31" i="1" s="1"/>
  <c r="S31" i="1" s="1"/>
  <c r="T31" i="1" s="1"/>
  <c r="J29" i="1"/>
  <c r="K29" i="1" s="1"/>
  <c r="L29" i="1" s="1"/>
  <c r="E28" i="1"/>
  <c r="K30" i="1"/>
  <c r="L30" i="1" s="1"/>
  <c r="M30" i="1" s="1"/>
  <c r="P30" i="1" s="1"/>
  <c r="O32" i="17" l="1"/>
  <c r="Q32" i="17" s="1"/>
  <c r="R32" i="17" s="1"/>
  <c r="S32" i="17" s="1"/>
  <c r="O31" i="15"/>
  <c r="O31" i="1"/>
  <c r="I28" i="13"/>
  <c r="O32" i="14"/>
  <c r="Q32" i="14" s="1"/>
  <c r="R32" i="14" s="1"/>
  <c r="S32" i="14" s="1"/>
  <c r="O31" i="17"/>
  <c r="O31" i="22"/>
  <c r="O31" i="19"/>
  <c r="O32" i="19"/>
  <c r="Q32" i="19" s="1"/>
  <c r="R32" i="19" s="1"/>
  <c r="S32" i="19" s="1"/>
  <c r="O32" i="15"/>
  <c r="Q32" i="15" s="1"/>
  <c r="R32" i="15" s="1"/>
  <c r="S32" i="15" s="1"/>
  <c r="O32" i="22"/>
  <c r="Q32" i="22" s="1"/>
  <c r="R32" i="22" s="1"/>
  <c r="S32" i="22" s="1"/>
  <c r="O31" i="14"/>
  <c r="O31" i="18"/>
  <c r="O32" i="18"/>
  <c r="Q32" i="18" s="1"/>
  <c r="R32" i="18" s="1"/>
  <c r="S32" i="18" s="1"/>
  <c r="M32" i="21"/>
  <c r="O32" i="21" s="1"/>
  <c r="Q32" i="21" s="1"/>
  <c r="R32" i="21" s="1"/>
  <c r="S32" i="21" s="1"/>
  <c r="N31" i="21"/>
  <c r="M31" i="21"/>
  <c r="O31" i="21" s="1"/>
  <c r="J30" i="21"/>
  <c r="E29" i="21"/>
  <c r="N30" i="22"/>
  <c r="J28" i="22"/>
  <c r="E27" i="22"/>
  <c r="N29" i="22"/>
  <c r="M29" i="22"/>
  <c r="J28" i="19"/>
  <c r="E27" i="19"/>
  <c r="N29" i="19"/>
  <c r="M29" i="19"/>
  <c r="N30" i="19"/>
  <c r="J28" i="18"/>
  <c r="E27" i="18"/>
  <c r="K29" i="18"/>
  <c r="L29" i="18" s="1"/>
  <c r="N29" i="18" s="1"/>
  <c r="M30" i="18"/>
  <c r="J29" i="17"/>
  <c r="E28" i="17"/>
  <c r="N30" i="17"/>
  <c r="M30" i="17"/>
  <c r="M28" i="15"/>
  <c r="N28" i="15"/>
  <c r="M29" i="15"/>
  <c r="J27" i="15"/>
  <c r="E26" i="15"/>
  <c r="K27" i="15"/>
  <c r="L27" i="15" s="1"/>
  <c r="J29" i="14"/>
  <c r="K29" i="14" s="1"/>
  <c r="L29" i="14" s="1"/>
  <c r="E28" i="14"/>
  <c r="K30" i="14"/>
  <c r="L30" i="14" s="1"/>
  <c r="M30" i="14" s="1"/>
  <c r="N30" i="1"/>
  <c r="Q30" i="1" s="1"/>
  <c r="R30" i="1" s="1"/>
  <c r="S30" i="1" s="1"/>
  <c r="T30" i="1" s="1"/>
  <c r="J28" i="1"/>
  <c r="K28" i="1" s="1"/>
  <c r="L28" i="1" s="1"/>
  <c r="E27" i="1"/>
  <c r="N29" i="1"/>
  <c r="Q29" i="1" s="1"/>
  <c r="M29" i="1"/>
  <c r="P29" i="1" s="1"/>
  <c r="R29" i="1" l="1"/>
  <c r="S29" i="1" s="1"/>
  <c r="T29" i="1" s="1"/>
  <c r="O30" i="15"/>
  <c r="O30" i="1"/>
  <c r="P30" i="15"/>
  <c r="O29" i="1"/>
  <c r="I27" i="13"/>
  <c r="O30" i="14"/>
  <c r="P30" i="17"/>
  <c r="P30" i="22"/>
  <c r="O30" i="19"/>
  <c r="O30" i="18"/>
  <c r="O30" i="22"/>
  <c r="P31" i="15"/>
  <c r="Q31" i="15" s="1"/>
  <c r="R31" i="15" s="1"/>
  <c r="S31" i="15" s="1"/>
  <c r="P31" i="22"/>
  <c r="Q31" i="22" s="1"/>
  <c r="R31" i="22" s="1"/>
  <c r="S31" i="22" s="1"/>
  <c r="P31" i="19"/>
  <c r="Q31" i="19" s="1"/>
  <c r="R31" i="19" s="1"/>
  <c r="S31" i="19" s="1"/>
  <c r="P31" i="18"/>
  <c r="Q31" i="18" s="1"/>
  <c r="R31" i="18" s="1"/>
  <c r="S31" i="18" s="1"/>
  <c r="P31" i="21"/>
  <c r="Q31" i="21" s="1"/>
  <c r="R31" i="21" s="1"/>
  <c r="S31" i="21" s="1"/>
  <c r="P31" i="17"/>
  <c r="Q31" i="17" s="1"/>
  <c r="R31" i="17" s="1"/>
  <c r="S31" i="17" s="1"/>
  <c r="P31" i="14"/>
  <c r="Q31" i="14" s="1"/>
  <c r="R31" i="14" s="1"/>
  <c r="S31" i="14" s="1"/>
  <c r="O30" i="17"/>
  <c r="P30" i="19"/>
  <c r="P30" i="18"/>
  <c r="J29" i="21"/>
  <c r="E28" i="21"/>
  <c r="K30" i="21"/>
  <c r="L30" i="21" s="1"/>
  <c r="M30" i="21" s="1"/>
  <c r="O30" i="21" s="1"/>
  <c r="K28" i="22"/>
  <c r="L28" i="22" s="1"/>
  <c r="N28" i="22" s="1"/>
  <c r="J27" i="22"/>
  <c r="K27" i="22" s="1"/>
  <c r="L27" i="22" s="1"/>
  <c r="E26" i="22"/>
  <c r="J27" i="19"/>
  <c r="K27" i="19"/>
  <c r="L27" i="19" s="1"/>
  <c r="E26" i="19"/>
  <c r="K28" i="19"/>
  <c r="L28" i="19" s="1"/>
  <c r="N28" i="19" s="1"/>
  <c r="J27" i="18"/>
  <c r="E26" i="18"/>
  <c r="M29" i="18"/>
  <c r="K28" i="18"/>
  <c r="L28" i="18" s="1"/>
  <c r="N28" i="18" s="1"/>
  <c r="J28" i="17"/>
  <c r="K28" i="17" s="1"/>
  <c r="L28" i="17" s="1"/>
  <c r="E27" i="17"/>
  <c r="K29" i="17"/>
  <c r="L29" i="17" s="1"/>
  <c r="N29" i="17" s="1"/>
  <c r="J26" i="15"/>
  <c r="E25" i="15"/>
  <c r="K26" i="15"/>
  <c r="L26" i="15" s="1"/>
  <c r="N27" i="15"/>
  <c r="M27" i="15"/>
  <c r="J28" i="14"/>
  <c r="E27" i="14"/>
  <c r="N29" i="14"/>
  <c r="M29" i="14"/>
  <c r="N30" i="14"/>
  <c r="P30" i="14" s="1"/>
  <c r="J27" i="1"/>
  <c r="K27" i="1" s="1"/>
  <c r="L27" i="1" s="1"/>
  <c r="E26" i="1"/>
  <c r="M28" i="1"/>
  <c r="P28" i="1" s="1"/>
  <c r="N28" i="1"/>
  <c r="Q28" i="1" s="1"/>
  <c r="R28" i="1" l="1"/>
  <c r="S28" i="1" s="1"/>
  <c r="T28" i="1" s="1"/>
  <c r="Q30" i="15"/>
  <c r="R30" i="15" s="1"/>
  <c r="S30" i="15" s="1"/>
  <c r="O29" i="22"/>
  <c r="P29" i="15"/>
  <c r="O28" i="1"/>
  <c r="I26" i="13"/>
  <c r="Q30" i="17"/>
  <c r="R30" i="17" s="1"/>
  <c r="S30" i="17" s="1"/>
  <c r="Q30" i="14"/>
  <c r="R30" i="14" s="1"/>
  <c r="S30" i="14" s="1"/>
  <c r="Q30" i="22"/>
  <c r="R30" i="22" s="1"/>
  <c r="S30" i="22" s="1"/>
  <c r="Q30" i="18"/>
  <c r="R30" i="18" s="1"/>
  <c r="S30" i="18" s="1"/>
  <c r="P29" i="14"/>
  <c r="O29" i="19"/>
  <c r="P29" i="17"/>
  <c r="O29" i="15"/>
  <c r="O29" i="14"/>
  <c r="Q30" i="19"/>
  <c r="R30" i="19" s="1"/>
  <c r="S30" i="19" s="1"/>
  <c r="P29" i="19"/>
  <c r="O29" i="18"/>
  <c r="P29" i="22"/>
  <c r="Q29" i="22" s="1"/>
  <c r="R29" i="22" s="1"/>
  <c r="S29" i="22" s="1"/>
  <c r="P29" i="18"/>
  <c r="N30" i="21"/>
  <c r="P30" i="21" s="1"/>
  <c r="Q30" i="21" s="1"/>
  <c r="R30" i="21" s="1"/>
  <c r="S30" i="21" s="1"/>
  <c r="J28" i="21"/>
  <c r="E27" i="21"/>
  <c r="K29" i="21"/>
  <c r="L29" i="21" s="1"/>
  <c r="N29" i="21" s="1"/>
  <c r="P29" i="21" s="1"/>
  <c r="J26" i="22"/>
  <c r="E25" i="22"/>
  <c r="K26" i="22"/>
  <c r="L26" i="22" s="1"/>
  <c r="M28" i="22"/>
  <c r="N27" i="22"/>
  <c r="M27" i="22"/>
  <c r="E25" i="19"/>
  <c r="J26" i="19"/>
  <c r="K26" i="19"/>
  <c r="L26" i="19" s="1"/>
  <c r="N27" i="19"/>
  <c r="M27" i="19"/>
  <c r="M28" i="19"/>
  <c r="J26" i="18"/>
  <c r="K26" i="18" s="1"/>
  <c r="L26" i="18" s="1"/>
  <c r="E25" i="18"/>
  <c r="M28" i="18"/>
  <c r="K27" i="18"/>
  <c r="L27" i="18" s="1"/>
  <c r="N27" i="18" s="1"/>
  <c r="J27" i="17"/>
  <c r="K27" i="17" s="1"/>
  <c r="L27" i="17" s="1"/>
  <c r="E26" i="17"/>
  <c r="N28" i="17"/>
  <c r="M28" i="17"/>
  <c r="M29" i="17"/>
  <c r="O29" i="17" s="1"/>
  <c r="J25" i="15"/>
  <c r="E24" i="15"/>
  <c r="M26" i="15"/>
  <c r="N26" i="15"/>
  <c r="J27" i="14"/>
  <c r="K27" i="14" s="1"/>
  <c r="L27" i="14" s="1"/>
  <c r="E26" i="14"/>
  <c r="K28" i="14"/>
  <c r="L28" i="14" s="1"/>
  <c r="N28" i="14" s="1"/>
  <c r="E25" i="1"/>
  <c r="J26" i="1"/>
  <c r="K26" i="1" s="1"/>
  <c r="L26" i="1" s="1"/>
  <c r="N27" i="1"/>
  <c r="Q27" i="1" s="1"/>
  <c r="M27" i="1"/>
  <c r="P27" i="1" s="1"/>
  <c r="Q29" i="15" l="1"/>
  <c r="R29" i="15" s="1"/>
  <c r="S29" i="15" s="1"/>
  <c r="R27" i="1"/>
  <c r="S27" i="1" s="1"/>
  <c r="T27" i="1" s="1"/>
  <c r="O28" i="15"/>
  <c r="P28" i="15"/>
  <c r="O27" i="1"/>
  <c r="I25" i="13"/>
  <c r="Q29" i="17"/>
  <c r="R29" i="17" s="1"/>
  <c r="S29" i="17" s="1"/>
  <c r="Q29" i="14"/>
  <c r="R29" i="14" s="1"/>
  <c r="S29" i="14" s="1"/>
  <c r="P28" i="14"/>
  <c r="Q29" i="19"/>
  <c r="R29" i="19" s="1"/>
  <c r="S29" i="19" s="1"/>
  <c r="P28" i="17"/>
  <c r="Q29" i="18"/>
  <c r="R29" i="18" s="1"/>
  <c r="S29" i="18" s="1"/>
  <c r="O28" i="22"/>
  <c r="O28" i="17"/>
  <c r="O28" i="19"/>
  <c r="P28" i="19"/>
  <c r="P28" i="18"/>
  <c r="O28" i="18"/>
  <c r="P28" i="22"/>
  <c r="J27" i="21"/>
  <c r="E26" i="21"/>
  <c r="K28" i="21"/>
  <c r="L28" i="21" s="1"/>
  <c r="N28" i="21" s="1"/>
  <c r="P28" i="21" s="1"/>
  <c r="M29" i="21"/>
  <c r="O29" i="21" s="1"/>
  <c r="Q29" i="21" s="1"/>
  <c r="R29" i="21" s="1"/>
  <c r="S29" i="21" s="1"/>
  <c r="J25" i="22"/>
  <c r="K25" i="22" s="1"/>
  <c r="L25" i="22" s="1"/>
  <c r="E24" i="22"/>
  <c r="M26" i="22"/>
  <c r="N26" i="22"/>
  <c r="M26" i="19"/>
  <c r="N26" i="19"/>
  <c r="J25" i="19"/>
  <c r="K25" i="19" s="1"/>
  <c r="L25" i="19" s="1"/>
  <c r="E24" i="19"/>
  <c r="M27" i="18"/>
  <c r="E24" i="18"/>
  <c r="J25" i="18"/>
  <c r="K25" i="18" s="1"/>
  <c r="L25" i="18" s="1"/>
  <c r="N26" i="18"/>
  <c r="M26" i="18"/>
  <c r="J26" i="17"/>
  <c r="K26" i="17" s="1"/>
  <c r="L26" i="17" s="1"/>
  <c r="E25" i="17"/>
  <c r="N27" i="17"/>
  <c r="M27" i="17"/>
  <c r="J24" i="15"/>
  <c r="E23" i="15"/>
  <c r="K25" i="15"/>
  <c r="L25" i="15" s="1"/>
  <c r="M25" i="15" s="1"/>
  <c r="M28" i="14"/>
  <c r="O28" i="14" s="1"/>
  <c r="E25" i="14"/>
  <c r="J26" i="14"/>
  <c r="N27" i="14"/>
  <c r="M27" i="14"/>
  <c r="N26" i="1"/>
  <c r="Q26" i="1" s="1"/>
  <c r="M26" i="1"/>
  <c r="P26" i="1" s="1"/>
  <c r="J25" i="1"/>
  <c r="K25" i="1" s="1"/>
  <c r="L25" i="1" s="1"/>
  <c r="E24" i="1"/>
  <c r="R26" i="1" l="1"/>
  <c r="S26" i="1" s="1"/>
  <c r="T26" i="1" s="1"/>
  <c r="Q28" i="15"/>
  <c r="R28" i="15" s="1"/>
  <c r="S28" i="15" s="1"/>
  <c r="O27" i="15"/>
  <c r="P27" i="15"/>
  <c r="O26" i="1"/>
  <c r="I24" i="13"/>
  <c r="Q28" i="17"/>
  <c r="R28" i="17" s="1"/>
  <c r="S28" i="17" s="1"/>
  <c r="Q28" i="14"/>
  <c r="R28" i="14" s="1"/>
  <c r="S28" i="14" s="1"/>
  <c r="P27" i="19"/>
  <c r="Q28" i="19"/>
  <c r="R28" i="19" s="1"/>
  <c r="S28" i="19" s="1"/>
  <c r="O27" i="17"/>
  <c r="P27" i="14"/>
  <c r="P27" i="17"/>
  <c r="O27" i="18"/>
  <c r="Q28" i="18"/>
  <c r="R28" i="18" s="1"/>
  <c r="S28" i="18" s="1"/>
  <c r="O27" i="19"/>
  <c r="Q28" i="22"/>
  <c r="R28" i="22" s="1"/>
  <c r="S28" i="22" s="1"/>
  <c r="P27" i="22"/>
  <c r="O27" i="22"/>
  <c r="O27" i="14"/>
  <c r="P27" i="18"/>
  <c r="M28" i="21"/>
  <c r="O28" i="21" s="1"/>
  <c r="Q28" i="21" s="1"/>
  <c r="R28" i="21" s="1"/>
  <c r="S28" i="21" s="1"/>
  <c r="J26" i="21"/>
  <c r="K26" i="21" s="1"/>
  <c r="L26" i="21" s="1"/>
  <c r="E25" i="21"/>
  <c r="K27" i="21"/>
  <c r="L27" i="21" s="1"/>
  <c r="N27" i="21" s="1"/>
  <c r="P27" i="21" s="1"/>
  <c r="E23" i="22"/>
  <c r="J24" i="22"/>
  <c r="M25" i="22"/>
  <c r="N25" i="22"/>
  <c r="J24" i="19"/>
  <c r="E23" i="19"/>
  <c r="M25" i="19"/>
  <c r="N25" i="19"/>
  <c r="J24" i="18"/>
  <c r="K24" i="18" s="1"/>
  <c r="L24" i="18" s="1"/>
  <c r="E23" i="18"/>
  <c r="N25" i="18"/>
  <c r="M25" i="18"/>
  <c r="J25" i="17"/>
  <c r="E24" i="17"/>
  <c r="N26" i="17"/>
  <c r="M26" i="17"/>
  <c r="N25" i="15"/>
  <c r="J23" i="15"/>
  <c r="K23" i="15" s="1"/>
  <c r="L23" i="15" s="1"/>
  <c r="E22" i="15"/>
  <c r="K24" i="15"/>
  <c r="L24" i="15" s="1"/>
  <c r="N24" i="15" s="1"/>
  <c r="J25" i="14"/>
  <c r="K25" i="14" s="1"/>
  <c r="L25" i="14" s="1"/>
  <c r="E24" i="14"/>
  <c r="K26" i="14"/>
  <c r="L26" i="14" s="1"/>
  <c r="N26" i="14" s="1"/>
  <c r="J24" i="1"/>
  <c r="E23" i="1"/>
  <c r="N25" i="1"/>
  <c r="Q25" i="1" s="1"/>
  <c r="M25" i="1"/>
  <c r="P25" i="1" s="1"/>
  <c r="Q27" i="15" l="1"/>
  <c r="R27" i="15" s="1"/>
  <c r="S27" i="15" s="1"/>
  <c r="R25" i="1"/>
  <c r="S25" i="1" s="1"/>
  <c r="T25" i="1" s="1"/>
  <c r="O26" i="15"/>
  <c r="P26" i="15"/>
  <c r="O25" i="1"/>
  <c r="I23" i="13"/>
  <c r="Q27" i="14"/>
  <c r="R27" i="14" s="1"/>
  <c r="S27" i="14" s="1"/>
  <c r="Q27" i="19"/>
  <c r="R27" i="19" s="1"/>
  <c r="S27" i="19" s="1"/>
  <c r="Q27" i="18"/>
  <c r="R27" i="18" s="1"/>
  <c r="S27" i="18" s="1"/>
  <c r="P26" i="14"/>
  <c r="P26" i="19"/>
  <c r="Q27" i="17"/>
  <c r="R27" i="17" s="1"/>
  <c r="S27" i="17" s="1"/>
  <c r="O26" i="17"/>
  <c r="O26" i="18"/>
  <c r="P26" i="17"/>
  <c r="Q27" i="22"/>
  <c r="R27" i="22" s="1"/>
  <c r="S27" i="22" s="1"/>
  <c r="P26" i="22"/>
  <c r="O26" i="19"/>
  <c r="P26" i="18"/>
  <c r="O26" i="22"/>
  <c r="J25" i="21"/>
  <c r="E24" i="21"/>
  <c r="M26" i="21"/>
  <c r="O26" i="21" s="1"/>
  <c r="N26" i="21"/>
  <c r="P26" i="21" s="1"/>
  <c r="M27" i="21"/>
  <c r="O27" i="21" s="1"/>
  <c r="Q27" i="21" s="1"/>
  <c r="R27" i="21" s="1"/>
  <c r="S27" i="21" s="1"/>
  <c r="J23" i="22"/>
  <c r="E22" i="22"/>
  <c r="K24" i="22"/>
  <c r="L24" i="22" s="1"/>
  <c r="N24" i="22" s="1"/>
  <c r="J23" i="19"/>
  <c r="K23" i="19" s="1"/>
  <c r="L23" i="19" s="1"/>
  <c r="E22" i="19"/>
  <c r="K24" i="19"/>
  <c r="L24" i="19" s="1"/>
  <c r="M24" i="19" s="1"/>
  <c r="J23" i="18"/>
  <c r="K23" i="18" s="1"/>
  <c r="L23" i="18" s="1"/>
  <c r="E22" i="18"/>
  <c r="N24" i="18"/>
  <c r="M24" i="18"/>
  <c r="J24" i="17"/>
  <c r="K24" i="17" s="1"/>
  <c r="L24" i="17" s="1"/>
  <c r="E23" i="17"/>
  <c r="K25" i="17"/>
  <c r="L25" i="17" s="1"/>
  <c r="N25" i="17" s="1"/>
  <c r="E21" i="15"/>
  <c r="J22" i="15"/>
  <c r="K22" i="15" s="1"/>
  <c r="L22" i="15" s="1"/>
  <c r="N23" i="15"/>
  <c r="M23" i="15"/>
  <c r="M24" i="15"/>
  <c r="J24" i="14"/>
  <c r="K24" i="14" s="1"/>
  <c r="L24" i="14" s="1"/>
  <c r="E23" i="14"/>
  <c r="N25" i="14"/>
  <c r="M25" i="14"/>
  <c r="M26" i="14"/>
  <c r="O26" i="14" s="1"/>
  <c r="J23" i="1"/>
  <c r="E22" i="1"/>
  <c r="K24" i="1"/>
  <c r="L24" i="1" s="1"/>
  <c r="M24" i="1" s="1"/>
  <c r="P24" i="1" s="1"/>
  <c r="Q26" i="15" l="1"/>
  <c r="R26" i="15" s="1"/>
  <c r="S26" i="15" s="1"/>
  <c r="O25" i="15"/>
  <c r="I22" i="13"/>
  <c r="Q26" i="14"/>
  <c r="R26" i="14" s="1"/>
  <c r="S26" i="14" s="1"/>
  <c r="Q26" i="19"/>
  <c r="R26" i="19" s="1"/>
  <c r="S26" i="19" s="1"/>
  <c r="Q26" i="22"/>
  <c r="R26" i="22" s="1"/>
  <c r="S26" i="22" s="1"/>
  <c r="O25" i="19"/>
  <c r="O25" i="14"/>
  <c r="O25" i="22"/>
  <c r="Q26" i="18"/>
  <c r="R26" i="18" s="1"/>
  <c r="S26" i="18" s="1"/>
  <c r="O25" i="18"/>
  <c r="Q26" i="17"/>
  <c r="R26" i="17" s="1"/>
  <c r="S26" i="17" s="1"/>
  <c r="Q26" i="21"/>
  <c r="R26" i="21" s="1"/>
  <c r="S26" i="21" s="1"/>
  <c r="J24" i="21"/>
  <c r="E23" i="21"/>
  <c r="K25" i="21"/>
  <c r="L25" i="21" s="1"/>
  <c r="N25" i="21" s="1"/>
  <c r="J22" i="22"/>
  <c r="K22" i="22" s="1"/>
  <c r="L22" i="22" s="1"/>
  <c r="E21" i="22"/>
  <c r="M24" i="22"/>
  <c r="K23" i="22"/>
  <c r="L23" i="22" s="1"/>
  <c r="N23" i="22" s="1"/>
  <c r="N24" i="19"/>
  <c r="J22" i="19"/>
  <c r="E21" i="19"/>
  <c r="N23" i="19"/>
  <c r="M23" i="19"/>
  <c r="J22" i="18"/>
  <c r="K22" i="18" s="1"/>
  <c r="L22" i="18" s="1"/>
  <c r="E21" i="18"/>
  <c r="N23" i="18"/>
  <c r="M23" i="18"/>
  <c r="J23" i="17"/>
  <c r="E22" i="17"/>
  <c r="K23" i="17"/>
  <c r="L23" i="17" s="1"/>
  <c r="N24" i="17"/>
  <c r="M24" i="17"/>
  <c r="M25" i="17"/>
  <c r="O25" i="17" s="1"/>
  <c r="M22" i="15"/>
  <c r="N22" i="15"/>
  <c r="J21" i="15"/>
  <c r="K21" i="15" s="1"/>
  <c r="L21" i="15" s="1"/>
  <c r="E20" i="15"/>
  <c r="J23" i="14"/>
  <c r="K23" i="14" s="1"/>
  <c r="L23" i="14" s="1"/>
  <c r="E22" i="14"/>
  <c r="M24" i="14"/>
  <c r="N24" i="14"/>
  <c r="K23" i="1"/>
  <c r="L23" i="1" s="1"/>
  <c r="N23" i="1" s="1"/>
  <c r="Q23" i="1" s="1"/>
  <c r="N24" i="1"/>
  <c r="Q24" i="1" s="1"/>
  <c r="R24" i="1" s="1"/>
  <c r="S24" i="1" s="1"/>
  <c r="T24" i="1" s="1"/>
  <c r="J22" i="1"/>
  <c r="K22" i="1" s="1"/>
  <c r="L22" i="1" s="1"/>
  <c r="E21" i="1"/>
  <c r="P24" i="15" l="1"/>
  <c r="P25" i="14"/>
  <c r="Q25" i="14" s="1"/>
  <c r="R25" i="14" s="1"/>
  <c r="S25" i="14" s="1"/>
  <c r="O24" i="1"/>
  <c r="I21" i="13"/>
  <c r="P24" i="18"/>
  <c r="P25" i="15"/>
  <c r="Q25" i="15" s="1"/>
  <c r="R25" i="15" s="1"/>
  <c r="S25" i="15" s="1"/>
  <c r="P25" i="18"/>
  <c r="Q25" i="18" s="1"/>
  <c r="R25" i="18" s="1"/>
  <c r="S25" i="18" s="1"/>
  <c r="P25" i="22"/>
  <c r="Q25" i="22" s="1"/>
  <c r="R25" i="22" s="1"/>
  <c r="S25" i="22" s="1"/>
  <c r="P25" i="19"/>
  <c r="Q25" i="19" s="1"/>
  <c r="R25" i="19" s="1"/>
  <c r="S25" i="19" s="1"/>
  <c r="P24" i="17"/>
  <c r="P25" i="21"/>
  <c r="P24" i="14"/>
  <c r="P24" i="19"/>
  <c r="P25" i="17"/>
  <c r="Q25" i="17" s="1"/>
  <c r="R25" i="17" s="1"/>
  <c r="S25" i="17" s="1"/>
  <c r="P24" i="22"/>
  <c r="J23" i="21"/>
  <c r="K23" i="21" s="1"/>
  <c r="L23" i="21" s="1"/>
  <c r="E22" i="21"/>
  <c r="M25" i="21"/>
  <c r="O25" i="21" s="1"/>
  <c r="K24" i="21"/>
  <c r="L24" i="21" s="1"/>
  <c r="N24" i="21" s="1"/>
  <c r="P24" i="21" s="1"/>
  <c r="M23" i="22"/>
  <c r="J21" i="22"/>
  <c r="K21" i="22" s="1"/>
  <c r="L21" i="22" s="1"/>
  <c r="E20" i="22"/>
  <c r="N22" i="22"/>
  <c r="M22" i="22"/>
  <c r="J21" i="19"/>
  <c r="E20" i="19"/>
  <c r="K22" i="19"/>
  <c r="L22" i="19" s="1"/>
  <c r="N22" i="19" s="1"/>
  <c r="E20" i="18"/>
  <c r="J21" i="18"/>
  <c r="K21" i="18" s="1"/>
  <c r="L21" i="18" s="1"/>
  <c r="N22" i="18"/>
  <c r="M22" i="18"/>
  <c r="J22" i="17"/>
  <c r="E21" i="17"/>
  <c r="K22" i="17"/>
  <c r="L22" i="17" s="1"/>
  <c r="N23" i="17"/>
  <c r="M23" i="17"/>
  <c r="J20" i="15"/>
  <c r="K20" i="15" s="1"/>
  <c r="L20" i="15" s="1"/>
  <c r="E19" i="15"/>
  <c r="N21" i="15"/>
  <c r="M21" i="15"/>
  <c r="E21" i="14"/>
  <c r="J22" i="14"/>
  <c r="N23" i="14"/>
  <c r="M23" i="14"/>
  <c r="N22" i="1"/>
  <c r="Q22" i="1" s="1"/>
  <c r="M22" i="1"/>
  <c r="P22" i="1" s="1"/>
  <c r="M23" i="1"/>
  <c r="P23" i="1" s="1"/>
  <c r="R23" i="1" s="1"/>
  <c r="S23" i="1" s="1"/>
  <c r="T23" i="1" s="1"/>
  <c r="J21" i="1"/>
  <c r="K21" i="1" s="1"/>
  <c r="L21" i="1" s="1"/>
  <c r="E20" i="1"/>
  <c r="R22" i="1" l="1"/>
  <c r="S22" i="1" s="1"/>
  <c r="T22" i="1" s="1"/>
  <c r="O23" i="15"/>
  <c r="O24" i="14"/>
  <c r="Q24" i="14" s="1"/>
  <c r="R24" i="14" s="1"/>
  <c r="S24" i="14" s="1"/>
  <c r="P23" i="15"/>
  <c r="O22" i="1"/>
  <c r="O23" i="1"/>
  <c r="I20" i="13"/>
  <c r="O23" i="14"/>
  <c r="P23" i="14"/>
  <c r="P23" i="18"/>
  <c r="O23" i="22"/>
  <c r="Q25" i="21"/>
  <c r="R25" i="21" s="1"/>
  <c r="S25" i="21" s="1"/>
  <c r="O24" i="22"/>
  <c r="Q24" i="22" s="1"/>
  <c r="R24" i="22" s="1"/>
  <c r="S24" i="22" s="1"/>
  <c r="O23" i="17"/>
  <c r="P23" i="22"/>
  <c r="O23" i="19"/>
  <c r="P23" i="17"/>
  <c r="O23" i="18"/>
  <c r="O24" i="15"/>
  <c r="Q24" i="15" s="1"/>
  <c r="R24" i="15" s="1"/>
  <c r="S24" i="15" s="1"/>
  <c r="O24" i="18"/>
  <c r="Q24" i="18" s="1"/>
  <c r="R24" i="18" s="1"/>
  <c r="S24" i="18" s="1"/>
  <c r="O24" i="19"/>
  <c r="Q24" i="19" s="1"/>
  <c r="R24" i="19" s="1"/>
  <c r="S24" i="19" s="1"/>
  <c r="P23" i="19"/>
  <c r="O24" i="17"/>
  <c r="Q24" i="17" s="1"/>
  <c r="R24" i="17" s="1"/>
  <c r="S24" i="17" s="1"/>
  <c r="E21" i="21"/>
  <c r="J22" i="21"/>
  <c r="N23" i="21"/>
  <c r="P23" i="21" s="1"/>
  <c r="M23" i="21"/>
  <c r="O23" i="21" s="1"/>
  <c r="M24" i="21"/>
  <c r="O24" i="21" s="1"/>
  <c r="Q24" i="21" s="1"/>
  <c r="R24" i="21" s="1"/>
  <c r="S24" i="21" s="1"/>
  <c r="J20" i="22"/>
  <c r="E19" i="22"/>
  <c r="M21" i="22"/>
  <c r="N21" i="22"/>
  <c r="M22" i="19"/>
  <c r="J20" i="19"/>
  <c r="E19" i="19"/>
  <c r="K21" i="19"/>
  <c r="L21" i="19" s="1"/>
  <c r="M21" i="19" s="1"/>
  <c r="N21" i="18"/>
  <c r="M21" i="18"/>
  <c r="J20" i="18"/>
  <c r="K20" i="18" s="1"/>
  <c r="L20" i="18" s="1"/>
  <c r="E19" i="18"/>
  <c r="J21" i="17"/>
  <c r="E20" i="17"/>
  <c r="N22" i="17"/>
  <c r="M22" i="17"/>
  <c r="J19" i="15"/>
  <c r="E18" i="15"/>
  <c r="N20" i="15"/>
  <c r="M20" i="15"/>
  <c r="J21" i="14"/>
  <c r="K21" i="14"/>
  <c r="L21" i="14" s="1"/>
  <c r="E20" i="14"/>
  <c r="K22" i="14"/>
  <c r="L22" i="14" s="1"/>
  <c r="M22" i="14" s="1"/>
  <c r="N21" i="1"/>
  <c r="Q21" i="1" s="1"/>
  <c r="M21" i="1"/>
  <c r="P21" i="1" s="1"/>
  <c r="J20" i="1"/>
  <c r="K20" i="1" s="1"/>
  <c r="L20" i="1" s="1"/>
  <c r="E19" i="1"/>
  <c r="Q23" i="15" l="1"/>
  <c r="R23" i="15" s="1"/>
  <c r="S23" i="15" s="1"/>
  <c r="R21" i="1"/>
  <c r="S21" i="1" s="1"/>
  <c r="T21" i="1" s="1"/>
  <c r="O22" i="15"/>
  <c r="P22" i="15"/>
  <c r="O21" i="1"/>
  <c r="I19" i="13"/>
  <c r="Q23" i="18"/>
  <c r="R23" i="18" s="1"/>
  <c r="S23" i="18" s="1"/>
  <c r="Q23" i="14"/>
  <c r="R23" i="14" s="1"/>
  <c r="S23" i="14" s="1"/>
  <c r="Q23" i="22"/>
  <c r="R23" i="22" s="1"/>
  <c r="S23" i="22" s="1"/>
  <c r="P22" i="19"/>
  <c r="Q23" i="19"/>
  <c r="R23" i="19" s="1"/>
  <c r="S23" i="19" s="1"/>
  <c r="O22" i="14"/>
  <c r="O22" i="17"/>
  <c r="P22" i="18"/>
  <c r="P22" i="22"/>
  <c r="O22" i="19"/>
  <c r="O22" i="18"/>
  <c r="O22" i="22"/>
  <c r="P22" i="17"/>
  <c r="Q23" i="21"/>
  <c r="R23" i="21" s="1"/>
  <c r="S23" i="21" s="1"/>
  <c r="Q23" i="17"/>
  <c r="R23" i="17" s="1"/>
  <c r="S23" i="17" s="1"/>
  <c r="J21" i="21"/>
  <c r="E20" i="21"/>
  <c r="K22" i="21"/>
  <c r="L22" i="21" s="1"/>
  <c r="M22" i="21" s="1"/>
  <c r="O22" i="21" s="1"/>
  <c r="J19" i="22"/>
  <c r="E18" i="22"/>
  <c r="K20" i="22"/>
  <c r="L20" i="22" s="1"/>
  <c r="N20" i="22" s="1"/>
  <c r="N21" i="19"/>
  <c r="J19" i="19"/>
  <c r="E18" i="19"/>
  <c r="K20" i="19"/>
  <c r="L20" i="19" s="1"/>
  <c r="N20" i="19" s="1"/>
  <c r="J19" i="18"/>
  <c r="E18" i="18"/>
  <c r="N20" i="18"/>
  <c r="M20" i="18"/>
  <c r="J20" i="17"/>
  <c r="K20" i="17" s="1"/>
  <c r="L20" i="17" s="1"/>
  <c r="E19" i="17"/>
  <c r="K21" i="17"/>
  <c r="L21" i="17" s="1"/>
  <c r="N21" i="17" s="1"/>
  <c r="J18" i="15"/>
  <c r="E17" i="15"/>
  <c r="K19" i="15"/>
  <c r="L19" i="15" s="1"/>
  <c r="N19" i="15" s="1"/>
  <c r="J20" i="14"/>
  <c r="E19" i="14"/>
  <c r="N21" i="14"/>
  <c r="M21" i="14"/>
  <c r="N22" i="14"/>
  <c r="P22" i="14" s="1"/>
  <c r="M20" i="1"/>
  <c r="P20" i="1" s="1"/>
  <c r="N20" i="1"/>
  <c r="Q20" i="1" s="1"/>
  <c r="J19" i="1"/>
  <c r="K19" i="1" s="1"/>
  <c r="L19" i="1" s="1"/>
  <c r="E18" i="1"/>
  <c r="Q22" i="15" l="1"/>
  <c r="R22" i="15" s="1"/>
  <c r="S22" i="15" s="1"/>
  <c r="R20" i="1"/>
  <c r="S20" i="1" s="1"/>
  <c r="T20" i="1" s="1"/>
  <c r="O21" i="15"/>
  <c r="P21" i="15"/>
  <c r="O20" i="1"/>
  <c r="I18" i="13"/>
  <c r="Q22" i="17"/>
  <c r="R22" i="17" s="1"/>
  <c r="S22" i="17" s="1"/>
  <c r="O21" i="14"/>
  <c r="Q22" i="14"/>
  <c r="R22" i="14" s="1"/>
  <c r="S22" i="14" s="1"/>
  <c r="Q22" i="19"/>
  <c r="R22" i="19" s="1"/>
  <c r="S22" i="19" s="1"/>
  <c r="P21" i="17"/>
  <c r="P21" i="19"/>
  <c r="Q22" i="18"/>
  <c r="R22" i="18" s="1"/>
  <c r="S22" i="18" s="1"/>
  <c r="Q22" i="22"/>
  <c r="R22" i="22" s="1"/>
  <c r="S22" i="22" s="1"/>
  <c r="P21" i="18"/>
  <c r="P21" i="14"/>
  <c r="O21" i="22"/>
  <c r="O21" i="19"/>
  <c r="P21" i="22"/>
  <c r="O21" i="18"/>
  <c r="N22" i="21"/>
  <c r="P22" i="21" s="1"/>
  <c r="Q22" i="21" s="1"/>
  <c r="R22" i="21" s="1"/>
  <c r="S22" i="21" s="1"/>
  <c r="J20" i="21"/>
  <c r="K20" i="21" s="1"/>
  <c r="L20" i="21" s="1"/>
  <c r="E19" i="21"/>
  <c r="K21" i="21"/>
  <c r="L21" i="21" s="1"/>
  <c r="M21" i="21" s="1"/>
  <c r="O21" i="21" s="1"/>
  <c r="M20" i="22"/>
  <c r="J18" i="22"/>
  <c r="E17" i="22"/>
  <c r="K18" i="22"/>
  <c r="L18" i="22" s="1"/>
  <c r="K19" i="22"/>
  <c r="L19" i="22" s="1"/>
  <c r="M19" i="22" s="1"/>
  <c r="E17" i="19"/>
  <c r="J18" i="19"/>
  <c r="K18" i="19" s="1"/>
  <c r="L18" i="19" s="1"/>
  <c r="M20" i="19"/>
  <c r="K19" i="19"/>
  <c r="L19" i="19" s="1"/>
  <c r="N19" i="19" s="1"/>
  <c r="J18" i="18"/>
  <c r="K18" i="18" s="1"/>
  <c r="L18" i="18" s="1"/>
  <c r="E17" i="18"/>
  <c r="K19" i="18"/>
  <c r="L19" i="18" s="1"/>
  <c r="M19" i="18" s="1"/>
  <c r="J19" i="17"/>
  <c r="K19" i="17"/>
  <c r="L19" i="17" s="1"/>
  <c r="E18" i="17"/>
  <c r="N20" i="17"/>
  <c r="M20" i="17"/>
  <c r="M21" i="17"/>
  <c r="O21" i="17" s="1"/>
  <c r="J17" i="15"/>
  <c r="E16" i="15"/>
  <c r="K18" i="15"/>
  <c r="L18" i="15" s="1"/>
  <c r="M18" i="15" s="1"/>
  <c r="M19" i="15"/>
  <c r="J19" i="14"/>
  <c r="K19" i="14" s="1"/>
  <c r="L19" i="14" s="1"/>
  <c r="E18" i="14"/>
  <c r="K20" i="14"/>
  <c r="L20" i="14" s="1"/>
  <c r="N20" i="14" s="1"/>
  <c r="J18" i="1"/>
  <c r="E17" i="1"/>
  <c r="N19" i="1"/>
  <c r="Q19" i="1" s="1"/>
  <c r="M19" i="1"/>
  <c r="P19" i="1" s="1"/>
  <c r="R19" i="1" l="1"/>
  <c r="S19" i="1" s="1"/>
  <c r="T19" i="1" s="1"/>
  <c r="Q21" i="15"/>
  <c r="R21" i="15" s="1"/>
  <c r="S21" i="15" s="1"/>
  <c r="Q21" i="17"/>
  <c r="R21" i="17" s="1"/>
  <c r="S21" i="17" s="1"/>
  <c r="Q21" i="14"/>
  <c r="R21" i="14" s="1"/>
  <c r="S21" i="14" s="1"/>
  <c r="O20" i="15"/>
  <c r="P20" i="15"/>
  <c r="O19" i="1"/>
  <c r="I17" i="13"/>
  <c r="Q21" i="19"/>
  <c r="R21" i="19" s="1"/>
  <c r="S21" i="19" s="1"/>
  <c r="Q21" i="18"/>
  <c r="R21" i="18" s="1"/>
  <c r="S21" i="18" s="1"/>
  <c r="P20" i="14"/>
  <c r="O20" i="18"/>
  <c r="Q21" i="22"/>
  <c r="R21" i="22" s="1"/>
  <c r="S21" i="22" s="1"/>
  <c r="P20" i="18"/>
  <c r="O20" i="17"/>
  <c r="O20" i="22"/>
  <c r="P20" i="17"/>
  <c r="O20" i="19"/>
  <c r="P20" i="22"/>
  <c r="P20" i="19"/>
  <c r="N21" i="21"/>
  <c r="P21" i="21" s="1"/>
  <c r="Q21" i="21" s="1"/>
  <c r="R21" i="21" s="1"/>
  <c r="S21" i="21" s="1"/>
  <c r="N20" i="21"/>
  <c r="P20" i="21" s="1"/>
  <c r="M20" i="21"/>
  <c r="O20" i="21" s="1"/>
  <c r="J19" i="21"/>
  <c r="E18" i="21"/>
  <c r="N19" i="22"/>
  <c r="J17" i="22"/>
  <c r="E16" i="22"/>
  <c r="K17" i="22"/>
  <c r="L17" i="22" s="1"/>
  <c r="M18" i="22"/>
  <c r="N18" i="22"/>
  <c r="M18" i="19"/>
  <c r="N18" i="19"/>
  <c r="J17" i="19"/>
  <c r="K17" i="19" s="1"/>
  <c r="L17" i="19" s="1"/>
  <c r="E16" i="19"/>
  <c r="M19" i="19"/>
  <c r="N19" i="18"/>
  <c r="J17" i="18"/>
  <c r="E16" i="18"/>
  <c r="N18" i="18"/>
  <c r="M18" i="18"/>
  <c r="J18" i="17"/>
  <c r="K18" i="17" s="1"/>
  <c r="L18" i="17" s="1"/>
  <c r="E17" i="17"/>
  <c r="N19" i="17"/>
  <c r="M19" i="17"/>
  <c r="N18" i="15"/>
  <c r="J16" i="15"/>
  <c r="E15" i="15"/>
  <c r="K17" i="15"/>
  <c r="L17" i="15" s="1"/>
  <c r="M17" i="15" s="1"/>
  <c r="M20" i="14"/>
  <c r="O20" i="14" s="1"/>
  <c r="J18" i="14"/>
  <c r="K18" i="14" s="1"/>
  <c r="L18" i="14" s="1"/>
  <c r="E17" i="14"/>
  <c r="N19" i="14"/>
  <c r="M19" i="14"/>
  <c r="J17" i="1"/>
  <c r="K17" i="1" s="1"/>
  <c r="L17" i="1" s="1"/>
  <c r="E16" i="1"/>
  <c r="K18" i="1"/>
  <c r="L18" i="1" s="1"/>
  <c r="N18" i="1" s="1"/>
  <c r="Q18" i="1" s="1"/>
  <c r="Q20" i="15" l="1"/>
  <c r="R20" i="15" s="1"/>
  <c r="S20" i="15" s="1"/>
  <c r="P19" i="15"/>
  <c r="I16" i="13"/>
  <c r="Q20" i="21"/>
  <c r="R20" i="21" s="1"/>
  <c r="S20" i="21" s="1"/>
  <c r="Q20" i="14"/>
  <c r="R20" i="14" s="1"/>
  <c r="S20" i="14" s="1"/>
  <c r="Q20" i="22"/>
  <c r="R20" i="22" s="1"/>
  <c r="S20" i="22" s="1"/>
  <c r="Q20" i="18"/>
  <c r="R20" i="18" s="1"/>
  <c r="S20" i="18" s="1"/>
  <c r="P19" i="14"/>
  <c r="P19" i="19"/>
  <c r="P19" i="17"/>
  <c r="Q20" i="17"/>
  <c r="R20" i="17" s="1"/>
  <c r="S20" i="17" s="1"/>
  <c r="P19" i="18"/>
  <c r="P19" i="22"/>
  <c r="Q20" i="19"/>
  <c r="R20" i="19" s="1"/>
  <c r="S20" i="19" s="1"/>
  <c r="E17" i="21"/>
  <c r="J18" i="21"/>
  <c r="K19" i="21"/>
  <c r="L19" i="21" s="1"/>
  <c r="N19" i="21" s="1"/>
  <c r="P19" i="21" s="1"/>
  <c r="J16" i="22"/>
  <c r="E15" i="22"/>
  <c r="M17" i="22"/>
  <c r="N17" i="22"/>
  <c r="J16" i="19"/>
  <c r="E15" i="19"/>
  <c r="M17" i="19"/>
  <c r="N17" i="19"/>
  <c r="J16" i="18"/>
  <c r="K16" i="18" s="1"/>
  <c r="L16" i="18" s="1"/>
  <c r="E15" i="18"/>
  <c r="K17" i="18"/>
  <c r="L17" i="18" s="1"/>
  <c r="N17" i="18" s="1"/>
  <c r="J17" i="17"/>
  <c r="E16" i="17"/>
  <c r="N18" i="17"/>
  <c r="M18" i="17"/>
  <c r="J15" i="15"/>
  <c r="E14" i="15"/>
  <c r="N17" i="15"/>
  <c r="K16" i="15"/>
  <c r="L16" i="15" s="1"/>
  <c r="N16" i="15" s="1"/>
  <c r="J17" i="14"/>
  <c r="K17" i="14" s="1"/>
  <c r="L17" i="14" s="1"/>
  <c r="E16" i="14"/>
  <c r="M18" i="14"/>
  <c r="N18" i="14"/>
  <c r="M18" i="1"/>
  <c r="P18" i="1" s="1"/>
  <c r="R18" i="1" s="1"/>
  <c r="S18" i="1" s="1"/>
  <c r="T18" i="1" s="1"/>
  <c r="N17" i="1"/>
  <c r="Q17" i="1" s="1"/>
  <c r="M17" i="1"/>
  <c r="P17" i="1" s="1"/>
  <c r="J16" i="1"/>
  <c r="K16" i="1" s="1"/>
  <c r="L16" i="1" s="1"/>
  <c r="E15" i="1"/>
  <c r="R17" i="1" l="1"/>
  <c r="S17" i="1" s="1"/>
  <c r="T17" i="1" s="1"/>
  <c r="O18" i="15"/>
  <c r="O19" i="17"/>
  <c r="P18" i="18"/>
  <c r="O17" i="1"/>
  <c r="O18" i="1"/>
  <c r="I15" i="13"/>
  <c r="Q19" i="17"/>
  <c r="R19" i="17" s="1"/>
  <c r="S19" i="17" s="1"/>
  <c r="O18" i="18"/>
  <c r="O18" i="22"/>
  <c r="O19" i="19"/>
  <c r="Q19" i="19" s="1"/>
  <c r="R19" i="19" s="1"/>
  <c r="S19" i="19" s="1"/>
  <c r="P18" i="14"/>
  <c r="P18" i="19"/>
  <c r="O18" i="17"/>
  <c r="O18" i="14"/>
  <c r="O19" i="14"/>
  <c r="Q19" i="14" s="1"/>
  <c r="R19" i="14" s="1"/>
  <c r="S19" i="14" s="1"/>
  <c r="P18" i="17"/>
  <c r="P18" i="15"/>
  <c r="P18" i="22"/>
  <c r="O19" i="15"/>
  <c r="Q19" i="15" s="1"/>
  <c r="R19" i="15" s="1"/>
  <c r="S19" i="15" s="1"/>
  <c r="O19" i="18"/>
  <c r="Q19" i="18" s="1"/>
  <c r="R19" i="18" s="1"/>
  <c r="S19" i="18" s="1"/>
  <c r="O19" i="22"/>
  <c r="Q19" i="22" s="1"/>
  <c r="R19" i="22" s="1"/>
  <c r="S19" i="22" s="1"/>
  <c r="O18" i="19"/>
  <c r="J17" i="21"/>
  <c r="E16" i="21"/>
  <c r="K18" i="21"/>
  <c r="L18" i="21" s="1"/>
  <c r="M18" i="21" s="1"/>
  <c r="O18" i="21" s="1"/>
  <c r="M19" i="21"/>
  <c r="O19" i="21" s="1"/>
  <c r="Q19" i="21" s="1"/>
  <c r="R19" i="21" s="1"/>
  <c r="S19" i="21" s="1"/>
  <c r="J15" i="22"/>
  <c r="E14" i="22"/>
  <c r="K16" i="22"/>
  <c r="L16" i="22" s="1"/>
  <c r="N16" i="22" s="1"/>
  <c r="J15" i="19"/>
  <c r="K15" i="19"/>
  <c r="L15" i="19" s="1"/>
  <c r="E14" i="19"/>
  <c r="K16" i="19"/>
  <c r="L16" i="19" s="1"/>
  <c r="N16" i="19" s="1"/>
  <c r="M17" i="18"/>
  <c r="E14" i="18"/>
  <c r="J15" i="18"/>
  <c r="N16" i="18"/>
  <c r="M16" i="18"/>
  <c r="J16" i="17"/>
  <c r="E15" i="17"/>
  <c r="K16" i="17"/>
  <c r="L16" i="17" s="1"/>
  <c r="K17" i="17"/>
  <c r="L17" i="17" s="1"/>
  <c r="N17" i="17" s="1"/>
  <c r="J14" i="15"/>
  <c r="E13" i="15"/>
  <c r="M16" i="15"/>
  <c r="K15" i="15"/>
  <c r="L15" i="15" s="1"/>
  <c r="M15" i="15" s="1"/>
  <c r="E15" i="14"/>
  <c r="J16" i="14"/>
  <c r="K16" i="14" s="1"/>
  <c r="L16" i="14" s="1"/>
  <c r="N17" i="14"/>
  <c r="M17" i="14"/>
  <c r="J15" i="1"/>
  <c r="E14" i="1"/>
  <c r="M16" i="1"/>
  <c r="P16" i="1" s="1"/>
  <c r="N16" i="1"/>
  <c r="Q16" i="1" s="1"/>
  <c r="R16" i="1" l="1"/>
  <c r="S16" i="1" s="1"/>
  <c r="T16" i="1" s="1"/>
  <c r="Q18" i="15"/>
  <c r="R18" i="15" s="1"/>
  <c r="S18" i="15" s="1"/>
  <c r="O17" i="15"/>
  <c r="Q18" i="18"/>
  <c r="R18" i="18" s="1"/>
  <c r="S18" i="18" s="1"/>
  <c r="P17" i="18"/>
  <c r="O16" i="1"/>
  <c r="Q18" i="22"/>
  <c r="R18" i="22" s="1"/>
  <c r="S18" i="22" s="1"/>
  <c r="Q18" i="19"/>
  <c r="R18" i="19" s="1"/>
  <c r="S18" i="19" s="1"/>
  <c r="I14" i="13"/>
  <c r="Q18" i="14"/>
  <c r="R18" i="14" s="1"/>
  <c r="S18" i="14" s="1"/>
  <c r="Q18" i="17"/>
  <c r="R18" i="17" s="1"/>
  <c r="S18" i="17" s="1"/>
  <c r="O17" i="18"/>
  <c r="O17" i="22"/>
  <c r="P17" i="19"/>
  <c r="P17" i="17"/>
  <c r="P17" i="14"/>
  <c r="P17" i="22"/>
  <c r="O17" i="19"/>
  <c r="P17" i="15"/>
  <c r="Q17" i="15" s="1"/>
  <c r="R17" i="15" s="1"/>
  <c r="S17" i="15" s="1"/>
  <c r="O17" i="14"/>
  <c r="J16" i="21"/>
  <c r="K16" i="21" s="1"/>
  <c r="L16" i="21" s="1"/>
  <c r="E15" i="21"/>
  <c r="K17" i="21"/>
  <c r="L17" i="21" s="1"/>
  <c r="M17" i="21" s="1"/>
  <c r="O17" i="21" s="1"/>
  <c r="N18" i="21"/>
  <c r="P18" i="21" s="1"/>
  <c r="Q18" i="21" s="1"/>
  <c r="R18" i="21" s="1"/>
  <c r="S18" i="21" s="1"/>
  <c r="M16" i="22"/>
  <c r="J14" i="22"/>
  <c r="E13" i="22"/>
  <c r="K15" i="22"/>
  <c r="L15" i="22" s="1"/>
  <c r="N15" i="22" s="1"/>
  <c r="J14" i="19"/>
  <c r="E13" i="19"/>
  <c r="M15" i="19"/>
  <c r="N15" i="19"/>
  <c r="M16" i="19"/>
  <c r="J14" i="18"/>
  <c r="E13" i="18"/>
  <c r="K15" i="18"/>
  <c r="L15" i="18" s="1"/>
  <c r="N15" i="18" s="1"/>
  <c r="J15" i="17"/>
  <c r="K15" i="17" s="1"/>
  <c r="L15" i="17" s="1"/>
  <c r="E14" i="17"/>
  <c r="M17" i="17"/>
  <c r="O17" i="17" s="1"/>
  <c r="N16" i="17"/>
  <c r="M16" i="17"/>
  <c r="N15" i="15"/>
  <c r="J13" i="15"/>
  <c r="E12" i="15"/>
  <c r="K14" i="15"/>
  <c r="L14" i="15" s="1"/>
  <c r="M14" i="15" s="1"/>
  <c r="M16" i="14"/>
  <c r="N16" i="14"/>
  <c r="J15" i="14"/>
  <c r="K15" i="14" s="1"/>
  <c r="L15" i="14" s="1"/>
  <c r="E14" i="14"/>
  <c r="J14" i="1"/>
  <c r="K14" i="1" s="1"/>
  <c r="L14" i="1" s="1"/>
  <c r="E13" i="1"/>
  <c r="K15" i="1"/>
  <c r="L15" i="1" s="1"/>
  <c r="N15" i="1" s="1"/>
  <c r="Q15" i="1" s="1"/>
  <c r="Q17" i="18" l="1"/>
  <c r="R17" i="18" s="1"/>
  <c r="S17" i="18" s="1"/>
  <c r="P16" i="15"/>
  <c r="Q17" i="17"/>
  <c r="R17" i="17" s="1"/>
  <c r="S17" i="17" s="1"/>
  <c r="I13" i="13"/>
  <c r="Q17" i="19"/>
  <c r="R17" i="19" s="1"/>
  <c r="S17" i="19" s="1"/>
  <c r="Q17" i="14"/>
  <c r="R17" i="14" s="1"/>
  <c r="S17" i="14" s="1"/>
  <c r="P16" i="22"/>
  <c r="P16" i="17"/>
  <c r="P16" i="18"/>
  <c r="Q17" i="22"/>
  <c r="R17" i="22" s="1"/>
  <c r="S17" i="22" s="1"/>
  <c r="P16" i="19"/>
  <c r="P16" i="14"/>
  <c r="J15" i="21"/>
  <c r="K15" i="21" s="1"/>
  <c r="L15" i="21" s="1"/>
  <c r="E14" i="21"/>
  <c r="N16" i="21"/>
  <c r="P16" i="21" s="1"/>
  <c r="M16" i="21"/>
  <c r="N17" i="21"/>
  <c r="P17" i="21" s="1"/>
  <c r="Q17" i="21" s="1"/>
  <c r="R17" i="21" s="1"/>
  <c r="S17" i="21" s="1"/>
  <c r="M15" i="22"/>
  <c r="E12" i="22"/>
  <c r="J13" i="22"/>
  <c r="K13" i="22" s="1"/>
  <c r="L13" i="22" s="1"/>
  <c r="K14" i="22"/>
  <c r="L14" i="22" s="1"/>
  <c r="N14" i="22" s="1"/>
  <c r="J13" i="19"/>
  <c r="E12" i="19"/>
  <c r="K14" i="19"/>
  <c r="L14" i="19" s="1"/>
  <c r="M14" i="19" s="1"/>
  <c r="E12" i="18"/>
  <c r="J13" i="18"/>
  <c r="M15" i="18"/>
  <c r="K14" i="18"/>
  <c r="L14" i="18" s="1"/>
  <c r="N14" i="18" s="1"/>
  <c r="J14" i="17"/>
  <c r="K14" i="17" s="1"/>
  <c r="L14" i="17" s="1"/>
  <c r="E13" i="17"/>
  <c r="N15" i="17"/>
  <c r="M15" i="17"/>
  <c r="J12" i="15"/>
  <c r="K12" i="15" s="1"/>
  <c r="L12" i="15" s="1"/>
  <c r="E11" i="15"/>
  <c r="K13" i="15"/>
  <c r="L13" i="15" s="1"/>
  <c r="N13" i="15" s="1"/>
  <c r="N14" i="15"/>
  <c r="J14" i="14"/>
  <c r="E13" i="14"/>
  <c r="N15" i="14"/>
  <c r="M15" i="14"/>
  <c r="J13" i="1"/>
  <c r="K13" i="1" s="1"/>
  <c r="L13" i="1" s="1"/>
  <c r="E12" i="1"/>
  <c r="N14" i="1"/>
  <c r="Q14" i="1" s="1"/>
  <c r="M14" i="1"/>
  <c r="P14" i="1" s="1"/>
  <c r="M15" i="1"/>
  <c r="P15" i="1" s="1"/>
  <c r="R15" i="1" s="1"/>
  <c r="S15" i="1" s="1"/>
  <c r="T15" i="1" s="1"/>
  <c r="R14" i="1" l="1"/>
  <c r="S14" i="1" s="1"/>
  <c r="T14" i="1" s="1"/>
  <c r="O15" i="15"/>
  <c r="O16" i="22"/>
  <c r="Q16" i="22" s="1"/>
  <c r="R16" i="22" s="1"/>
  <c r="S16" i="22" s="1"/>
  <c r="P15" i="22"/>
  <c r="O14" i="1"/>
  <c r="O15" i="1"/>
  <c r="I12" i="13"/>
  <c r="P15" i="14"/>
  <c r="O15" i="14"/>
  <c r="O15" i="22"/>
  <c r="O15" i="17"/>
  <c r="P15" i="17"/>
  <c r="O16" i="18"/>
  <c r="Q16" i="18" s="1"/>
  <c r="R16" i="18" s="1"/>
  <c r="S16" i="18" s="1"/>
  <c r="O16" i="15"/>
  <c r="Q16" i="15" s="1"/>
  <c r="R16" i="15" s="1"/>
  <c r="S16" i="15" s="1"/>
  <c r="O16" i="19"/>
  <c r="Q16" i="19" s="1"/>
  <c r="R16" i="19" s="1"/>
  <c r="S16" i="19" s="1"/>
  <c r="O16" i="21"/>
  <c r="Q16" i="21" s="1"/>
  <c r="R16" i="21" s="1"/>
  <c r="S16" i="21" s="1"/>
  <c r="O15" i="19"/>
  <c r="P15" i="19"/>
  <c r="O16" i="17"/>
  <c r="Q16" i="17" s="1"/>
  <c r="R16" i="17" s="1"/>
  <c r="S16" i="17" s="1"/>
  <c r="P15" i="15"/>
  <c r="O16" i="14"/>
  <c r="Q16" i="14" s="1"/>
  <c r="R16" i="14" s="1"/>
  <c r="S16" i="14" s="1"/>
  <c r="O15" i="18"/>
  <c r="P15" i="18"/>
  <c r="E13" i="21"/>
  <c r="J14" i="21"/>
  <c r="K14" i="21" s="1"/>
  <c r="L14" i="21" s="1"/>
  <c r="N15" i="21"/>
  <c r="P15" i="21" s="1"/>
  <c r="M15" i="21"/>
  <c r="O15" i="21" s="1"/>
  <c r="J12" i="22"/>
  <c r="E11" i="22"/>
  <c r="M14" i="22"/>
  <c r="M13" i="22"/>
  <c r="N13" i="22"/>
  <c r="J12" i="19"/>
  <c r="K12" i="19" s="1"/>
  <c r="L12" i="19" s="1"/>
  <c r="E11" i="19"/>
  <c r="K13" i="19"/>
  <c r="L13" i="19" s="1"/>
  <c r="M13" i="19" s="1"/>
  <c r="N14" i="19"/>
  <c r="M14" i="18"/>
  <c r="K13" i="18"/>
  <c r="L13" i="18" s="1"/>
  <c r="N13" i="18" s="1"/>
  <c r="J12" i="18"/>
  <c r="K12" i="18" s="1"/>
  <c r="L12" i="18" s="1"/>
  <c r="E11" i="18"/>
  <c r="J13" i="17"/>
  <c r="E12" i="17"/>
  <c r="N14" i="17"/>
  <c r="M14" i="17"/>
  <c r="M13" i="15"/>
  <c r="J11" i="15"/>
  <c r="E10" i="15"/>
  <c r="M12" i="15"/>
  <c r="N12" i="15"/>
  <c r="J13" i="14"/>
  <c r="K13" i="14"/>
  <c r="L13" i="14" s="1"/>
  <c r="E12" i="14"/>
  <c r="K14" i="14"/>
  <c r="L14" i="14" s="1"/>
  <c r="N14" i="14" s="1"/>
  <c r="J12" i="1"/>
  <c r="K12" i="1" s="1"/>
  <c r="L12" i="1" s="1"/>
  <c r="E11" i="1"/>
  <c r="N13" i="1"/>
  <c r="Q13" i="1" s="1"/>
  <c r="M13" i="1"/>
  <c r="P13" i="1" s="1"/>
  <c r="R13" i="1" l="1"/>
  <c r="S13" i="1" s="1"/>
  <c r="T13" i="1" s="1"/>
  <c r="Q15" i="15"/>
  <c r="R15" i="15" s="1"/>
  <c r="S15" i="15" s="1"/>
  <c r="Q15" i="17"/>
  <c r="R15" i="17" s="1"/>
  <c r="S15" i="17" s="1"/>
  <c r="Q15" i="22"/>
  <c r="R15" i="22" s="1"/>
  <c r="S15" i="22" s="1"/>
  <c r="O14" i="15"/>
  <c r="P14" i="18"/>
  <c r="O13" i="1"/>
  <c r="I11" i="13"/>
  <c r="Q15" i="14"/>
  <c r="R15" i="14" s="1"/>
  <c r="S15" i="14" s="1"/>
  <c r="Q15" i="18"/>
  <c r="R15" i="18" s="1"/>
  <c r="S15" i="18" s="1"/>
  <c r="Q15" i="21"/>
  <c r="R15" i="21" s="1"/>
  <c r="S15" i="21" s="1"/>
  <c r="O14" i="17"/>
  <c r="P14" i="17"/>
  <c r="P14" i="19"/>
  <c r="P14" i="15"/>
  <c r="O14" i="19"/>
  <c r="Q15" i="19"/>
  <c r="R15" i="19" s="1"/>
  <c r="S15" i="19" s="1"/>
  <c r="O14" i="18"/>
  <c r="P14" i="22"/>
  <c r="P14" i="14"/>
  <c r="O14" i="22"/>
  <c r="M14" i="21"/>
  <c r="O14" i="21" s="1"/>
  <c r="N14" i="21"/>
  <c r="P14" i="21" s="1"/>
  <c r="J13" i="21"/>
  <c r="K13" i="21" s="1"/>
  <c r="L13" i="21" s="1"/>
  <c r="E12" i="21"/>
  <c r="J11" i="22"/>
  <c r="E10" i="22"/>
  <c r="K12" i="22"/>
  <c r="L12" i="22" s="1"/>
  <c r="N12" i="22" s="1"/>
  <c r="J11" i="19"/>
  <c r="K11" i="19" s="1"/>
  <c r="L11" i="19" s="1"/>
  <c r="E10" i="19"/>
  <c r="N13" i="19"/>
  <c r="M12" i="19"/>
  <c r="N12" i="19"/>
  <c r="M12" i="18"/>
  <c r="N12" i="18"/>
  <c r="J11" i="18"/>
  <c r="K11" i="18" s="1"/>
  <c r="L11" i="18" s="1"/>
  <c r="E10" i="18"/>
  <c r="M13" i="18"/>
  <c r="J12" i="17"/>
  <c r="K12" i="17" s="1"/>
  <c r="L12" i="17" s="1"/>
  <c r="E11" i="17"/>
  <c r="K13" i="17"/>
  <c r="L13" i="17" s="1"/>
  <c r="N13" i="17" s="1"/>
  <c r="J10" i="15"/>
  <c r="E9" i="15"/>
  <c r="K11" i="15"/>
  <c r="L11" i="15" s="1"/>
  <c r="M11" i="15" s="1"/>
  <c r="M14" i="14"/>
  <c r="O14" i="14" s="1"/>
  <c r="E11" i="14"/>
  <c r="J12" i="14"/>
  <c r="K12" i="14" s="1"/>
  <c r="L12" i="14" s="1"/>
  <c r="M13" i="14"/>
  <c r="N13" i="14"/>
  <c r="J11" i="1"/>
  <c r="K11" i="1" s="1"/>
  <c r="L11" i="1" s="1"/>
  <c r="E10" i="1"/>
  <c r="M12" i="1"/>
  <c r="P12" i="1" s="1"/>
  <c r="N12" i="1"/>
  <c r="Q12" i="1" s="1"/>
  <c r="Q14" i="18" l="1"/>
  <c r="R14" i="18" s="1"/>
  <c r="S14" i="18" s="1"/>
  <c r="Q14" i="15"/>
  <c r="R14" i="15" s="1"/>
  <c r="S14" i="15" s="1"/>
  <c r="R12" i="1"/>
  <c r="S12" i="1" s="1"/>
  <c r="T12" i="1" s="1"/>
  <c r="O13" i="22"/>
  <c r="P13" i="15"/>
  <c r="O12" i="1"/>
  <c r="I10" i="13"/>
  <c r="Q14" i="22"/>
  <c r="R14" i="22" s="1"/>
  <c r="S14" i="22" s="1"/>
  <c r="O13" i="15"/>
  <c r="P13" i="14"/>
  <c r="O13" i="14"/>
  <c r="Q14" i="17"/>
  <c r="R14" i="17" s="1"/>
  <c r="S14" i="17" s="1"/>
  <c r="O13" i="19"/>
  <c r="P13" i="18"/>
  <c r="P13" i="17"/>
  <c r="P13" i="22"/>
  <c r="Q14" i="14"/>
  <c r="R14" i="14" s="1"/>
  <c r="S14" i="14" s="1"/>
  <c r="P13" i="19"/>
  <c r="Q14" i="19"/>
  <c r="R14" i="19" s="1"/>
  <c r="S14" i="19" s="1"/>
  <c r="O13" i="18"/>
  <c r="M13" i="21"/>
  <c r="O13" i="21" s="1"/>
  <c r="N13" i="21"/>
  <c r="P13" i="21" s="1"/>
  <c r="J12" i="21"/>
  <c r="K12" i="21" s="1"/>
  <c r="L12" i="21" s="1"/>
  <c r="E11" i="21"/>
  <c r="Q14" i="21"/>
  <c r="R14" i="21" s="1"/>
  <c r="S14" i="21" s="1"/>
  <c r="J10" i="22"/>
  <c r="K10" i="22" s="1"/>
  <c r="L10" i="22" s="1"/>
  <c r="E9" i="22"/>
  <c r="M12" i="22"/>
  <c r="K11" i="22"/>
  <c r="L11" i="22" s="1"/>
  <c r="N11" i="22" s="1"/>
  <c r="J10" i="19"/>
  <c r="K10" i="19" s="1"/>
  <c r="L10" i="19" s="1"/>
  <c r="E9" i="19"/>
  <c r="M11" i="19"/>
  <c r="N11" i="19"/>
  <c r="J10" i="18"/>
  <c r="K10" i="18" s="1"/>
  <c r="L10" i="18" s="1"/>
  <c r="E9" i="18"/>
  <c r="N11" i="18"/>
  <c r="M11" i="18"/>
  <c r="J11" i="17"/>
  <c r="E10" i="17"/>
  <c r="K11" i="17"/>
  <c r="L11" i="17" s="1"/>
  <c r="M12" i="17"/>
  <c r="N12" i="17"/>
  <c r="M13" i="17"/>
  <c r="O13" i="17" s="1"/>
  <c r="N11" i="15"/>
  <c r="K10" i="15"/>
  <c r="L10" i="15" s="1"/>
  <c r="M10" i="15" s="1"/>
  <c r="J9" i="15"/>
  <c r="K9" i="15" s="1"/>
  <c r="L9" i="15" s="1"/>
  <c r="E8" i="15"/>
  <c r="M12" i="14"/>
  <c r="N12" i="14"/>
  <c r="J11" i="14"/>
  <c r="E10" i="14"/>
  <c r="E9" i="1"/>
  <c r="J10" i="1"/>
  <c r="N11" i="1"/>
  <c r="Q11" i="1" s="1"/>
  <c r="M11" i="1"/>
  <c r="P11" i="1" s="1"/>
  <c r="R11" i="1" l="1"/>
  <c r="S11" i="1" s="1"/>
  <c r="T11" i="1" s="1"/>
  <c r="Q13" i="15"/>
  <c r="R13" i="15" s="1"/>
  <c r="S13" i="15" s="1"/>
  <c r="Q13" i="22"/>
  <c r="R13" i="22" s="1"/>
  <c r="S13" i="22" s="1"/>
  <c r="O12" i="15"/>
  <c r="P12" i="15"/>
  <c r="O11" i="1"/>
  <c r="I9" i="13"/>
  <c r="Q13" i="14"/>
  <c r="R13" i="14" s="1"/>
  <c r="S13" i="14" s="1"/>
  <c r="Q13" i="21"/>
  <c r="R13" i="21" s="1"/>
  <c r="S13" i="21" s="1"/>
  <c r="Q13" i="18"/>
  <c r="R13" i="18" s="1"/>
  <c r="S13" i="18" s="1"/>
  <c r="O12" i="14"/>
  <c r="O12" i="17"/>
  <c r="Q13" i="19"/>
  <c r="R13" i="19" s="1"/>
  <c r="S13" i="19" s="1"/>
  <c r="O12" i="22"/>
  <c r="P12" i="19"/>
  <c r="P12" i="18"/>
  <c r="Q13" i="17"/>
  <c r="R13" i="17" s="1"/>
  <c r="S13" i="17" s="1"/>
  <c r="O12" i="19"/>
  <c r="P12" i="22"/>
  <c r="P12" i="14"/>
  <c r="P12" i="17"/>
  <c r="O12" i="18"/>
  <c r="J11" i="21"/>
  <c r="E10" i="21"/>
  <c r="N12" i="21"/>
  <c r="P12" i="21" s="1"/>
  <c r="M12" i="21"/>
  <c r="O12" i="21" s="1"/>
  <c r="M11" i="22"/>
  <c r="J9" i="22"/>
  <c r="E8" i="22"/>
  <c r="N10" i="22"/>
  <c r="M10" i="22"/>
  <c r="J9" i="19"/>
  <c r="E8" i="19"/>
  <c r="M10" i="19"/>
  <c r="N10" i="19"/>
  <c r="J9" i="18"/>
  <c r="E8" i="18"/>
  <c r="N10" i="18"/>
  <c r="M10" i="18"/>
  <c r="E9" i="17"/>
  <c r="J10" i="17"/>
  <c r="K10" i="17" s="1"/>
  <c r="L10" i="17" s="1"/>
  <c r="N11" i="17"/>
  <c r="M11" i="17"/>
  <c r="J8" i="15"/>
  <c r="E7" i="15"/>
  <c r="N9" i="15"/>
  <c r="M9" i="15"/>
  <c r="N10" i="15"/>
  <c r="J10" i="14"/>
  <c r="E9" i="14"/>
  <c r="K11" i="14"/>
  <c r="L11" i="14" s="1"/>
  <c r="N11" i="14" s="1"/>
  <c r="J9" i="1"/>
  <c r="K9" i="1" s="1"/>
  <c r="L9" i="1" s="1"/>
  <c r="E8" i="1"/>
  <c r="K10" i="1"/>
  <c r="L10" i="1" s="1"/>
  <c r="N10" i="1" s="1"/>
  <c r="Q10" i="1" s="1"/>
  <c r="Q12" i="15" l="1"/>
  <c r="R12" i="15" s="1"/>
  <c r="S12" i="15" s="1"/>
  <c r="P11" i="22"/>
  <c r="I8" i="13"/>
  <c r="Q12" i="17"/>
  <c r="R12" i="17" s="1"/>
  <c r="S12" i="17" s="1"/>
  <c r="Q12" i="14"/>
  <c r="R12" i="14" s="1"/>
  <c r="S12" i="14" s="1"/>
  <c r="Q12" i="22"/>
  <c r="R12" i="22" s="1"/>
  <c r="S12" i="22" s="1"/>
  <c r="Q12" i="21"/>
  <c r="R12" i="21" s="1"/>
  <c r="S12" i="21" s="1"/>
  <c r="Q12" i="19"/>
  <c r="R12" i="19" s="1"/>
  <c r="S12" i="19" s="1"/>
  <c r="P11" i="17"/>
  <c r="P11" i="19"/>
  <c r="P11" i="15"/>
  <c r="P11" i="18"/>
  <c r="Q12" i="18"/>
  <c r="R12" i="18" s="1"/>
  <c r="S12" i="18" s="1"/>
  <c r="P11" i="14"/>
  <c r="J10" i="21"/>
  <c r="E9" i="21"/>
  <c r="K11" i="21"/>
  <c r="L11" i="21" s="1"/>
  <c r="M11" i="21" s="1"/>
  <c r="J8" i="22"/>
  <c r="E7" i="22"/>
  <c r="K9" i="22"/>
  <c r="L9" i="22" s="1"/>
  <c r="M9" i="22" s="1"/>
  <c r="J8" i="19"/>
  <c r="K8" i="19"/>
  <c r="L8" i="19" s="1"/>
  <c r="E7" i="19"/>
  <c r="K9" i="19"/>
  <c r="L9" i="19" s="1"/>
  <c r="N9" i="19" s="1"/>
  <c r="K9" i="18"/>
  <c r="L9" i="18" s="1"/>
  <c r="N9" i="18" s="1"/>
  <c r="J8" i="18"/>
  <c r="K8" i="18" s="1"/>
  <c r="L8" i="18" s="1"/>
  <c r="E7" i="18"/>
  <c r="N10" i="17"/>
  <c r="M10" i="17"/>
  <c r="J9" i="17"/>
  <c r="K9" i="17" s="1"/>
  <c r="L9" i="17" s="1"/>
  <c r="E8" i="17"/>
  <c r="J7" i="15"/>
  <c r="E6" i="15"/>
  <c r="K8" i="15"/>
  <c r="L8" i="15" s="1"/>
  <c r="M8" i="15" s="1"/>
  <c r="J9" i="14"/>
  <c r="K9" i="14" s="1"/>
  <c r="L9" i="14" s="1"/>
  <c r="E8" i="14"/>
  <c r="K10" i="14"/>
  <c r="L10" i="14" s="1"/>
  <c r="M10" i="14" s="1"/>
  <c r="M11" i="14"/>
  <c r="M10" i="1"/>
  <c r="P10" i="1" s="1"/>
  <c r="R10" i="1" s="1"/>
  <c r="S10" i="1" s="1"/>
  <c r="T10" i="1" s="1"/>
  <c r="J8" i="1"/>
  <c r="E7" i="1"/>
  <c r="N9" i="1"/>
  <c r="Q9" i="1" s="1"/>
  <c r="M9" i="1"/>
  <c r="P9" i="1" s="1"/>
  <c r="R9" i="1" l="1"/>
  <c r="S9" i="1" s="1"/>
  <c r="T9" i="1" s="1"/>
  <c r="O10" i="1"/>
  <c r="O10" i="15"/>
  <c r="P10" i="19"/>
  <c r="O9" i="1"/>
  <c r="I7" i="13"/>
  <c r="P10" i="22"/>
  <c r="P10" i="18"/>
  <c r="P10" i="15"/>
  <c r="O11" i="21"/>
  <c r="O10" i="19"/>
  <c r="O10" i="18"/>
  <c r="O11" i="15"/>
  <c r="Q11" i="15" s="1"/>
  <c r="R11" i="15" s="1"/>
  <c r="S11" i="15" s="1"/>
  <c r="O11" i="19"/>
  <c r="Q11" i="19" s="1"/>
  <c r="R11" i="19" s="1"/>
  <c r="S11" i="19" s="1"/>
  <c r="O11" i="18"/>
  <c r="Q11" i="18" s="1"/>
  <c r="R11" i="18" s="1"/>
  <c r="S11" i="18" s="1"/>
  <c r="O10" i="17"/>
  <c r="O11" i="17"/>
  <c r="Q11" i="17" s="1"/>
  <c r="R11" i="17" s="1"/>
  <c r="S11" i="17" s="1"/>
  <c r="O11" i="22"/>
  <c r="Q11" i="22" s="1"/>
  <c r="R11" i="22" s="1"/>
  <c r="S11" i="22" s="1"/>
  <c r="O11" i="14"/>
  <c r="Q11" i="14" s="1"/>
  <c r="R11" i="14" s="1"/>
  <c r="S11" i="14" s="1"/>
  <c r="O10" i="14"/>
  <c r="P10" i="17"/>
  <c r="O10" i="22"/>
  <c r="N11" i="21"/>
  <c r="P11" i="21" s="1"/>
  <c r="J9" i="21"/>
  <c r="E8" i="21"/>
  <c r="K10" i="21"/>
  <c r="L10" i="21" s="1"/>
  <c r="M10" i="21" s="1"/>
  <c r="O10" i="21" s="1"/>
  <c r="N9" i="22"/>
  <c r="J7" i="22"/>
  <c r="E6" i="22"/>
  <c r="K8" i="22"/>
  <c r="L8" i="22" s="1"/>
  <c r="M8" i="22" s="1"/>
  <c r="N8" i="19"/>
  <c r="M8" i="19"/>
  <c r="J7" i="19"/>
  <c r="K7" i="19"/>
  <c r="L7" i="19" s="1"/>
  <c r="E6" i="19"/>
  <c r="M9" i="19"/>
  <c r="J7" i="18"/>
  <c r="E6" i="18"/>
  <c r="M8" i="18"/>
  <c r="N8" i="18"/>
  <c r="M9" i="18"/>
  <c r="J8" i="17"/>
  <c r="E7" i="17"/>
  <c r="K8" i="17"/>
  <c r="L8" i="17" s="1"/>
  <c r="N9" i="17"/>
  <c r="M9" i="17"/>
  <c r="N8" i="15"/>
  <c r="J6" i="15"/>
  <c r="K6" i="15" s="1"/>
  <c r="L6" i="15" s="1"/>
  <c r="E5" i="15"/>
  <c r="K7" i="15"/>
  <c r="L7" i="15" s="1"/>
  <c r="M7" i="15" s="1"/>
  <c r="N10" i="14"/>
  <c r="P10" i="14" s="1"/>
  <c r="E7" i="14"/>
  <c r="J8" i="14"/>
  <c r="K8" i="14" s="1"/>
  <c r="L8" i="14" s="1"/>
  <c r="N9" i="14"/>
  <c r="M9" i="14"/>
  <c r="J7" i="1"/>
  <c r="E6" i="1"/>
  <c r="K8" i="1"/>
  <c r="L8" i="1" s="1"/>
  <c r="M8" i="1" s="1"/>
  <c r="P8" i="1" s="1"/>
  <c r="Q10" i="15" l="1"/>
  <c r="R10" i="15" s="1"/>
  <c r="S10" i="15" s="1"/>
  <c r="O9" i="15"/>
  <c r="Q10" i="19"/>
  <c r="R10" i="19" s="1"/>
  <c r="S10" i="19" s="1"/>
  <c r="I6" i="13"/>
  <c r="Q10" i="18"/>
  <c r="R10" i="18" s="1"/>
  <c r="S10" i="18" s="1"/>
  <c r="Q10" i="22"/>
  <c r="R10" i="22" s="1"/>
  <c r="S10" i="22" s="1"/>
  <c r="Q10" i="14"/>
  <c r="R10" i="14" s="1"/>
  <c r="S10" i="14" s="1"/>
  <c r="Q11" i="21"/>
  <c r="R11" i="21" s="1"/>
  <c r="S11" i="21" s="1"/>
  <c r="Q10" i="17"/>
  <c r="R10" i="17" s="1"/>
  <c r="S10" i="17" s="1"/>
  <c r="O9" i="18"/>
  <c r="O9" i="22"/>
  <c r="O9" i="14"/>
  <c r="O9" i="17"/>
  <c r="O9" i="19"/>
  <c r="N10" i="21"/>
  <c r="P10" i="21" s="1"/>
  <c r="Q10" i="21" s="1"/>
  <c r="R10" i="21" s="1"/>
  <c r="S10" i="21" s="1"/>
  <c r="J8" i="21"/>
  <c r="K8" i="21" s="1"/>
  <c r="L8" i="21" s="1"/>
  <c r="E7" i="21"/>
  <c r="K9" i="21"/>
  <c r="L9" i="21" s="1"/>
  <c r="N9" i="21" s="1"/>
  <c r="N8" i="22"/>
  <c r="E5" i="22"/>
  <c r="J6" i="22"/>
  <c r="K7" i="22"/>
  <c r="L7" i="22" s="1"/>
  <c r="N7" i="22" s="1"/>
  <c r="J6" i="19"/>
  <c r="K6" i="19" s="1"/>
  <c r="L6" i="19" s="1"/>
  <c r="E5" i="19"/>
  <c r="N7" i="19"/>
  <c r="M7" i="19"/>
  <c r="J6" i="18"/>
  <c r="K6" i="18" s="1"/>
  <c r="L6" i="18" s="1"/>
  <c r="E5" i="18"/>
  <c r="K7" i="18"/>
  <c r="L7" i="18" s="1"/>
  <c r="M7" i="18" s="1"/>
  <c r="J7" i="17"/>
  <c r="K7" i="17" s="1"/>
  <c r="L7" i="17" s="1"/>
  <c r="E6" i="17"/>
  <c r="N8" i="17"/>
  <c r="M8" i="17"/>
  <c r="J5" i="15"/>
  <c r="K5" i="15"/>
  <c r="L5" i="15" s="1"/>
  <c r="E4" i="15"/>
  <c r="N7" i="15"/>
  <c r="M6" i="15"/>
  <c r="N6" i="15"/>
  <c r="J7" i="14"/>
  <c r="E6" i="14"/>
  <c r="M8" i="14"/>
  <c r="N8" i="14"/>
  <c r="J6" i="1"/>
  <c r="E5" i="1"/>
  <c r="K7" i="1"/>
  <c r="L7" i="1" s="1"/>
  <c r="M7" i="1" s="1"/>
  <c r="P7" i="1" s="1"/>
  <c r="N8" i="1"/>
  <c r="Q8" i="1" s="1"/>
  <c r="R8" i="1" s="1"/>
  <c r="S8" i="1" s="1"/>
  <c r="T8" i="1" s="1"/>
  <c r="N7" i="18" l="1"/>
  <c r="O8" i="1"/>
  <c r="O8" i="15"/>
  <c r="I5" i="13"/>
  <c r="O8" i="18"/>
  <c r="P9" i="15"/>
  <c r="Q9" i="15" s="1"/>
  <c r="R9" i="15" s="1"/>
  <c r="S9" i="15" s="1"/>
  <c r="P9" i="19"/>
  <c r="Q9" i="19" s="1"/>
  <c r="R9" i="19" s="1"/>
  <c r="S9" i="19" s="1"/>
  <c r="P9" i="18"/>
  <c r="Q9" i="18" s="1"/>
  <c r="R9" i="18" s="1"/>
  <c r="S9" i="18" s="1"/>
  <c r="O8" i="22"/>
  <c r="O8" i="19"/>
  <c r="P9" i="21"/>
  <c r="P9" i="14"/>
  <c r="Q9" i="14" s="1"/>
  <c r="R9" i="14" s="1"/>
  <c r="S9" i="14" s="1"/>
  <c r="P9" i="17"/>
  <c r="Q9" i="17" s="1"/>
  <c r="R9" i="17" s="1"/>
  <c r="S9" i="17" s="1"/>
  <c r="O8" i="17"/>
  <c r="O8" i="14"/>
  <c r="P9" i="22"/>
  <c r="Q9" i="22" s="1"/>
  <c r="R9" i="22" s="1"/>
  <c r="S9" i="22" s="1"/>
  <c r="M9" i="21"/>
  <c r="O9" i="21" s="1"/>
  <c r="J7" i="21"/>
  <c r="K7" i="21" s="1"/>
  <c r="L7" i="21" s="1"/>
  <c r="E6" i="21"/>
  <c r="N8" i="21"/>
  <c r="M8" i="21"/>
  <c r="O8" i="21" s="1"/>
  <c r="J5" i="22"/>
  <c r="E4" i="22"/>
  <c r="M7" i="22"/>
  <c r="K6" i="22"/>
  <c r="L6" i="22" s="1"/>
  <c r="N6" i="22" s="1"/>
  <c r="J5" i="19"/>
  <c r="E4" i="19"/>
  <c r="M6" i="19"/>
  <c r="N6" i="19"/>
  <c r="N6" i="18"/>
  <c r="M6" i="18"/>
  <c r="J5" i="18"/>
  <c r="E4" i="18"/>
  <c r="J6" i="17"/>
  <c r="K6" i="17" s="1"/>
  <c r="L6" i="17" s="1"/>
  <c r="E5" i="17"/>
  <c r="N7" i="17"/>
  <c r="M7" i="17"/>
  <c r="E3" i="15"/>
  <c r="J4" i="15"/>
  <c r="M5" i="15"/>
  <c r="N5" i="15"/>
  <c r="J6" i="14"/>
  <c r="E5" i="14"/>
  <c r="K7" i="14"/>
  <c r="L7" i="14" s="1"/>
  <c r="N7" i="14" s="1"/>
  <c r="N7" i="1"/>
  <c r="Q7" i="1" s="1"/>
  <c r="R7" i="1" s="1"/>
  <c r="S7" i="1" s="1"/>
  <c r="T7" i="1" s="1"/>
  <c r="K6" i="1"/>
  <c r="L6" i="1" s="1"/>
  <c r="N6" i="1" s="1"/>
  <c r="Q6" i="1" s="1"/>
  <c r="J5" i="1"/>
  <c r="K5" i="1" s="1"/>
  <c r="L5" i="1" s="1"/>
  <c r="E4" i="1"/>
  <c r="P8" i="22" l="1"/>
  <c r="Q8" i="22" s="1"/>
  <c r="R8" i="22" s="1"/>
  <c r="S8" i="22" s="1"/>
  <c r="O7" i="1"/>
  <c r="P7" i="19"/>
  <c r="I4" i="13"/>
  <c r="Q9" i="21"/>
  <c r="R9" i="21" s="1"/>
  <c r="S9" i="21" s="1"/>
  <c r="P7" i="15"/>
  <c r="P8" i="19"/>
  <c r="Q8" i="19" s="1"/>
  <c r="R8" i="19" s="1"/>
  <c r="S8" i="19" s="1"/>
  <c r="P8" i="18"/>
  <c r="Q8" i="18" s="1"/>
  <c r="R8" i="18" s="1"/>
  <c r="S8" i="18" s="1"/>
  <c r="P8" i="15"/>
  <c r="Q8" i="15" s="1"/>
  <c r="R8" i="15" s="1"/>
  <c r="S8" i="15" s="1"/>
  <c r="P7" i="18"/>
  <c r="P8" i="14"/>
  <c r="Q8" i="14" s="1"/>
  <c r="R8" i="14" s="1"/>
  <c r="S8" i="14" s="1"/>
  <c r="P8" i="17"/>
  <c r="Q8" i="17" s="1"/>
  <c r="R8" i="17" s="1"/>
  <c r="S8" i="17" s="1"/>
  <c r="P7" i="14"/>
  <c r="P7" i="17"/>
  <c r="P7" i="22"/>
  <c r="P8" i="21"/>
  <c r="Q8" i="21" s="1"/>
  <c r="R8" i="21" s="1"/>
  <c r="S8" i="21" s="1"/>
  <c r="J6" i="21"/>
  <c r="K6" i="21"/>
  <c r="L6" i="21" s="1"/>
  <c r="E5" i="21"/>
  <c r="N7" i="21"/>
  <c r="P7" i="21" s="1"/>
  <c r="M7" i="21"/>
  <c r="M6" i="22"/>
  <c r="J4" i="22"/>
  <c r="E3" i="22"/>
  <c r="K5" i="22"/>
  <c r="L5" i="22" s="1"/>
  <c r="N5" i="22" s="1"/>
  <c r="J4" i="19"/>
  <c r="K4" i="19" s="1"/>
  <c r="L4" i="19" s="1"/>
  <c r="E3" i="19"/>
  <c r="K5" i="19"/>
  <c r="L5" i="19" s="1"/>
  <c r="N5" i="19" s="1"/>
  <c r="J4" i="18"/>
  <c r="E3" i="18"/>
  <c r="K5" i="18"/>
  <c r="L5" i="18" s="1"/>
  <c r="N5" i="18" s="1"/>
  <c r="J5" i="17"/>
  <c r="E4" i="17"/>
  <c r="N6" i="17"/>
  <c r="M6" i="17"/>
  <c r="J3" i="15"/>
  <c r="K3" i="15" s="1"/>
  <c r="L3" i="15" s="1"/>
  <c r="K4" i="15"/>
  <c r="L4" i="15" s="1"/>
  <c r="N4" i="15" s="1"/>
  <c r="M7" i="14"/>
  <c r="E4" i="14"/>
  <c r="J5" i="14"/>
  <c r="K6" i="14"/>
  <c r="L6" i="14" s="1"/>
  <c r="M6" i="14" s="1"/>
  <c r="N5" i="1"/>
  <c r="Q5" i="1" s="1"/>
  <c r="M5" i="1"/>
  <c r="P5" i="1" s="1"/>
  <c r="M6" i="1"/>
  <c r="J4" i="1"/>
  <c r="K4" i="1" s="1"/>
  <c r="L4" i="1" s="1"/>
  <c r="E3" i="1"/>
  <c r="F53" i="28"/>
  <c r="H53" i="28" s="1"/>
  <c r="J53" i="28" s="1"/>
  <c r="F51" i="28"/>
  <c r="H51" i="28" s="1"/>
  <c r="J51" i="28" s="1"/>
  <c r="F49" i="28"/>
  <c r="H49" i="28" s="1"/>
  <c r="J49" i="28" s="1"/>
  <c r="F47" i="28"/>
  <c r="H47" i="28" s="1"/>
  <c r="J47" i="28" s="1"/>
  <c r="F45" i="28"/>
  <c r="H45" i="28" s="1"/>
  <c r="J45" i="28" s="1"/>
  <c r="F43" i="28"/>
  <c r="H43" i="28" s="1"/>
  <c r="J43" i="28" s="1"/>
  <c r="F41" i="28"/>
  <c r="H41" i="28" s="1"/>
  <c r="J41" i="28" s="1"/>
  <c r="F37" i="28"/>
  <c r="H37" i="28" s="1"/>
  <c r="J37" i="28" s="1"/>
  <c r="F33" i="28"/>
  <c r="H33" i="28" s="1"/>
  <c r="J33" i="28" s="1"/>
  <c r="F29" i="28"/>
  <c r="H29" i="28" s="1"/>
  <c r="J29" i="28" s="1"/>
  <c r="F27" i="28"/>
  <c r="H27" i="28" s="1"/>
  <c r="J27" i="28" s="1"/>
  <c r="F25" i="28"/>
  <c r="H25" i="28" s="1"/>
  <c r="J25" i="28" s="1"/>
  <c r="F23" i="28"/>
  <c r="H23" i="28" s="1"/>
  <c r="J23" i="28" s="1"/>
  <c r="F21" i="28"/>
  <c r="H21" i="28" s="1"/>
  <c r="J21" i="28" s="1"/>
  <c r="F17" i="28"/>
  <c r="H17" i="28" s="1"/>
  <c r="J17" i="28" s="1"/>
  <c r="F13" i="28"/>
  <c r="H13" i="28" s="1"/>
  <c r="J13" i="28" s="1"/>
  <c r="F11" i="28"/>
  <c r="H11" i="28" s="1"/>
  <c r="J11" i="28" s="1"/>
  <c r="F9" i="28"/>
  <c r="H9" i="28" s="1"/>
  <c r="J9" i="28" s="1"/>
  <c r="F7" i="28"/>
  <c r="H7" i="28" s="1"/>
  <c r="J7" i="28" s="1"/>
  <c r="F5" i="28"/>
  <c r="H5" i="28" s="1"/>
  <c r="J5" i="28" s="1"/>
  <c r="F3" i="28"/>
  <c r="H3" i="28" s="1"/>
  <c r="J3" i="28" s="1"/>
  <c r="M54" i="28"/>
  <c r="L54" i="28"/>
  <c r="G54" i="28"/>
  <c r="I54" i="28" s="1"/>
  <c r="K54" i="28" s="1"/>
  <c r="F54" i="28"/>
  <c r="H54" i="28" s="1"/>
  <c r="J54" i="28" s="1"/>
  <c r="G53" i="28"/>
  <c r="I53" i="28" s="1"/>
  <c r="K53" i="28" s="1"/>
  <c r="G52" i="28"/>
  <c r="I52" i="28" s="1"/>
  <c r="K52" i="28" s="1"/>
  <c r="F52" i="28"/>
  <c r="H52" i="28" s="1"/>
  <c r="J52" i="28" s="1"/>
  <c r="G51" i="28"/>
  <c r="I51" i="28" s="1"/>
  <c r="K51" i="28" s="1"/>
  <c r="G50" i="28"/>
  <c r="I50" i="28" s="1"/>
  <c r="K50" i="28" s="1"/>
  <c r="F50" i="28"/>
  <c r="H50" i="28" s="1"/>
  <c r="J50" i="28" s="1"/>
  <c r="G49" i="28"/>
  <c r="I49" i="28" s="1"/>
  <c r="K49" i="28" s="1"/>
  <c r="G48" i="28"/>
  <c r="I48" i="28" s="1"/>
  <c r="K48" i="28" s="1"/>
  <c r="F48" i="28"/>
  <c r="H48" i="28" s="1"/>
  <c r="J48" i="28" s="1"/>
  <c r="G47" i="28"/>
  <c r="I47" i="28" s="1"/>
  <c r="K47" i="28" s="1"/>
  <c r="G46" i="28"/>
  <c r="I46" i="28" s="1"/>
  <c r="K46" i="28" s="1"/>
  <c r="F46" i="28"/>
  <c r="H46" i="28" s="1"/>
  <c r="J46" i="28" s="1"/>
  <c r="G45" i="28"/>
  <c r="I45" i="28" s="1"/>
  <c r="K45" i="28" s="1"/>
  <c r="G44" i="28"/>
  <c r="I44" i="28" s="1"/>
  <c r="K44" i="28" s="1"/>
  <c r="F44" i="28"/>
  <c r="H44" i="28" s="1"/>
  <c r="J44" i="28" s="1"/>
  <c r="G43" i="28"/>
  <c r="I43" i="28" s="1"/>
  <c r="K43" i="28" s="1"/>
  <c r="G42" i="28"/>
  <c r="I42" i="28" s="1"/>
  <c r="K42" i="28" s="1"/>
  <c r="F42" i="28"/>
  <c r="H42" i="28" s="1"/>
  <c r="J42" i="28" s="1"/>
  <c r="G41" i="28"/>
  <c r="I41" i="28" s="1"/>
  <c r="K41" i="28" s="1"/>
  <c r="G40" i="28"/>
  <c r="I40" i="28" s="1"/>
  <c r="K40" i="28" s="1"/>
  <c r="F40" i="28"/>
  <c r="H40" i="28" s="1"/>
  <c r="J40" i="28" s="1"/>
  <c r="G39" i="28"/>
  <c r="I39" i="28" s="1"/>
  <c r="K39" i="28" s="1"/>
  <c r="F39" i="28"/>
  <c r="H39" i="28" s="1"/>
  <c r="J39" i="28" s="1"/>
  <c r="G38" i="28"/>
  <c r="I38" i="28" s="1"/>
  <c r="K38" i="28" s="1"/>
  <c r="F38" i="28"/>
  <c r="H38" i="28" s="1"/>
  <c r="J38" i="28" s="1"/>
  <c r="G37" i="28"/>
  <c r="I37" i="28" s="1"/>
  <c r="K37" i="28" s="1"/>
  <c r="G36" i="28"/>
  <c r="I36" i="28" s="1"/>
  <c r="K36" i="28" s="1"/>
  <c r="F36" i="28"/>
  <c r="H36" i="28" s="1"/>
  <c r="J36" i="28" s="1"/>
  <c r="G35" i="28"/>
  <c r="I35" i="28" s="1"/>
  <c r="K35" i="28" s="1"/>
  <c r="F35" i="28"/>
  <c r="H35" i="28" s="1"/>
  <c r="J35" i="28" s="1"/>
  <c r="G34" i="28"/>
  <c r="I34" i="28" s="1"/>
  <c r="K34" i="28" s="1"/>
  <c r="F34" i="28"/>
  <c r="H34" i="28" s="1"/>
  <c r="J34" i="28" s="1"/>
  <c r="G33" i="28"/>
  <c r="I33" i="28" s="1"/>
  <c r="K33" i="28" s="1"/>
  <c r="G32" i="28"/>
  <c r="I32" i="28" s="1"/>
  <c r="K32" i="28" s="1"/>
  <c r="F32" i="28"/>
  <c r="H32" i="28" s="1"/>
  <c r="J32" i="28" s="1"/>
  <c r="G31" i="28"/>
  <c r="I31" i="28" s="1"/>
  <c r="K31" i="28" s="1"/>
  <c r="F31" i="28"/>
  <c r="H31" i="28" s="1"/>
  <c r="J31" i="28" s="1"/>
  <c r="G30" i="28"/>
  <c r="I30" i="28" s="1"/>
  <c r="K30" i="28" s="1"/>
  <c r="F30" i="28"/>
  <c r="H30" i="28" s="1"/>
  <c r="J30" i="28" s="1"/>
  <c r="G29" i="28"/>
  <c r="I29" i="28" s="1"/>
  <c r="K29" i="28" s="1"/>
  <c r="G28" i="28"/>
  <c r="I28" i="28" s="1"/>
  <c r="K28" i="28" s="1"/>
  <c r="F28" i="28"/>
  <c r="H28" i="28" s="1"/>
  <c r="J28" i="28" s="1"/>
  <c r="G27" i="28"/>
  <c r="I27" i="28" s="1"/>
  <c r="K27" i="28" s="1"/>
  <c r="G26" i="28"/>
  <c r="I26" i="28" s="1"/>
  <c r="K26" i="28" s="1"/>
  <c r="F26" i="28"/>
  <c r="H26" i="28" s="1"/>
  <c r="J26" i="28" s="1"/>
  <c r="G25" i="28"/>
  <c r="I25" i="28" s="1"/>
  <c r="K25" i="28" s="1"/>
  <c r="G24" i="28"/>
  <c r="I24" i="28" s="1"/>
  <c r="K24" i="28" s="1"/>
  <c r="F24" i="28"/>
  <c r="H24" i="28" s="1"/>
  <c r="J24" i="28" s="1"/>
  <c r="G23" i="28"/>
  <c r="I23" i="28" s="1"/>
  <c r="K23" i="28" s="1"/>
  <c r="G22" i="28"/>
  <c r="I22" i="28" s="1"/>
  <c r="K22" i="28" s="1"/>
  <c r="F22" i="28"/>
  <c r="H22" i="28" s="1"/>
  <c r="J22" i="28" s="1"/>
  <c r="G21" i="28"/>
  <c r="I21" i="28" s="1"/>
  <c r="K21" i="28" s="1"/>
  <c r="G20" i="28"/>
  <c r="I20" i="28" s="1"/>
  <c r="K20" i="28" s="1"/>
  <c r="F20" i="28"/>
  <c r="H20" i="28" s="1"/>
  <c r="J20" i="28" s="1"/>
  <c r="G19" i="28"/>
  <c r="I19" i="28" s="1"/>
  <c r="K19" i="28" s="1"/>
  <c r="F19" i="28"/>
  <c r="H19" i="28" s="1"/>
  <c r="J19" i="28" s="1"/>
  <c r="G18" i="28"/>
  <c r="I18" i="28" s="1"/>
  <c r="K18" i="28" s="1"/>
  <c r="F18" i="28"/>
  <c r="H18" i="28" s="1"/>
  <c r="J18" i="28" s="1"/>
  <c r="G17" i="28"/>
  <c r="I17" i="28" s="1"/>
  <c r="K17" i="28" s="1"/>
  <c r="G16" i="28"/>
  <c r="I16" i="28" s="1"/>
  <c r="K16" i="28" s="1"/>
  <c r="F16" i="28"/>
  <c r="H16" i="28" s="1"/>
  <c r="J16" i="28" s="1"/>
  <c r="G15" i="28"/>
  <c r="I15" i="28" s="1"/>
  <c r="K15" i="28" s="1"/>
  <c r="F15" i="28"/>
  <c r="H15" i="28" s="1"/>
  <c r="J15" i="28" s="1"/>
  <c r="G14" i="28"/>
  <c r="I14" i="28" s="1"/>
  <c r="K14" i="28" s="1"/>
  <c r="F14" i="28"/>
  <c r="H14" i="28" s="1"/>
  <c r="J14" i="28" s="1"/>
  <c r="G13" i="28"/>
  <c r="I13" i="28" s="1"/>
  <c r="K13" i="28" s="1"/>
  <c r="G12" i="28"/>
  <c r="I12" i="28" s="1"/>
  <c r="K12" i="28" s="1"/>
  <c r="F12" i="28"/>
  <c r="H12" i="28" s="1"/>
  <c r="J12" i="28" s="1"/>
  <c r="G11" i="28"/>
  <c r="I11" i="28" s="1"/>
  <c r="K11" i="28" s="1"/>
  <c r="G10" i="28"/>
  <c r="I10" i="28" s="1"/>
  <c r="K10" i="28" s="1"/>
  <c r="F10" i="28"/>
  <c r="H10" i="28" s="1"/>
  <c r="J10" i="28" s="1"/>
  <c r="G9" i="28"/>
  <c r="I9" i="28" s="1"/>
  <c r="K9" i="28" s="1"/>
  <c r="G8" i="28"/>
  <c r="I8" i="28" s="1"/>
  <c r="K8" i="28" s="1"/>
  <c r="F8" i="28"/>
  <c r="H8" i="28" s="1"/>
  <c r="J8" i="28" s="1"/>
  <c r="G7" i="28"/>
  <c r="I7" i="28" s="1"/>
  <c r="K7" i="28" s="1"/>
  <c r="G6" i="28"/>
  <c r="I6" i="28" s="1"/>
  <c r="K6" i="28" s="1"/>
  <c r="F6" i="28"/>
  <c r="H6" i="28" s="1"/>
  <c r="J6" i="28" s="1"/>
  <c r="G5" i="28"/>
  <c r="I5" i="28" s="1"/>
  <c r="K5" i="28" s="1"/>
  <c r="G4" i="28"/>
  <c r="I4" i="28" s="1"/>
  <c r="K4" i="28" s="1"/>
  <c r="F4" i="28"/>
  <c r="H4" i="28" s="1"/>
  <c r="J4" i="28" s="1"/>
  <c r="G3" i="28"/>
  <c r="I3" i="28" s="1"/>
  <c r="K3" i="28" s="1"/>
  <c r="M54" i="27"/>
  <c r="L54" i="27"/>
  <c r="G54" i="27"/>
  <c r="I54" i="27" s="1"/>
  <c r="K54" i="27" s="1"/>
  <c r="F54" i="27"/>
  <c r="H54" i="27" s="1"/>
  <c r="J54" i="27" s="1"/>
  <c r="G53" i="27"/>
  <c r="I53" i="27" s="1"/>
  <c r="K53" i="27" s="1"/>
  <c r="F53" i="27"/>
  <c r="H53" i="27" s="1"/>
  <c r="J53" i="27" s="1"/>
  <c r="G52" i="27"/>
  <c r="I52" i="27" s="1"/>
  <c r="K52" i="27" s="1"/>
  <c r="F52" i="27"/>
  <c r="H52" i="27" s="1"/>
  <c r="J52" i="27" s="1"/>
  <c r="G51" i="27"/>
  <c r="I51" i="27" s="1"/>
  <c r="K51" i="27" s="1"/>
  <c r="F51" i="27"/>
  <c r="H51" i="27" s="1"/>
  <c r="J51" i="27" s="1"/>
  <c r="G50" i="27"/>
  <c r="I50" i="27" s="1"/>
  <c r="K50" i="27" s="1"/>
  <c r="F50" i="27"/>
  <c r="H50" i="27" s="1"/>
  <c r="J50" i="27" s="1"/>
  <c r="G49" i="27"/>
  <c r="I49" i="27" s="1"/>
  <c r="K49" i="27" s="1"/>
  <c r="F49" i="27"/>
  <c r="H49" i="27" s="1"/>
  <c r="J49" i="27" s="1"/>
  <c r="G48" i="27"/>
  <c r="I48" i="27" s="1"/>
  <c r="K48" i="27" s="1"/>
  <c r="F48" i="27"/>
  <c r="H48" i="27" s="1"/>
  <c r="J48" i="27" s="1"/>
  <c r="G47" i="27"/>
  <c r="I47" i="27" s="1"/>
  <c r="K47" i="27" s="1"/>
  <c r="F47" i="27"/>
  <c r="H47" i="27" s="1"/>
  <c r="J47" i="27" s="1"/>
  <c r="G46" i="27"/>
  <c r="I46" i="27" s="1"/>
  <c r="K46" i="27" s="1"/>
  <c r="F46" i="27"/>
  <c r="H46" i="27" s="1"/>
  <c r="J46" i="27" s="1"/>
  <c r="G45" i="27"/>
  <c r="I45" i="27" s="1"/>
  <c r="K45" i="27" s="1"/>
  <c r="F45" i="27"/>
  <c r="H45" i="27" s="1"/>
  <c r="J45" i="27" s="1"/>
  <c r="G44" i="27"/>
  <c r="I44" i="27" s="1"/>
  <c r="K44" i="27" s="1"/>
  <c r="F44" i="27"/>
  <c r="H44" i="27" s="1"/>
  <c r="J44" i="27" s="1"/>
  <c r="G43" i="27"/>
  <c r="I43" i="27" s="1"/>
  <c r="K43" i="27" s="1"/>
  <c r="F43" i="27"/>
  <c r="H43" i="27" s="1"/>
  <c r="J43" i="27" s="1"/>
  <c r="G42" i="27"/>
  <c r="I42" i="27" s="1"/>
  <c r="K42" i="27" s="1"/>
  <c r="F42" i="27"/>
  <c r="H42" i="27" s="1"/>
  <c r="J42" i="27" s="1"/>
  <c r="G41" i="27"/>
  <c r="I41" i="27" s="1"/>
  <c r="K41" i="27" s="1"/>
  <c r="F41" i="27"/>
  <c r="H41" i="27" s="1"/>
  <c r="J41" i="27" s="1"/>
  <c r="G40" i="27"/>
  <c r="I40" i="27" s="1"/>
  <c r="K40" i="27" s="1"/>
  <c r="F40" i="27"/>
  <c r="H40" i="27" s="1"/>
  <c r="J40" i="27" s="1"/>
  <c r="G39" i="27"/>
  <c r="I39" i="27" s="1"/>
  <c r="K39" i="27" s="1"/>
  <c r="F39" i="27"/>
  <c r="H39" i="27" s="1"/>
  <c r="J39" i="27" s="1"/>
  <c r="G38" i="27"/>
  <c r="I38" i="27" s="1"/>
  <c r="K38" i="27" s="1"/>
  <c r="F38" i="27"/>
  <c r="H38" i="27" s="1"/>
  <c r="J38" i="27" s="1"/>
  <c r="G37" i="27"/>
  <c r="I37" i="27" s="1"/>
  <c r="K37" i="27" s="1"/>
  <c r="F37" i="27"/>
  <c r="H37" i="27" s="1"/>
  <c r="J37" i="27" s="1"/>
  <c r="G36" i="27"/>
  <c r="I36" i="27" s="1"/>
  <c r="K36" i="27" s="1"/>
  <c r="F36" i="27"/>
  <c r="H36" i="27" s="1"/>
  <c r="J36" i="27" s="1"/>
  <c r="G35" i="27"/>
  <c r="I35" i="27" s="1"/>
  <c r="K35" i="27" s="1"/>
  <c r="F35" i="27"/>
  <c r="H35" i="27" s="1"/>
  <c r="J35" i="27" s="1"/>
  <c r="G34" i="27"/>
  <c r="I34" i="27" s="1"/>
  <c r="K34" i="27" s="1"/>
  <c r="F34" i="27"/>
  <c r="H34" i="27" s="1"/>
  <c r="J34" i="27" s="1"/>
  <c r="G33" i="27"/>
  <c r="I33" i="27" s="1"/>
  <c r="K33" i="27" s="1"/>
  <c r="F33" i="27"/>
  <c r="H33" i="27" s="1"/>
  <c r="J33" i="27" s="1"/>
  <c r="G32" i="27"/>
  <c r="I32" i="27" s="1"/>
  <c r="K32" i="27" s="1"/>
  <c r="F32" i="27"/>
  <c r="H32" i="27" s="1"/>
  <c r="J32" i="27" s="1"/>
  <c r="G31" i="27"/>
  <c r="I31" i="27" s="1"/>
  <c r="K31" i="27" s="1"/>
  <c r="F31" i="27"/>
  <c r="H31" i="27" s="1"/>
  <c r="J31" i="27" s="1"/>
  <c r="G30" i="27"/>
  <c r="I30" i="27" s="1"/>
  <c r="K30" i="27" s="1"/>
  <c r="F30" i="27"/>
  <c r="H30" i="27" s="1"/>
  <c r="J30" i="27" s="1"/>
  <c r="G29" i="27"/>
  <c r="I29" i="27" s="1"/>
  <c r="K29" i="27" s="1"/>
  <c r="F29" i="27"/>
  <c r="H29" i="27" s="1"/>
  <c r="J29" i="27" s="1"/>
  <c r="G28" i="27"/>
  <c r="I28" i="27" s="1"/>
  <c r="K28" i="27" s="1"/>
  <c r="F28" i="27"/>
  <c r="H28" i="27" s="1"/>
  <c r="J28" i="27" s="1"/>
  <c r="G27" i="27"/>
  <c r="I27" i="27" s="1"/>
  <c r="K27" i="27" s="1"/>
  <c r="F27" i="27"/>
  <c r="H27" i="27" s="1"/>
  <c r="J27" i="27" s="1"/>
  <c r="G26" i="27"/>
  <c r="I26" i="27" s="1"/>
  <c r="K26" i="27" s="1"/>
  <c r="F26" i="27"/>
  <c r="H26" i="27" s="1"/>
  <c r="J26" i="27" s="1"/>
  <c r="G25" i="27"/>
  <c r="I25" i="27" s="1"/>
  <c r="K25" i="27" s="1"/>
  <c r="F25" i="27"/>
  <c r="H25" i="27" s="1"/>
  <c r="J25" i="27" s="1"/>
  <c r="G24" i="27"/>
  <c r="I24" i="27" s="1"/>
  <c r="K24" i="27" s="1"/>
  <c r="F24" i="27"/>
  <c r="H24" i="27" s="1"/>
  <c r="J24" i="27" s="1"/>
  <c r="G23" i="27"/>
  <c r="I23" i="27" s="1"/>
  <c r="K23" i="27" s="1"/>
  <c r="F23" i="27"/>
  <c r="H23" i="27" s="1"/>
  <c r="J23" i="27" s="1"/>
  <c r="G22" i="27"/>
  <c r="I22" i="27" s="1"/>
  <c r="K22" i="27" s="1"/>
  <c r="F22" i="27"/>
  <c r="H22" i="27" s="1"/>
  <c r="J22" i="27" s="1"/>
  <c r="G21" i="27"/>
  <c r="I21" i="27" s="1"/>
  <c r="K21" i="27" s="1"/>
  <c r="F21" i="27"/>
  <c r="H21" i="27" s="1"/>
  <c r="J21" i="27" s="1"/>
  <c r="G20" i="27"/>
  <c r="I20" i="27" s="1"/>
  <c r="K20" i="27" s="1"/>
  <c r="F20" i="27"/>
  <c r="H20" i="27" s="1"/>
  <c r="J20" i="27" s="1"/>
  <c r="G19" i="27"/>
  <c r="I19" i="27" s="1"/>
  <c r="K19" i="27" s="1"/>
  <c r="F19" i="27"/>
  <c r="H19" i="27" s="1"/>
  <c r="J19" i="27" s="1"/>
  <c r="G18" i="27"/>
  <c r="I18" i="27" s="1"/>
  <c r="K18" i="27" s="1"/>
  <c r="F18" i="27"/>
  <c r="H18" i="27" s="1"/>
  <c r="J18" i="27" s="1"/>
  <c r="G17" i="27"/>
  <c r="I17" i="27" s="1"/>
  <c r="K17" i="27" s="1"/>
  <c r="F17" i="27"/>
  <c r="H17" i="27" s="1"/>
  <c r="J17" i="27" s="1"/>
  <c r="G16" i="27"/>
  <c r="I16" i="27" s="1"/>
  <c r="K16" i="27" s="1"/>
  <c r="F16" i="27"/>
  <c r="H16" i="27" s="1"/>
  <c r="J16" i="27" s="1"/>
  <c r="G15" i="27"/>
  <c r="I15" i="27" s="1"/>
  <c r="K15" i="27" s="1"/>
  <c r="F15" i="27"/>
  <c r="H15" i="27" s="1"/>
  <c r="J15" i="27" s="1"/>
  <c r="G14" i="27"/>
  <c r="I14" i="27" s="1"/>
  <c r="K14" i="27" s="1"/>
  <c r="F14" i="27"/>
  <c r="H14" i="27" s="1"/>
  <c r="J14" i="27" s="1"/>
  <c r="G13" i="27"/>
  <c r="I13" i="27" s="1"/>
  <c r="K13" i="27" s="1"/>
  <c r="F13" i="27"/>
  <c r="H13" i="27" s="1"/>
  <c r="J13" i="27" s="1"/>
  <c r="G12" i="27"/>
  <c r="I12" i="27" s="1"/>
  <c r="K12" i="27" s="1"/>
  <c r="F12" i="27"/>
  <c r="H12" i="27" s="1"/>
  <c r="J12" i="27" s="1"/>
  <c r="G11" i="27"/>
  <c r="I11" i="27" s="1"/>
  <c r="K11" i="27" s="1"/>
  <c r="F11" i="27"/>
  <c r="H11" i="27" s="1"/>
  <c r="J11" i="27" s="1"/>
  <c r="G10" i="27"/>
  <c r="I10" i="27" s="1"/>
  <c r="K10" i="27" s="1"/>
  <c r="F10" i="27"/>
  <c r="H10" i="27" s="1"/>
  <c r="J10" i="27" s="1"/>
  <c r="G9" i="27"/>
  <c r="I9" i="27" s="1"/>
  <c r="K9" i="27" s="1"/>
  <c r="F9" i="27"/>
  <c r="H9" i="27" s="1"/>
  <c r="J9" i="27" s="1"/>
  <c r="G8" i="27"/>
  <c r="I8" i="27" s="1"/>
  <c r="K8" i="27" s="1"/>
  <c r="F8" i="27"/>
  <c r="H8" i="27" s="1"/>
  <c r="J8" i="27" s="1"/>
  <c r="G7" i="27"/>
  <c r="I7" i="27" s="1"/>
  <c r="K7" i="27" s="1"/>
  <c r="F7" i="27"/>
  <c r="H7" i="27" s="1"/>
  <c r="J7" i="27" s="1"/>
  <c r="G6" i="27"/>
  <c r="I6" i="27" s="1"/>
  <c r="K6" i="27" s="1"/>
  <c r="F6" i="27"/>
  <c r="H6" i="27" s="1"/>
  <c r="J6" i="27" s="1"/>
  <c r="G5" i="27"/>
  <c r="I5" i="27" s="1"/>
  <c r="K5" i="27" s="1"/>
  <c r="F5" i="27"/>
  <c r="H5" i="27" s="1"/>
  <c r="J5" i="27" s="1"/>
  <c r="G4" i="27"/>
  <c r="I4" i="27" s="1"/>
  <c r="K4" i="27" s="1"/>
  <c r="F4" i="27"/>
  <c r="H4" i="27" s="1"/>
  <c r="J4" i="27" s="1"/>
  <c r="G3" i="27"/>
  <c r="I3" i="27" s="1"/>
  <c r="K3" i="27" s="1"/>
  <c r="F3" i="27"/>
  <c r="H3" i="27" s="1"/>
  <c r="J3" i="27" s="1"/>
  <c r="G49" i="25"/>
  <c r="I49" i="25" s="1"/>
  <c r="K49" i="25" s="1"/>
  <c r="F49" i="25"/>
  <c r="H49" i="25" s="1"/>
  <c r="J49" i="25" s="1"/>
  <c r="G44" i="25"/>
  <c r="I44" i="25" s="1"/>
  <c r="K44" i="25" s="1"/>
  <c r="G43" i="25"/>
  <c r="I43" i="25" s="1"/>
  <c r="K43" i="25" s="1"/>
  <c r="F43" i="25"/>
  <c r="H43" i="25" s="1"/>
  <c r="J43" i="25" s="1"/>
  <c r="G38" i="25"/>
  <c r="I38" i="25" s="1"/>
  <c r="K38" i="25" s="1"/>
  <c r="G37" i="25"/>
  <c r="I37" i="25" s="1"/>
  <c r="K37" i="25" s="1"/>
  <c r="F37" i="25"/>
  <c r="H37" i="25" s="1"/>
  <c r="J37" i="25" s="1"/>
  <c r="G32" i="25"/>
  <c r="I32" i="25" s="1"/>
  <c r="K32" i="25" s="1"/>
  <c r="G31" i="25"/>
  <c r="I31" i="25" s="1"/>
  <c r="K31" i="25" s="1"/>
  <c r="F31" i="25"/>
  <c r="H31" i="25" s="1"/>
  <c r="J31" i="25" s="1"/>
  <c r="G26" i="25"/>
  <c r="I26" i="25" s="1"/>
  <c r="K26" i="25" s="1"/>
  <c r="F25" i="25"/>
  <c r="H25" i="25" s="1"/>
  <c r="J25" i="25" s="1"/>
  <c r="G19" i="25"/>
  <c r="I19" i="25" s="1"/>
  <c r="K19" i="25" s="1"/>
  <c r="F19" i="25"/>
  <c r="H19" i="25" s="1"/>
  <c r="J19" i="25" s="1"/>
  <c r="G14" i="25"/>
  <c r="I14" i="25" s="1"/>
  <c r="K14" i="25" s="1"/>
  <c r="G13" i="25"/>
  <c r="I13" i="25" s="1"/>
  <c r="K13" i="25" s="1"/>
  <c r="F13" i="25"/>
  <c r="H13" i="25" s="1"/>
  <c r="J13" i="25" s="1"/>
  <c r="G8" i="25"/>
  <c r="I8" i="25" s="1"/>
  <c r="K8" i="25" s="1"/>
  <c r="G7" i="25"/>
  <c r="I7" i="25" s="1"/>
  <c r="K7" i="25" s="1"/>
  <c r="F7" i="25"/>
  <c r="H7" i="25" s="1"/>
  <c r="J7" i="25" s="1"/>
  <c r="M54" i="26"/>
  <c r="L54" i="26"/>
  <c r="N54" i="26" s="1"/>
  <c r="G54" i="26"/>
  <c r="I54" i="26" s="1"/>
  <c r="K54" i="26" s="1"/>
  <c r="M53" i="26" s="1"/>
  <c r="F54" i="26"/>
  <c r="H54" i="26" s="1"/>
  <c r="J54" i="26" s="1"/>
  <c r="L53" i="26" s="1"/>
  <c r="G53" i="26"/>
  <c r="I53" i="26" s="1"/>
  <c r="K53" i="26" s="1"/>
  <c r="F53" i="26"/>
  <c r="H53" i="26" s="1"/>
  <c r="J53" i="26" s="1"/>
  <c r="G52" i="26"/>
  <c r="I52" i="26" s="1"/>
  <c r="K52" i="26" s="1"/>
  <c r="F52" i="26"/>
  <c r="H52" i="26" s="1"/>
  <c r="J52" i="26" s="1"/>
  <c r="G51" i="26"/>
  <c r="I51" i="26" s="1"/>
  <c r="K51" i="26" s="1"/>
  <c r="F51" i="26"/>
  <c r="H51" i="26" s="1"/>
  <c r="J51" i="26" s="1"/>
  <c r="G50" i="26"/>
  <c r="I50" i="26" s="1"/>
  <c r="K50" i="26" s="1"/>
  <c r="F50" i="26"/>
  <c r="H50" i="26" s="1"/>
  <c r="J50" i="26" s="1"/>
  <c r="G49" i="26"/>
  <c r="I49" i="26" s="1"/>
  <c r="K49" i="26" s="1"/>
  <c r="F49" i="26"/>
  <c r="H49" i="26" s="1"/>
  <c r="J49" i="26" s="1"/>
  <c r="G48" i="26"/>
  <c r="I48" i="26" s="1"/>
  <c r="K48" i="26" s="1"/>
  <c r="F48" i="26"/>
  <c r="H48" i="26" s="1"/>
  <c r="J48" i="26" s="1"/>
  <c r="G47" i="26"/>
  <c r="I47" i="26" s="1"/>
  <c r="K47" i="26" s="1"/>
  <c r="F47" i="26"/>
  <c r="H47" i="26" s="1"/>
  <c r="J47" i="26" s="1"/>
  <c r="G46" i="26"/>
  <c r="I46" i="26" s="1"/>
  <c r="K46" i="26" s="1"/>
  <c r="F46" i="26"/>
  <c r="H46" i="26" s="1"/>
  <c r="J46" i="26" s="1"/>
  <c r="G45" i="26"/>
  <c r="I45" i="26" s="1"/>
  <c r="K45" i="26" s="1"/>
  <c r="F45" i="26"/>
  <c r="H45" i="26" s="1"/>
  <c r="J45" i="26" s="1"/>
  <c r="G44" i="26"/>
  <c r="I44" i="26" s="1"/>
  <c r="K44" i="26" s="1"/>
  <c r="F44" i="26"/>
  <c r="H44" i="26" s="1"/>
  <c r="J44" i="26" s="1"/>
  <c r="G43" i="26"/>
  <c r="I43" i="26" s="1"/>
  <c r="K43" i="26" s="1"/>
  <c r="F43" i="26"/>
  <c r="H43" i="26" s="1"/>
  <c r="J43" i="26" s="1"/>
  <c r="G42" i="26"/>
  <c r="I42" i="26" s="1"/>
  <c r="K42" i="26" s="1"/>
  <c r="F42" i="26"/>
  <c r="H42" i="26" s="1"/>
  <c r="J42" i="26" s="1"/>
  <c r="G41" i="26"/>
  <c r="I41" i="26" s="1"/>
  <c r="K41" i="26" s="1"/>
  <c r="F41" i="26"/>
  <c r="H41" i="26" s="1"/>
  <c r="J41" i="26" s="1"/>
  <c r="G40" i="26"/>
  <c r="I40" i="26" s="1"/>
  <c r="K40" i="26" s="1"/>
  <c r="F40" i="26"/>
  <c r="H40" i="26" s="1"/>
  <c r="J40" i="26" s="1"/>
  <c r="G39" i="26"/>
  <c r="I39" i="26" s="1"/>
  <c r="K39" i="26" s="1"/>
  <c r="F39" i="26"/>
  <c r="H39" i="26" s="1"/>
  <c r="J39" i="26" s="1"/>
  <c r="G38" i="26"/>
  <c r="I38" i="26" s="1"/>
  <c r="K38" i="26" s="1"/>
  <c r="F38" i="26"/>
  <c r="H38" i="26" s="1"/>
  <c r="J38" i="26" s="1"/>
  <c r="G37" i="26"/>
  <c r="I37" i="26" s="1"/>
  <c r="K37" i="26" s="1"/>
  <c r="F37" i="26"/>
  <c r="H37" i="26" s="1"/>
  <c r="J37" i="26" s="1"/>
  <c r="G36" i="26"/>
  <c r="I36" i="26" s="1"/>
  <c r="K36" i="26" s="1"/>
  <c r="F36" i="26"/>
  <c r="H36" i="26" s="1"/>
  <c r="J36" i="26" s="1"/>
  <c r="G35" i="26"/>
  <c r="I35" i="26" s="1"/>
  <c r="K35" i="26" s="1"/>
  <c r="F35" i="26"/>
  <c r="H35" i="26" s="1"/>
  <c r="J35" i="26" s="1"/>
  <c r="G34" i="26"/>
  <c r="I34" i="26" s="1"/>
  <c r="K34" i="26" s="1"/>
  <c r="F34" i="26"/>
  <c r="H34" i="26" s="1"/>
  <c r="J34" i="26" s="1"/>
  <c r="G33" i="26"/>
  <c r="I33" i="26" s="1"/>
  <c r="K33" i="26" s="1"/>
  <c r="F33" i="26"/>
  <c r="H33" i="26" s="1"/>
  <c r="J33" i="26" s="1"/>
  <c r="G32" i="26"/>
  <c r="I32" i="26" s="1"/>
  <c r="K32" i="26" s="1"/>
  <c r="F32" i="26"/>
  <c r="H32" i="26" s="1"/>
  <c r="J32" i="26" s="1"/>
  <c r="G31" i="26"/>
  <c r="I31" i="26" s="1"/>
  <c r="K31" i="26" s="1"/>
  <c r="F31" i="26"/>
  <c r="H31" i="26" s="1"/>
  <c r="J31" i="26" s="1"/>
  <c r="G30" i="26"/>
  <c r="I30" i="26" s="1"/>
  <c r="K30" i="26" s="1"/>
  <c r="F30" i="26"/>
  <c r="H30" i="26" s="1"/>
  <c r="J30" i="26" s="1"/>
  <c r="G29" i="26"/>
  <c r="I29" i="26" s="1"/>
  <c r="K29" i="26" s="1"/>
  <c r="F29" i="26"/>
  <c r="H29" i="26" s="1"/>
  <c r="J29" i="26" s="1"/>
  <c r="G28" i="26"/>
  <c r="I28" i="26" s="1"/>
  <c r="K28" i="26" s="1"/>
  <c r="F28" i="26"/>
  <c r="H28" i="26" s="1"/>
  <c r="J28" i="26" s="1"/>
  <c r="G27" i="26"/>
  <c r="I27" i="26" s="1"/>
  <c r="K27" i="26" s="1"/>
  <c r="F27" i="26"/>
  <c r="H27" i="26" s="1"/>
  <c r="J27" i="26" s="1"/>
  <c r="G26" i="26"/>
  <c r="I26" i="26" s="1"/>
  <c r="K26" i="26" s="1"/>
  <c r="F26" i="26"/>
  <c r="H26" i="26" s="1"/>
  <c r="J26" i="26" s="1"/>
  <c r="G25" i="26"/>
  <c r="I25" i="26" s="1"/>
  <c r="K25" i="26" s="1"/>
  <c r="F25" i="26"/>
  <c r="H25" i="26" s="1"/>
  <c r="J25" i="26" s="1"/>
  <c r="G24" i="26"/>
  <c r="I24" i="26" s="1"/>
  <c r="K24" i="26" s="1"/>
  <c r="F24" i="26"/>
  <c r="H24" i="26" s="1"/>
  <c r="J24" i="26" s="1"/>
  <c r="G23" i="26"/>
  <c r="I23" i="26" s="1"/>
  <c r="K23" i="26" s="1"/>
  <c r="F23" i="26"/>
  <c r="H23" i="26" s="1"/>
  <c r="J23" i="26" s="1"/>
  <c r="G22" i="26"/>
  <c r="I22" i="26" s="1"/>
  <c r="K22" i="26" s="1"/>
  <c r="F22" i="26"/>
  <c r="H22" i="26" s="1"/>
  <c r="J22" i="26" s="1"/>
  <c r="G21" i="26"/>
  <c r="I21" i="26" s="1"/>
  <c r="K21" i="26" s="1"/>
  <c r="F21" i="26"/>
  <c r="H21" i="26" s="1"/>
  <c r="J21" i="26" s="1"/>
  <c r="G20" i="26"/>
  <c r="I20" i="26" s="1"/>
  <c r="K20" i="26" s="1"/>
  <c r="F20" i="26"/>
  <c r="H20" i="26" s="1"/>
  <c r="J20" i="26" s="1"/>
  <c r="G19" i="26"/>
  <c r="I19" i="26" s="1"/>
  <c r="K19" i="26" s="1"/>
  <c r="F19" i="26"/>
  <c r="H19" i="26" s="1"/>
  <c r="J19" i="26" s="1"/>
  <c r="G18" i="26"/>
  <c r="I18" i="26" s="1"/>
  <c r="K18" i="26" s="1"/>
  <c r="F18" i="26"/>
  <c r="H18" i="26" s="1"/>
  <c r="J18" i="26" s="1"/>
  <c r="G17" i="26"/>
  <c r="I17" i="26" s="1"/>
  <c r="K17" i="26" s="1"/>
  <c r="F17" i="26"/>
  <c r="H17" i="26" s="1"/>
  <c r="J17" i="26" s="1"/>
  <c r="G16" i="26"/>
  <c r="I16" i="26" s="1"/>
  <c r="K16" i="26" s="1"/>
  <c r="F16" i="26"/>
  <c r="H16" i="26" s="1"/>
  <c r="J16" i="26" s="1"/>
  <c r="G15" i="26"/>
  <c r="I15" i="26" s="1"/>
  <c r="K15" i="26" s="1"/>
  <c r="F15" i="26"/>
  <c r="H15" i="26" s="1"/>
  <c r="J15" i="26" s="1"/>
  <c r="G14" i="26"/>
  <c r="I14" i="26" s="1"/>
  <c r="K14" i="26" s="1"/>
  <c r="F14" i="26"/>
  <c r="H14" i="26" s="1"/>
  <c r="J14" i="26" s="1"/>
  <c r="G13" i="26"/>
  <c r="I13" i="26" s="1"/>
  <c r="K13" i="26" s="1"/>
  <c r="F13" i="26"/>
  <c r="H13" i="26" s="1"/>
  <c r="J13" i="26" s="1"/>
  <c r="G12" i="26"/>
  <c r="I12" i="26" s="1"/>
  <c r="K12" i="26" s="1"/>
  <c r="F12" i="26"/>
  <c r="H12" i="26" s="1"/>
  <c r="J12" i="26" s="1"/>
  <c r="G11" i="26"/>
  <c r="I11" i="26" s="1"/>
  <c r="K11" i="26" s="1"/>
  <c r="F11" i="26"/>
  <c r="H11" i="26" s="1"/>
  <c r="J11" i="26" s="1"/>
  <c r="G10" i="26"/>
  <c r="I10" i="26" s="1"/>
  <c r="K10" i="26" s="1"/>
  <c r="F10" i="26"/>
  <c r="H10" i="26" s="1"/>
  <c r="J10" i="26" s="1"/>
  <c r="G9" i="26"/>
  <c r="I9" i="26" s="1"/>
  <c r="K9" i="26" s="1"/>
  <c r="F9" i="26"/>
  <c r="H9" i="26" s="1"/>
  <c r="J9" i="26" s="1"/>
  <c r="G8" i="26"/>
  <c r="I8" i="26" s="1"/>
  <c r="K8" i="26" s="1"/>
  <c r="F8" i="26"/>
  <c r="H8" i="26" s="1"/>
  <c r="J8" i="26" s="1"/>
  <c r="G7" i="26"/>
  <c r="I7" i="26" s="1"/>
  <c r="K7" i="26" s="1"/>
  <c r="F7" i="26"/>
  <c r="H7" i="26" s="1"/>
  <c r="J7" i="26" s="1"/>
  <c r="G6" i="26"/>
  <c r="I6" i="26" s="1"/>
  <c r="K6" i="26" s="1"/>
  <c r="F6" i="26"/>
  <c r="H6" i="26" s="1"/>
  <c r="J6" i="26" s="1"/>
  <c r="G5" i="26"/>
  <c r="I5" i="26" s="1"/>
  <c r="K5" i="26" s="1"/>
  <c r="F5" i="26"/>
  <c r="H5" i="26" s="1"/>
  <c r="J5" i="26" s="1"/>
  <c r="G4" i="26"/>
  <c r="I4" i="26" s="1"/>
  <c r="K4" i="26" s="1"/>
  <c r="F4" i="26"/>
  <c r="H4" i="26" s="1"/>
  <c r="J4" i="26" s="1"/>
  <c r="G3" i="26"/>
  <c r="I3" i="26" s="1"/>
  <c r="K3" i="26" s="1"/>
  <c r="F3" i="26"/>
  <c r="H3" i="26" s="1"/>
  <c r="J3" i="26" s="1"/>
  <c r="M54" i="25"/>
  <c r="L54" i="25"/>
  <c r="G54" i="25"/>
  <c r="I54" i="25" s="1"/>
  <c r="K54" i="25" s="1"/>
  <c r="F54" i="25"/>
  <c r="H54" i="25" s="1"/>
  <c r="J54" i="25" s="1"/>
  <c r="G53" i="25"/>
  <c r="I53" i="25" s="1"/>
  <c r="K53" i="25" s="1"/>
  <c r="F53" i="25"/>
  <c r="H53" i="25" s="1"/>
  <c r="J53" i="25" s="1"/>
  <c r="G52" i="25"/>
  <c r="I52" i="25" s="1"/>
  <c r="K52" i="25" s="1"/>
  <c r="F52" i="25"/>
  <c r="H52" i="25" s="1"/>
  <c r="J52" i="25" s="1"/>
  <c r="G51" i="25"/>
  <c r="I51" i="25" s="1"/>
  <c r="K51" i="25" s="1"/>
  <c r="F51" i="25"/>
  <c r="H51" i="25" s="1"/>
  <c r="J51" i="25" s="1"/>
  <c r="G50" i="25"/>
  <c r="I50" i="25" s="1"/>
  <c r="K50" i="25" s="1"/>
  <c r="F50" i="25"/>
  <c r="H50" i="25" s="1"/>
  <c r="J50" i="25" s="1"/>
  <c r="G48" i="25"/>
  <c r="I48" i="25" s="1"/>
  <c r="K48" i="25" s="1"/>
  <c r="F48" i="25"/>
  <c r="H48" i="25" s="1"/>
  <c r="J48" i="25" s="1"/>
  <c r="G47" i="25"/>
  <c r="I47" i="25" s="1"/>
  <c r="K47" i="25" s="1"/>
  <c r="F47" i="25"/>
  <c r="H47" i="25" s="1"/>
  <c r="J47" i="25" s="1"/>
  <c r="G46" i="25"/>
  <c r="I46" i="25" s="1"/>
  <c r="K46" i="25" s="1"/>
  <c r="F46" i="25"/>
  <c r="H46" i="25" s="1"/>
  <c r="J46" i="25" s="1"/>
  <c r="G45" i="25"/>
  <c r="I45" i="25" s="1"/>
  <c r="K45" i="25" s="1"/>
  <c r="F45" i="25"/>
  <c r="H45" i="25" s="1"/>
  <c r="J45" i="25" s="1"/>
  <c r="F44" i="25"/>
  <c r="H44" i="25" s="1"/>
  <c r="J44" i="25" s="1"/>
  <c r="G42" i="25"/>
  <c r="I42" i="25" s="1"/>
  <c r="K42" i="25" s="1"/>
  <c r="F42" i="25"/>
  <c r="H42" i="25" s="1"/>
  <c r="J42" i="25" s="1"/>
  <c r="G41" i="25"/>
  <c r="I41" i="25" s="1"/>
  <c r="K41" i="25" s="1"/>
  <c r="F41" i="25"/>
  <c r="H41" i="25" s="1"/>
  <c r="J41" i="25" s="1"/>
  <c r="G40" i="25"/>
  <c r="I40" i="25" s="1"/>
  <c r="K40" i="25" s="1"/>
  <c r="F40" i="25"/>
  <c r="H40" i="25" s="1"/>
  <c r="J40" i="25" s="1"/>
  <c r="G39" i="25"/>
  <c r="I39" i="25" s="1"/>
  <c r="K39" i="25" s="1"/>
  <c r="F39" i="25"/>
  <c r="H39" i="25" s="1"/>
  <c r="J39" i="25" s="1"/>
  <c r="F38" i="25"/>
  <c r="H38" i="25" s="1"/>
  <c r="J38" i="25" s="1"/>
  <c r="G36" i="25"/>
  <c r="I36" i="25" s="1"/>
  <c r="K36" i="25" s="1"/>
  <c r="F36" i="25"/>
  <c r="H36" i="25" s="1"/>
  <c r="J36" i="25" s="1"/>
  <c r="G35" i="25"/>
  <c r="I35" i="25" s="1"/>
  <c r="K35" i="25" s="1"/>
  <c r="F35" i="25"/>
  <c r="H35" i="25" s="1"/>
  <c r="J35" i="25" s="1"/>
  <c r="G34" i="25"/>
  <c r="I34" i="25" s="1"/>
  <c r="K34" i="25" s="1"/>
  <c r="F34" i="25"/>
  <c r="H34" i="25" s="1"/>
  <c r="J34" i="25" s="1"/>
  <c r="G33" i="25"/>
  <c r="I33" i="25" s="1"/>
  <c r="K33" i="25" s="1"/>
  <c r="F33" i="25"/>
  <c r="H33" i="25" s="1"/>
  <c r="J33" i="25" s="1"/>
  <c r="F32" i="25"/>
  <c r="H32" i="25" s="1"/>
  <c r="J32" i="25" s="1"/>
  <c r="G30" i="25"/>
  <c r="I30" i="25" s="1"/>
  <c r="K30" i="25" s="1"/>
  <c r="F30" i="25"/>
  <c r="H30" i="25" s="1"/>
  <c r="J30" i="25" s="1"/>
  <c r="G29" i="25"/>
  <c r="I29" i="25" s="1"/>
  <c r="K29" i="25" s="1"/>
  <c r="F29" i="25"/>
  <c r="H29" i="25" s="1"/>
  <c r="J29" i="25" s="1"/>
  <c r="G28" i="25"/>
  <c r="I28" i="25" s="1"/>
  <c r="K28" i="25" s="1"/>
  <c r="F28" i="25"/>
  <c r="H28" i="25" s="1"/>
  <c r="J28" i="25" s="1"/>
  <c r="G27" i="25"/>
  <c r="I27" i="25" s="1"/>
  <c r="K27" i="25" s="1"/>
  <c r="F27" i="25"/>
  <c r="H27" i="25" s="1"/>
  <c r="J27" i="25" s="1"/>
  <c r="F26" i="25"/>
  <c r="H26" i="25" s="1"/>
  <c r="J26" i="25" s="1"/>
  <c r="G25" i="25"/>
  <c r="I25" i="25" s="1"/>
  <c r="K25" i="25" s="1"/>
  <c r="G24" i="25"/>
  <c r="I24" i="25" s="1"/>
  <c r="K24" i="25" s="1"/>
  <c r="F24" i="25"/>
  <c r="H24" i="25" s="1"/>
  <c r="J24" i="25" s="1"/>
  <c r="G23" i="25"/>
  <c r="I23" i="25" s="1"/>
  <c r="K23" i="25" s="1"/>
  <c r="F23" i="25"/>
  <c r="H23" i="25" s="1"/>
  <c r="J23" i="25" s="1"/>
  <c r="G22" i="25"/>
  <c r="I22" i="25" s="1"/>
  <c r="K22" i="25" s="1"/>
  <c r="F22" i="25"/>
  <c r="H22" i="25" s="1"/>
  <c r="J22" i="25" s="1"/>
  <c r="G21" i="25"/>
  <c r="I21" i="25" s="1"/>
  <c r="K21" i="25" s="1"/>
  <c r="F21" i="25"/>
  <c r="H21" i="25" s="1"/>
  <c r="J21" i="25" s="1"/>
  <c r="G20" i="25"/>
  <c r="I20" i="25" s="1"/>
  <c r="K20" i="25" s="1"/>
  <c r="F20" i="25"/>
  <c r="H20" i="25" s="1"/>
  <c r="J20" i="25" s="1"/>
  <c r="G18" i="25"/>
  <c r="I18" i="25" s="1"/>
  <c r="K18" i="25" s="1"/>
  <c r="F18" i="25"/>
  <c r="H18" i="25" s="1"/>
  <c r="J18" i="25" s="1"/>
  <c r="G17" i="25"/>
  <c r="I17" i="25" s="1"/>
  <c r="K17" i="25" s="1"/>
  <c r="F17" i="25"/>
  <c r="H17" i="25" s="1"/>
  <c r="J17" i="25" s="1"/>
  <c r="G16" i="25"/>
  <c r="I16" i="25" s="1"/>
  <c r="K16" i="25" s="1"/>
  <c r="F16" i="25"/>
  <c r="H16" i="25" s="1"/>
  <c r="J16" i="25" s="1"/>
  <c r="G15" i="25"/>
  <c r="I15" i="25" s="1"/>
  <c r="K15" i="25" s="1"/>
  <c r="F15" i="25"/>
  <c r="H15" i="25" s="1"/>
  <c r="J15" i="25" s="1"/>
  <c r="F14" i="25"/>
  <c r="H14" i="25" s="1"/>
  <c r="J14" i="25" s="1"/>
  <c r="G12" i="25"/>
  <c r="I12" i="25" s="1"/>
  <c r="K12" i="25" s="1"/>
  <c r="F12" i="25"/>
  <c r="H12" i="25" s="1"/>
  <c r="J12" i="25" s="1"/>
  <c r="G11" i="25"/>
  <c r="I11" i="25" s="1"/>
  <c r="K11" i="25" s="1"/>
  <c r="F11" i="25"/>
  <c r="H11" i="25" s="1"/>
  <c r="J11" i="25" s="1"/>
  <c r="G10" i="25"/>
  <c r="I10" i="25" s="1"/>
  <c r="K10" i="25" s="1"/>
  <c r="F10" i="25"/>
  <c r="H10" i="25" s="1"/>
  <c r="J10" i="25" s="1"/>
  <c r="G9" i="25"/>
  <c r="I9" i="25" s="1"/>
  <c r="K9" i="25" s="1"/>
  <c r="F9" i="25"/>
  <c r="H9" i="25" s="1"/>
  <c r="J9" i="25" s="1"/>
  <c r="F8" i="25"/>
  <c r="H8" i="25" s="1"/>
  <c r="J8" i="25" s="1"/>
  <c r="G6" i="25"/>
  <c r="I6" i="25" s="1"/>
  <c r="K6" i="25" s="1"/>
  <c r="F6" i="25"/>
  <c r="H6" i="25" s="1"/>
  <c r="J6" i="25" s="1"/>
  <c r="G5" i="25"/>
  <c r="I5" i="25" s="1"/>
  <c r="K5" i="25" s="1"/>
  <c r="F5" i="25"/>
  <c r="H5" i="25" s="1"/>
  <c r="J5" i="25" s="1"/>
  <c r="G4" i="25"/>
  <c r="I4" i="25" s="1"/>
  <c r="K4" i="25" s="1"/>
  <c r="F4" i="25"/>
  <c r="H4" i="25" s="1"/>
  <c r="J4" i="25" s="1"/>
  <c r="G3" i="25"/>
  <c r="I3" i="25" s="1"/>
  <c r="K3" i="25" s="1"/>
  <c r="F3" i="25"/>
  <c r="H3" i="25" s="1"/>
  <c r="J3" i="25" s="1"/>
  <c r="L53" i="25" l="1"/>
  <c r="L53" i="27"/>
  <c r="L52" i="27" s="1"/>
  <c r="L51" i="27" s="1"/>
  <c r="M53" i="25"/>
  <c r="L53" i="28"/>
  <c r="M53" i="27"/>
  <c r="M52" i="27" s="1"/>
  <c r="M51" i="27" s="1"/>
  <c r="M50" i="27" s="1"/>
  <c r="M49" i="27" s="1"/>
  <c r="M48" i="27" s="1"/>
  <c r="M47" i="27" s="1"/>
  <c r="M46" i="27" s="1"/>
  <c r="M45" i="27" s="1"/>
  <c r="M44" i="27" s="1"/>
  <c r="M43" i="27" s="1"/>
  <c r="M42" i="27" s="1"/>
  <c r="M41" i="27" s="1"/>
  <c r="M40" i="27" s="1"/>
  <c r="M39" i="27" s="1"/>
  <c r="M38" i="27" s="1"/>
  <c r="M37" i="27" s="1"/>
  <c r="M36" i="27" s="1"/>
  <c r="M35" i="27" s="1"/>
  <c r="M34" i="27" s="1"/>
  <c r="M33" i="27" s="1"/>
  <c r="M32" i="27" s="1"/>
  <c r="M31" i="27" s="1"/>
  <c r="M30" i="27" s="1"/>
  <c r="M29" i="27" s="1"/>
  <c r="M28" i="27" s="1"/>
  <c r="M27" i="27" s="1"/>
  <c r="M26" i="27" s="1"/>
  <c r="M25" i="27" s="1"/>
  <c r="M24" i="27" s="1"/>
  <c r="M23" i="27" s="1"/>
  <c r="M22" i="27" s="1"/>
  <c r="M21" i="27" s="1"/>
  <c r="M20" i="27" s="1"/>
  <c r="M19" i="27" s="1"/>
  <c r="M18" i="27" s="1"/>
  <c r="M17" i="27" s="1"/>
  <c r="M16" i="27" s="1"/>
  <c r="M15" i="27" s="1"/>
  <c r="M14" i="27" s="1"/>
  <c r="M13" i="27" s="1"/>
  <c r="M12" i="27" s="1"/>
  <c r="M11" i="27" s="1"/>
  <c r="M10" i="27" s="1"/>
  <c r="M9" i="27" s="1"/>
  <c r="M8" i="27" s="1"/>
  <c r="M7" i="27" s="1"/>
  <c r="M6" i="27" s="1"/>
  <c r="M5" i="27" s="1"/>
  <c r="M4" i="27" s="1"/>
  <c r="M3" i="27" s="1"/>
  <c r="M53" i="28"/>
  <c r="N54" i="25"/>
  <c r="N54" i="28"/>
  <c r="M4" i="15"/>
  <c r="R5" i="1"/>
  <c r="S5" i="1" s="1"/>
  <c r="T5" i="1" s="1"/>
  <c r="O6" i="1"/>
  <c r="P6" i="1"/>
  <c r="R6" i="1" s="1"/>
  <c r="S6" i="1" s="1"/>
  <c r="T6" i="1" s="1"/>
  <c r="O7" i="17"/>
  <c r="Q7" i="17" s="1"/>
  <c r="R7" i="17" s="1"/>
  <c r="S7" i="17" s="1"/>
  <c r="O6" i="15"/>
  <c r="P6" i="15"/>
  <c r="O5" i="1"/>
  <c r="I3" i="13"/>
  <c r="P6" i="18"/>
  <c r="P6" i="19"/>
  <c r="P6" i="17"/>
  <c r="O6" i="14"/>
  <c r="O6" i="17"/>
  <c r="O6" i="22"/>
  <c r="O7" i="21"/>
  <c r="Q7" i="21" s="1"/>
  <c r="R7" i="21" s="1"/>
  <c r="S7" i="21" s="1"/>
  <c r="P6" i="22"/>
  <c r="O7" i="15"/>
  <c r="Q7" i="15" s="1"/>
  <c r="R7" i="15" s="1"/>
  <c r="S7" i="15" s="1"/>
  <c r="O7" i="18"/>
  <c r="Q7" i="18" s="1"/>
  <c r="R7" i="18" s="1"/>
  <c r="S7" i="18" s="1"/>
  <c r="O7" i="19"/>
  <c r="Q7" i="19" s="1"/>
  <c r="R7" i="19" s="1"/>
  <c r="S7" i="19" s="1"/>
  <c r="O6" i="19"/>
  <c r="O7" i="14"/>
  <c r="Q7" i="14" s="1"/>
  <c r="R7" i="14" s="1"/>
  <c r="S7" i="14" s="1"/>
  <c r="O6" i="18"/>
  <c r="O7" i="22"/>
  <c r="Q7" i="22" s="1"/>
  <c r="R7" i="22" s="1"/>
  <c r="S7" i="22" s="1"/>
  <c r="J5" i="21"/>
  <c r="E4" i="21"/>
  <c r="M6" i="21"/>
  <c r="O6" i="21" s="1"/>
  <c r="N6" i="21"/>
  <c r="P6" i="21" s="1"/>
  <c r="M5" i="22"/>
  <c r="J3" i="22"/>
  <c r="K4" i="22"/>
  <c r="L4" i="22" s="1"/>
  <c r="M4" i="22" s="1"/>
  <c r="M5" i="19"/>
  <c r="J3" i="19"/>
  <c r="K3" i="19" s="1"/>
  <c r="L3" i="19" s="1"/>
  <c r="N4" i="19"/>
  <c r="M4" i="19"/>
  <c r="M5" i="18"/>
  <c r="J3" i="18"/>
  <c r="K3" i="18" s="1"/>
  <c r="L3" i="18" s="1"/>
  <c r="K4" i="18"/>
  <c r="L4" i="18" s="1"/>
  <c r="N4" i="18" s="1"/>
  <c r="J4" i="17"/>
  <c r="K4" i="17" s="1"/>
  <c r="L4" i="17" s="1"/>
  <c r="E3" i="17"/>
  <c r="K5" i="17"/>
  <c r="L5" i="17" s="1"/>
  <c r="N5" i="17" s="1"/>
  <c r="N3" i="15"/>
  <c r="M3" i="15"/>
  <c r="K5" i="14"/>
  <c r="L5" i="14" s="1"/>
  <c r="N5" i="14" s="1"/>
  <c r="J4" i="14"/>
  <c r="E3" i="14"/>
  <c r="K4" i="14"/>
  <c r="L4" i="14" s="1"/>
  <c r="N6" i="14"/>
  <c r="P6" i="14" s="1"/>
  <c r="M4" i="1"/>
  <c r="P4" i="1" s="1"/>
  <c r="N4" i="1"/>
  <c r="Q4" i="1" s="1"/>
  <c r="J3" i="1"/>
  <c r="K3" i="1" s="1"/>
  <c r="L3" i="1" s="1"/>
  <c r="M52" i="28"/>
  <c r="L52" i="28"/>
  <c r="N52" i="28" s="1"/>
  <c r="N53" i="28"/>
  <c r="O53" i="28" s="1"/>
  <c r="P53" i="28" s="1"/>
  <c r="S54" i="28"/>
  <c r="R54" i="28"/>
  <c r="Q54" i="28"/>
  <c r="M51" i="28"/>
  <c r="M50" i="28" s="1"/>
  <c r="M49" i="28" s="1"/>
  <c r="M48" i="28" s="1"/>
  <c r="M47" i="28" s="1"/>
  <c r="M46" i="28" s="1"/>
  <c r="M45" i="28" s="1"/>
  <c r="M44" i="28" s="1"/>
  <c r="M43" i="28" s="1"/>
  <c r="M42" i="28" s="1"/>
  <c r="M41" i="28" s="1"/>
  <c r="M40" i="28" s="1"/>
  <c r="M39" i="28" s="1"/>
  <c r="M38" i="28" s="1"/>
  <c r="M37" i="28" s="1"/>
  <c r="M36" i="28" s="1"/>
  <c r="M35" i="28" s="1"/>
  <c r="M34" i="28" s="1"/>
  <c r="M33" i="28" s="1"/>
  <c r="M32" i="28" s="1"/>
  <c r="M31" i="28" s="1"/>
  <c r="M30" i="28" s="1"/>
  <c r="M29" i="28" s="1"/>
  <c r="M28" i="28" s="1"/>
  <c r="M27" i="28" s="1"/>
  <c r="M26" i="28" s="1"/>
  <c r="M25" i="28" s="1"/>
  <c r="M24" i="28" s="1"/>
  <c r="M23" i="28" s="1"/>
  <c r="M22" i="28" s="1"/>
  <c r="M21" i="28" s="1"/>
  <c r="M20" i="28" s="1"/>
  <c r="M19" i="28" s="1"/>
  <c r="M18" i="28" s="1"/>
  <c r="M17" i="28" s="1"/>
  <c r="M16" i="28" s="1"/>
  <c r="M15" i="28" s="1"/>
  <c r="M14" i="28" s="1"/>
  <c r="M13" i="28" s="1"/>
  <c r="M12" i="28" s="1"/>
  <c r="M11" i="28" s="1"/>
  <c r="M10" i="28" s="1"/>
  <c r="M9" i="28" s="1"/>
  <c r="M8" i="28" s="1"/>
  <c r="M7" i="28" s="1"/>
  <c r="M6" i="28" s="1"/>
  <c r="M5" i="28" s="1"/>
  <c r="M4" i="28" s="1"/>
  <c r="M3" i="28" s="1"/>
  <c r="N54" i="27"/>
  <c r="L52" i="26"/>
  <c r="L51" i="26" s="1"/>
  <c r="L50" i="26" s="1"/>
  <c r="L49" i="26" s="1"/>
  <c r="M52" i="26"/>
  <c r="M51" i="26" s="1"/>
  <c r="M50" i="26" s="1"/>
  <c r="M49" i="26" s="1"/>
  <c r="M48" i="26" s="1"/>
  <c r="M47" i="26" s="1"/>
  <c r="M46" i="26" s="1"/>
  <c r="M45" i="26" s="1"/>
  <c r="M44" i="26" s="1"/>
  <c r="M43" i="26" s="1"/>
  <c r="M42" i="26" s="1"/>
  <c r="M41" i="26" s="1"/>
  <c r="M40" i="26" s="1"/>
  <c r="M39" i="26" s="1"/>
  <c r="M38" i="26" s="1"/>
  <c r="M37" i="26" s="1"/>
  <c r="M36" i="26" s="1"/>
  <c r="M35" i="26" s="1"/>
  <c r="M34" i="26" s="1"/>
  <c r="M33" i="26" s="1"/>
  <c r="M32" i="26" s="1"/>
  <c r="M31" i="26" s="1"/>
  <c r="M30" i="26" s="1"/>
  <c r="M29" i="26" s="1"/>
  <c r="M28" i="26" s="1"/>
  <c r="M27" i="26" s="1"/>
  <c r="M26" i="26" s="1"/>
  <c r="M25" i="26" s="1"/>
  <c r="M24" i="26" s="1"/>
  <c r="M23" i="26" s="1"/>
  <c r="M22" i="26" s="1"/>
  <c r="M21" i="26" s="1"/>
  <c r="M20" i="26" s="1"/>
  <c r="M19" i="26" s="1"/>
  <c r="M18" i="26" s="1"/>
  <c r="M17" i="26" s="1"/>
  <c r="M16" i="26" s="1"/>
  <c r="M15" i="26" s="1"/>
  <c r="M14" i="26" s="1"/>
  <c r="M13" i="26" s="1"/>
  <c r="M12" i="26" s="1"/>
  <c r="M11" i="26" s="1"/>
  <c r="M10" i="26" s="1"/>
  <c r="M9" i="26" s="1"/>
  <c r="M8" i="26" s="1"/>
  <c r="M7" i="26" s="1"/>
  <c r="M6" i="26" s="1"/>
  <c r="M5" i="26" s="1"/>
  <c r="M4" i="26" s="1"/>
  <c r="M3" i="26" s="1"/>
  <c r="N53" i="26"/>
  <c r="O53" i="26" s="1"/>
  <c r="P53" i="26" s="1"/>
  <c r="S54" i="26"/>
  <c r="R54" i="26"/>
  <c r="Q54" i="26"/>
  <c r="L52" i="25"/>
  <c r="L51" i="25" s="1"/>
  <c r="M52" i="25"/>
  <c r="M51" i="25" s="1"/>
  <c r="M50" i="25" s="1"/>
  <c r="M49" i="25" s="1"/>
  <c r="M48" i="25" s="1"/>
  <c r="M47" i="25" s="1"/>
  <c r="M46" i="25" s="1"/>
  <c r="M45" i="25" s="1"/>
  <c r="M44" i="25" s="1"/>
  <c r="M43" i="25" s="1"/>
  <c r="M42" i="25" s="1"/>
  <c r="M41" i="25" s="1"/>
  <c r="M40" i="25" s="1"/>
  <c r="M39" i="25" s="1"/>
  <c r="M38" i="25" s="1"/>
  <c r="M37" i="25" s="1"/>
  <c r="M36" i="25" s="1"/>
  <c r="M35" i="25" s="1"/>
  <c r="M34" i="25" s="1"/>
  <c r="M33" i="25" s="1"/>
  <c r="M32" i="25" s="1"/>
  <c r="M31" i="25" s="1"/>
  <c r="M30" i="25" s="1"/>
  <c r="M29" i="25" s="1"/>
  <c r="M28" i="25" s="1"/>
  <c r="M27" i="25" s="1"/>
  <c r="M26" i="25" s="1"/>
  <c r="M25" i="25" s="1"/>
  <c r="M24" i="25" s="1"/>
  <c r="M23" i="25" s="1"/>
  <c r="M22" i="25" s="1"/>
  <c r="M21" i="25" s="1"/>
  <c r="M20" i="25" s="1"/>
  <c r="M19" i="25" s="1"/>
  <c r="M18" i="25" s="1"/>
  <c r="M17" i="25" s="1"/>
  <c r="M16" i="25" s="1"/>
  <c r="M15" i="25" s="1"/>
  <c r="M14" i="25" s="1"/>
  <c r="M13" i="25" s="1"/>
  <c r="M12" i="25" s="1"/>
  <c r="M11" i="25" s="1"/>
  <c r="M10" i="25" s="1"/>
  <c r="M9" i="25" s="1"/>
  <c r="M8" i="25" s="1"/>
  <c r="M7" i="25" s="1"/>
  <c r="M6" i="25" s="1"/>
  <c r="M5" i="25" s="1"/>
  <c r="M4" i="25" s="1"/>
  <c r="M3" i="25" s="1"/>
  <c r="N53" i="25"/>
  <c r="O53" i="25" s="1"/>
  <c r="P53" i="25" s="1"/>
  <c r="S54" i="25"/>
  <c r="R54" i="25"/>
  <c r="Q54" i="25"/>
  <c r="N53" i="27" l="1"/>
  <c r="O53" i="27"/>
  <c r="P53" i="27" s="1"/>
  <c r="Q6" i="15"/>
  <c r="R6" i="15" s="1"/>
  <c r="S6" i="15" s="1"/>
  <c r="R4" i="1"/>
  <c r="S4" i="1" s="1"/>
  <c r="T4" i="1" s="1"/>
  <c r="O5" i="15"/>
  <c r="P5" i="15"/>
  <c r="O4" i="1"/>
  <c r="Q6" i="18"/>
  <c r="R6" i="18" s="1"/>
  <c r="S6" i="18" s="1"/>
  <c r="Q6" i="17"/>
  <c r="R6" i="17" s="1"/>
  <c r="S6" i="17" s="1"/>
  <c r="Q6" i="14"/>
  <c r="R6" i="14" s="1"/>
  <c r="S6" i="14" s="1"/>
  <c r="Q6" i="19"/>
  <c r="R6" i="19" s="1"/>
  <c r="S6" i="19" s="1"/>
  <c r="Q6" i="21"/>
  <c r="R6" i="21" s="1"/>
  <c r="S6" i="21" s="1"/>
  <c r="O5" i="19"/>
  <c r="P5" i="22"/>
  <c r="O5" i="22"/>
  <c r="P5" i="18"/>
  <c r="P5" i="14"/>
  <c r="O5" i="18"/>
  <c r="Q6" i="22"/>
  <c r="R6" i="22" s="1"/>
  <c r="S6" i="22" s="1"/>
  <c r="P5" i="19"/>
  <c r="P5" i="17"/>
  <c r="J4" i="21"/>
  <c r="K4" i="21" s="1"/>
  <c r="L4" i="21" s="1"/>
  <c r="E3" i="21"/>
  <c r="K5" i="21"/>
  <c r="L5" i="21" s="1"/>
  <c r="N5" i="21" s="1"/>
  <c r="P5" i="21" s="1"/>
  <c r="N4" i="22"/>
  <c r="K3" i="22"/>
  <c r="L3" i="22" s="1"/>
  <c r="M3" i="22" s="1"/>
  <c r="N3" i="19"/>
  <c r="M3" i="19"/>
  <c r="M4" i="18"/>
  <c r="N3" i="18"/>
  <c r="M3" i="18"/>
  <c r="M5" i="17"/>
  <c r="O5" i="17" s="1"/>
  <c r="J3" i="17"/>
  <c r="K3" i="17" s="1"/>
  <c r="L3" i="17" s="1"/>
  <c r="N4" i="17"/>
  <c r="M4" i="17"/>
  <c r="J3" i="14"/>
  <c r="N4" i="14"/>
  <c r="M4" i="14"/>
  <c r="M5" i="14"/>
  <c r="O5" i="14" s="1"/>
  <c r="N3" i="1"/>
  <c r="Q3" i="1" s="1"/>
  <c r="M3" i="1"/>
  <c r="P3" i="1" s="1"/>
  <c r="L51" i="28"/>
  <c r="L50" i="28" s="1"/>
  <c r="L49" i="28" s="1"/>
  <c r="L48" i="28" s="1"/>
  <c r="N48" i="28" s="1"/>
  <c r="Q53" i="28"/>
  <c r="S53" i="28"/>
  <c r="R53" i="28"/>
  <c r="S52" i="28"/>
  <c r="O52" i="28"/>
  <c r="P52" i="28" s="1"/>
  <c r="R52" i="28" s="1"/>
  <c r="N51" i="27"/>
  <c r="L50" i="27"/>
  <c r="R54" i="27"/>
  <c r="Q54" i="27"/>
  <c r="S54" i="27"/>
  <c r="N52" i="27"/>
  <c r="Q53" i="27"/>
  <c r="R53" i="27"/>
  <c r="S53" i="27"/>
  <c r="N52" i="26"/>
  <c r="O52" i="26" s="1"/>
  <c r="P52" i="26" s="1"/>
  <c r="Q52" i="26" s="1"/>
  <c r="N49" i="26"/>
  <c r="L48" i="26"/>
  <c r="S52" i="26"/>
  <c r="N51" i="26"/>
  <c r="N50" i="26"/>
  <c r="O50" i="26" s="1"/>
  <c r="P50" i="26" s="1"/>
  <c r="Q53" i="26"/>
  <c r="R53" i="26"/>
  <c r="S53" i="26"/>
  <c r="N51" i="25"/>
  <c r="L50" i="25"/>
  <c r="Q53" i="25"/>
  <c r="R53" i="25"/>
  <c r="S53" i="25"/>
  <c r="N52" i="25"/>
  <c r="R52" i="26" l="1"/>
  <c r="N49" i="28"/>
  <c r="O49" i="28" s="1"/>
  <c r="P49" i="28" s="1"/>
  <c r="N50" i="28"/>
  <c r="S50" i="28" s="1"/>
  <c r="N51" i="28"/>
  <c r="O51" i="28" s="1"/>
  <c r="P51" i="28" s="1"/>
  <c r="R3" i="1"/>
  <c r="S3" i="1" s="1"/>
  <c r="T3" i="1" s="1"/>
  <c r="Q5" i="15"/>
  <c r="R5" i="15" s="1"/>
  <c r="S5" i="15" s="1"/>
  <c r="O4" i="15"/>
  <c r="P4" i="15"/>
  <c r="O3" i="1"/>
  <c r="Q5" i="22"/>
  <c r="R5" i="22" s="1"/>
  <c r="S5" i="22" s="1"/>
  <c r="Q5" i="14"/>
  <c r="R5" i="14" s="1"/>
  <c r="S5" i="14" s="1"/>
  <c r="Q5" i="19"/>
  <c r="R5" i="19" s="1"/>
  <c r="S5" i="19" s="1"/>
  <c r="O4" i="22"/>
  <c r="O4" i="14"/>
  <c r="O4" i="18"/>
  <c r="O4" i="17"/>
  <c r="P4" i="17"/>
  <c r="Q5" i="18"/>
  <c r="R5" i="18" s="1"/>
  <c r="S5" i="18" s="1"/>
  <c r="P4" i="14"/>
  <c r="P4" i="18"/>
  <c r="P4" i="22"/>
  <c r="O4" i="19"/>
  <c r="Q5" i="17"/>
  <c r="R5" i="17" s="1"/>
  <c r="S5" i="17" s="1"/>
  <c r="P4" i="19"/>
  <c r="M5" i="21"/>
  <c r="O5" i="21" s="1"/>
  <c r="Q5" i="21" s="1"/>
  <c r="R5" i="21" s="1"/>
  <c r="S5" i="21" s="1"/>
  <c r="J3" i="21"/>
  <c r="K3" i="21"/>
  <c r="L3" i="21" s="1"/>
  <c r="N4" i="21"/>
  <c r="P4" i="21" s="1"/>
  <c r="M4" i="21"/>
  <c r="O4" i="21" s="1"/>
  <c r="N3" i="22"/>
  <c r="N3" i="17"/>
  <c r="M3" i="17"/>
  <c r="K3" i="14"/>
  <c r="L3" i="14" s="1"/>
  <c r="N3" i="14" s="1"/>
  <c r="P3" i="15"/>
  <c r="O3" i="18"/>
  <c r="L47" i="28"/>
  <c r="Q52" i="28"/>
  <c r="S51" i="28"/>
  <c r="N47" i="28"/>
  <c r="O47" i="28" s="1"/>
  <c r="P47" i="28" s="1"/>
  <c r="L46" i="28"/>
  <c r="Q49" i="28"/>
  <c r="S49" i="28"/>
  <c r="R49" i="28"/>
  <c r="S48" i="28"/>
  <c r="O48" i="28"/>
  <c r="P48" i="28" s="1"/>
  <c r="Q48" i="28" s="1"/>
  <c r="S52" i="27"/>
  <c r="O52" i="27"/>
  <c r="P52" i="27" s="1"/>
  <c r="Q52" i="27" s="1"/>
  <c r="N50" i="27"/>
  <c r="O50" i="27" s="1"/>
  <c r="P50" i="27" s="1"/>
  <c r="L49" i="27"/>
  <c r="S51" i="27"/>
  <c r="O51" i="27"/>
  <c r="P51" i="27" s="1"/>
  <c r="R51" i="27" s="1"/>
  <c r="S51" i="26"/>
  <c r="O51" i="26"/>
  <c r="P51" i="26" s="1"/>
  <c r="R51" i="26" s="1"/>
  <c r="S50" i="26"/>
  <c r="R50" i="26"/>
  <c r="Q50" i="26"/>
  <c r="N48" i="26"/>
  <c r="O48" i="26" s="1"/>
  <c r="P48" i="26" s="1"/>
  <c r="L47" i="26"/>
  <c r="S49" i="26"/>
  <c r="O49" i="26"/>
  <c r="P49" i="26" s="1"/>
  <c r="Q49" i="26" s="1"/>
  <c r="S52" i="25"/>
  <c r="O52" i="25"/>
  <c r="P52" i="25" s="1"/>
  <c r="Q52" i="25" s="1"/>
  <c r="N50" i="25"/>
  <c r="O50" i="25" s="1"/>
  <c r="P50" i="25" s="1"/>
  <c r="L49" i="25"/>
  <c r="S51" i="25"/>
  <c r="O51" i="25"/>
  <c r="P51" i="25" s="1"/>
  <c r="R51" i="25" s="1"/>
  <c r="O50" i="28" l="1"/>
  <c r="P50" i="28" s="1"/>
  <c r="R50" i="28" s="1"/>
  <c r="R51" i="28"/>
  <c r="Q51" i="28"/>
  <c r="Q4" i="15"/>
  <c r="R4" i="15" s="1"/>
  <c r="S4" i="15" s="1"/>
  <c r="Q4" i="22"/>
  <c r="R4" i="22" s="1"/>
  <c r="S4" i="22" s="1"/>
  <c r="Q4" i="17"/>
  <c r="R4" i="17" s="1"/>
  <c r="S4" i="17" s="1"/>
  <c r="Q4" i="18"/>
  <c r="R4" i="18" s="1"/>
  <c r="S4" i="18" s="1"/>
  <c r="Q4" i="19"/>
  <c r="R4" i="19" s="1"/>
  <c r="S4" i="19" s="1"/>
  <c r="Q4" i="14"/>
  <c r="R4" i="14" s="1"/>
  <c r="S4" i="14" s="1"/>
  <c r="Q4" i="21"/>
  <c r="R4" i="21" s="1"/>
  <c r="S4" i="21" s="1"/>
  <c r="O3" i="19"/>
  <c r="P3" i="18"/>
  <c r="Q3" i="18" s="1"/>
  <c r="R3" i="18" s="1"/>
  <c r="S3" i="18" s="1"/>
  <c r="P3" i="22"/>
  <c r="P3" i="14"/>
  <c r="O3" i="17"/>
  <c r="P3" i="17"/>
  <c r="O3" i="15"/>
  <c r="Q3" i="15" s="1"/>
  <c r="R3" i="15" s="1"/>
  <c r="S3" i="15" s="1"/>
  <c r="P3" i="19"/>
  <c r="O3" i="22"/>
  <c r="N3" i="21"/>
  <c r="P3" i="21" s="1"/>
  <c r="M3" i="21"/>
  <c r="O3" i="21" s="1"/>
  <c r="M3" i="14"/>
  <c r="O3" i="14" s="1"/>
  <c r="R48" i="28"/>
  <c r="N46" i="28"/>
  <c r="O46" i="28" s="1"/>
  <c r="P46" i="28" s="1"/>
  <c r="L45" i="28"/>
  <c r="S47" i="28"/>
  <c r="R47" i="28"/>
  <c r="Q47" i="28"/>
  <c r="N49" i="27"/>
  <c r="O49" i="27" s="1"/>
  <c r="P49" i="27" s="1"/>
  <c r="L48" i="27"/>
  <c r="R52" i="27"/>
  <c r="Q51" i="27"/>
  <c r="R50" i="27"/>
  <c r="S50" i="27"/>
  <c r="Q50" i="27"/>
  <c r="N47" i="26"/>
  <c r="O47" i="26" s="1"/>
  <c r="P47" i="26" s="1"/>
  <c r="L46" i="26"/>
  <c r="R49" i="26"/>
  <c r="Q48" i="26"/>
  <c r="S48" i="26"/>
  <c r="R48" i="26"/>
  <c r="Q51" i="26"/>
  <c r="N49" i="25"/>
  <c r="O49" i="25" s="1"/>
  <c r="P49" i="25" s="1"/>
  <c r="L48" i="25"/>
  <c r="Q51" i="25"/>
  <c r="S50" i="25"/>
  <c r="R50" i="25"/>
  <c r="Q50" i="25"/>
  <c r="R52" i="25"/>
  <c r="Q50" i="28" l="1"/>
  <c r="Q3" i="19"/>
  <c r="R3" i="19" s="1"/>
  <c r="S3" i="19" s="1"/>
  <c r="Q3" i="21"/>
  <c r="R3" i="21" s="1"/>
  <c r="S3" i="21" s="1"/>
  <c r="Q3" i="14"/>
  <c r="R3" i="14" s="1"/>
  <c r="S3" i="14" s="1"/>
  <c r="Q3" i="17"/>
  <c r="R3" i="17" s="1"/>
  <c r="S3" i="17" s="1"/>
  <c r="Q3" i="22"/>
  <c r="R3" i="22" s="1"/>
  <c r="S3" i="22" s="1"/>
  <c r="R46" i="28"/>
  <c r="Q46" i="28"/>
  <c r="S46" i="28"/>
  <c r="N45" i="28"/>
  <c r="O45" i="28" s="1"/>
  <c r="P45" i="28" s="1"/>
  <c r="L44" i="28"/>
  <c r="N48" i="27"/>
  <c r="L47" i="27"/>
  <c r="Q49" i="27"/>
  <c r="R49" i="27"/>
  <c r="S49" i="27"/>
  <c r="L45" i="26"/>
  <c r="N46" i="26"/>
  <c r="O46" i="26" s="1"/>
  <c r="P46" i="26" s="1"/>
  <c r="S47" i="26"/>
  <c r="R47" i="26"/>
  <c r="Q47" i="26"/>
  <c r="N48" i="25"/>
  <c r="L47" i="25"/>
  <c r="S49" i="25"/>
  <c r="R49" i="25"/>
  <c r="Q49" i="25"/>
  <c r="N44" i="28" l="1"/>
  <c r="L43" i="28"/>
  <c r="Q45" i="28"/>
  <c r="S45" i="28"/>
  <c r="R45" i="28"/>
  <c r="N47" i="27"/>
  <c r="L46" i="27"/>
  <c r="S48" i="27"/>
  <c r="O48" i="27"/>
  <c r="P48" i="27" s="1"/>
  <c r="R48" i="27" s="1"/>
  <c r="N45" i="26"/>
  <c r="O45" i="26" s="1"/>
  <c r="P45" i="26" s="1"/>
  <c r="L44" i="26"/>
  <c r="R46" i="26"/>
  <c r="Q46" i="26"/>
  <c r="S46" i="26"/>
  <c r="S48" i="25"/>
  <c r="N47" i="25"/>
  <c r="O47" i="25" s="1"/>
  <c r="P47" i="25" s="1"/>
  <c r="L46" i="25"/>
  <c r="O48" i="25"/>
  <c r="P48" i="25" s="1"/>
  <c r="Q48" i="25" s="1"/>
  <c r="N43" i="28" l="1"/>
  <c r="L42" i="28"/>
  <c r="S44" i="28"/>
  <c r="O44" i="28"/>
  <c r="P44" i="28" s="1"/>
  <c r="R44" i="28" s="1"/>
  <c r="N46" i="27"/>
  <c r="O46" i="27" s="1"/>
  <c r="P46" i="27" s="1"/>
  <c r="L45" i="27"/>
  <c r="Q48" i="27"/>
  <c r="S47" i="27"/>
  <c r="O47" i="27"/>
  <c r="P47" i="27" s="1"/>
  <c r="R47" i="27" s="1"/>
  <c r="N44" i="26"/>
  <c r="L43" i="26"/>
  <c r="S45" i="26"/>
  <c r="R45" i="26"/>
  <c r="Q45" i="26"/>
  <c r="N46" i="25"/>
  <c r="O46" i="25" s="1"/>
  <c r="P46" i="25" s="1"/>
  <c r="L45" i="25"/>
  <c r="S47" i="25"/>
  <c r="R47" i="25"/>
  <c r="Q47" i="25"/>
  <c r="R48" i="25"/>
  <c r="N42" i="28" l="1"/>
  <c r="O42" i="28" s="1"/>
  <c r="P42" i="28" s="1"/>
  <c r="L41" i="28"/>
  <c r="S43" i="28"/>
  <c r="Q44" i="28"/>
  <c r="O43" i="28"/>
  <c r="P43" i="28" s="1"/>
  <c r="R43" i="28" s="1"/>
  <c r="Q47" i="27"/>
  <c r="N45" i="27"/>
  <c r="O45" i="27" s="1"/>
  <c r="P45" i="27" s="1"/>
  <c r="L44" i="27"/>
  <c r="R46" i="27"/>
  <c r="S46" i="27"/>
  <c r="Q46" i="27"/>
  <c r="S44" i="26"/>
  <c r="O44" i="26"/>
  <c r="P44" i="26" s="1"/>
  <c r="R44" i="26" s="1"/>
  <c r="N43" i="26"/>
  <c r="L42" i="26"/>
  <c r="N45" i="25"/>
  <c r="O45" i="25" s="1"/>
  <c r="P45" i="25" s="1"/>
  <c r="L44" i="25"/>
  <c r="R46" i="25"/>
  <c r="Q46" i="25"/>
  <c r="S46" i="25"/>
  <c r="N41" i="28" l="1"/>
  <c r="L40" i="28"/>
  <c r="Q43" i="28"/>
  <c r="R42" i="28"/>
  <c r="Q42" i="28"/>
  <c r="S42" i="28"/>
  <c r="N44" i="27"/>
  <c r="L43" i="27"/>
  <c r="Q45" i="27"/>
  <c r="R45" i="27"/>
  <c r="S45" i="27"/>
  <c r="N42" i="26"/>
  <c r="O42" i="26" s="1"/>
  <c r="P42" i="26" s="1"/>
  <c r="L41" i="26"/>
  <c r="S43" i="26"/>
  <c r="O43" i="26"/>
  <c r="P43" i="26" s="1"/>
  <c r="R43" i="26" s="1"/>
  <c r="Q44" i="26"/>
  <c r="N44" i="25"/>
  <c r="L43" i="25"/>
  <c r="S45" i="25"/>
  <c r="R45" i="25"/>
  <c r="Q45" i="25"/>
  <c r="N40" i="28" l="1"/>
  <c r="L39" i="28"/>
  <c r="S41" i="28"/>
  <c r="O41" i="28"/>
  <c r="P41" i="28" s="1"/>
  <c r="R41" i="28" s="1"/>
  <c r="N43" i="27"/>
  <c r="L42" i="27"/>
  <c r="S44" i="27"/>
  <c r="O44" i="27"/>
  <c r="P44" i="27" s="1"/>
  <c r="R44" i="27" s="1"/>
  <c r="Q43" i="26"/>
  <c r="N41" i="26"/>
  <c r="L40" i="26"/>
  <c r="S42" i="26"/>
  <c r="R42" i="26"/>
  <c r="Q42" i="26"/>
  <c r="S44" i="25"/>
  <c r="O44" i="25"/>
  <c r="P44" i="25" s="1"/>
  <c r="R44" i="25" s="1"/>
  <c r="N43" i="25"/>
  <c r="L42" i="25"/>
  <c r="Q41" i="28" l="1"/>
  <c r="N39" i="28"/>
  <c r="L38" i="28"/>
  <c r="S40" i="28"/>
  <c r="O40" i="28"/>
  <c r="P40" i="28" s="1"/>
  <c r="R40" i="28" s="1"/>
  <c r="Q44" i="27"/>
  <c r="N42" i="27"/>
  <c r="O42" i="27" s="1"/>
  <c r="P42" i="27" s="1"/>
  <c r="L41" i="27"/>
  <c r="S43" i="27"/>
  <c r="O43" i="27"/>
  <c r="P43" i="27" s="1"/>
  <c r="R43" i="27" s="1"/>
  <c r="L39" i="26"/>
  <c r="N40" i="26"/>
  <c r="S41" i="26"/>
  <c r="O41" i="26"/>
  <c r="P41" i="26" s="1"/>
  <c r="Q41" i="26" s="1"/>
  <c r="N42" i="25"/>
  <c r="L41" i="25"/>
  <c r="S43" i="25"/>
  <c r="O43" i="25"/>
  <c r="P43" i="25" s="1"/>
  <c r="R43" i="25" s="1"/>
  <c r="Q44" i="25"/>
  <c r="N38" i="28" l="1"/>
  <c r="O38" i="28" s="1"/>
  <c r="P38" i="28" s="1"/>
  <c r="L37" i="28"/>
  <c r="Q40" i="28"/>
  <c r="S39" i="28"/>
  <c r="O39" i="28"/>
  <c r="P39" i="28" s="1"/>
  <c r="R39" i="28" s="1"/>
  <c r="N41" i="27"/>
  <c r="O41" i="27" s="1"/>
  <c r="P41" i="27" s="1"/>
  <c r="L40" i="27"/>
  <c r="Q43" i="27"/>
  <c r="R42" i="27"/>
  <c r="S42" i="27"/>
  <c r="Q42" i="27"/>
  <c r="R41" i="26"/>
  <c r="S40" i="26"/>
  <c r="O40" i="26"/>
  <c r="P40" i="26" s="1"/>
  <c r="R40" i="26" s="1"/>
  <c r="N39" i="26"/>
  <c r="L38" i="26"/>
  <c r="Q43" i="25"/>
  <c r="N41" i="25"/>
  <c r="L40" i="25"/>
  <c r="S42" i="25"/>
  <c r="O42" i="25"/>
  <c r="P42" i="25" s="1"/>
  <c r="R42" i="25" s="1"/>
  <c r="Q39" i="28" l="1"/>
  <c r="N37" i="28"/>
  <c r="L36" i="28"/>
  <c r="R38" i="28"/>
  <c r="Q38" i="28"/>
  <c r="S38" i="28"/>
  <c r="N40" i="27"/>
  <c r="L39" i="27"/>
  <c r="Q41" i="27"/>
  <c r="R41" i="27"/>
  <c r="S41" i="27"/>
  <c r="N38" i="26"/>
  <c r="O38" i="26" s="1"/>
  <c r="P38" i="26" s="1"/>
  <c r="L37" i="26"/>
  <c r="S39" i="26"/>
  <c r="O39" i="26"/>
  <c r="P39" i="26" s="1"/>
  <c r="R39" i="26" s="1"/>
  <c r="Q40" i="26"/>
  <c r="Q42" i="25"/>
  <c r="N40" i="25"/>
  <c r="L39" i="25"/>
  <c r="S41" i="25"/>
  <c r="O41" i="25"/>
  <c r="P41" i="25" s="1"/>
  <c r="Q41" i="25" s="1"/>
  <c r="N36" i="28" l="1"/>
  <c r="O36" i="28" s="1"/>
  <c r="P36" i="28" s="1"/>
  <c r="L35" i="28"/>
  <c r="S37" i="28"/>
  <c r="O37" i="28"/>
  <c r="P37" i="28" s="1"/>
  <c r="R37" i="28" s="1"/>
  <c r="N39" i="27"/>
  <c r="L38" i="27"/>
  <c r="S40" i="27"/>
  <c r="O40" i="27"/>
  <c r="P40" i="27" s="1"/>
  <c r="Q40" i="27" s="1"/>
  <c r="Q39" i="26"/>
  <c r="N37" i="26"/>
  <c r="L36" i="26"/>
  <c r="S38" i="26"/>
  <c r="R38" i="26"/>
  <c r="Q38" i="26"/>
  <c r="R41" i="25"/>
  <c r="N39" i="25"/>
  <c r="L38" i="25"/>
  <c r="S40" i="25"/>
  <c r="O40" i="25"/>
  <c r="P40" i="25" s="1"/>
  <c r="Q40" i="25" s="1"/>
  <c r="Q37" i="28" l="1"/>
  <c r="N35" i="28"/>
  <c r="L34" i="28"/>
  <c r="S36" i="28"/>
  <c r="R36" i="28"/>
  <c r="Q36" i="28"/>
  <c r="N38" i="27"/>
  <c r="O38" i="27" s="1"/>
  <c r="P38" i="27" s="1"/>
  <c r="L37" i="27"/>
  <c r="S39" i="27"/>
  <c r="R40" i="27"/>
  <c r="O39" i="27"/>
  <c r="P39" i="27" s="1"/>
  <c r="R39" i="27" s="1"/>
  <c r="N36" i="26"/>
  <c r="L35" i="26"/>
  <c r="S37" i="26"/>
  <c r="O37" i="26"/>
  <c r="P37" i="26" s="1"/>
  <c r="R37" i="26" s="1"/>
  <c r="R40" i="25"/>
  <c r="N38" i="25"/>
  <c r="O38" i="25" s="1"/>
  <c r="P38" i="25" s="1"/>
  <c r="L37" i="25"/>
  <c r="S39" i="25"/>
  <c r="O39" i="25"/>
  <c r="P39" i="25" s="1"/>
  <c r="R39" i="25" s="1"/>
  <c r="N34" i="28" l="1"/>
  <c r="O34" i="28" s="1"/>
  <c r="P34" i="28" s="1"/>
  <c r="L33" i="28"/>
  <c r="S35" i="28"/>
  <c r="O35" i="28"/>
  <c r="P35" i="28" s="1"/>
  <c r="Q35" i="28" s="1"/>
  <c r="N37" i="27"/>
  <c r="O37" i="27" s="1"/>
  <c r="P37" i="27" s="1"/>
  <c r="L36" i="27"/>
  <c r="Q39" i="27"/>
  <c r="R38" i="27"/>
  <c r="S38" i="27"/>
  <c r="Q38" i="27"/>
  <c r="Q37" i="26"/>
  <c r="N35" i="26"/>
  <c r="L34" i="26"/>
  <c r="S36" i="26"/>
  <c r="O36" i="26"/>
  <c r="P36" i="26" s="1"/>
  <c r="Q36" i="26" s="1"/>
  <c r="Q39" i="25"/>
  <c r="N37" i="25"/>
  <c r="L36" i="25"/>
  <c r="S38" i="25"/>
  <c r="R38" i="25"/>
  <c r="Q38" i="25"/>
  <c r="R35" i="28" l="1"/>
  <c r="N33" i="28"/>
  <c r="O33" i="28" s="1"/>
  <c r="P33" i="28" s="1"/>
  <c r="L32" i="28"/>
  <c r="S34" i="28"/>
  <c r="Q34" i="28"/>
  <c r="R34" i="28"/>
  <c r="N36" i="27"/>
  <c r="L35" i="27"/>
  <c r="Q37" i="27"/>
  <c r="R37" i="27"/>
  <c r="S37" i="27"/>
  <c r="R36" i="26"/>
  <c r="L33" i="26"/>
  <c r="N34" i="26"/>
  <c r="O34" i="26" s="1"/>
  <c r="P34" i="26" s="1"/>
  <c r="S35" i="26"/>
  <c r="O35" i="26"/>
  <c r="P35" i="26" s="1"/>
  <c r="R35" i="26" s="1"/>
  <c r="N36" i="25"/>
  <c r="O36" i="25" s="1"/>
  <c r="P36" i="25" s="1"/>
  <c r="L35" i="25"/>
  <c r="S37" i="25"/>
  <c r="O37" i="25"/>
  <c r="P37" i="25" s="1"/>
  <c r="R37" i="25" s="1"/>
  <c r="R33" i="28" l="1"/>
  <c r="S33" i="28"/>
  <c r="Q33" i="28"/>
  <c r="N32" i="28"/>
  <c r="O32" i="28" s="1"/>
  <c r="P32" i="28" s="1"/>
  <c r="L31" i="28"/>
  <c r="N35" i="27"/>
  <c r="L34" i="27"/>
  <c r="S36" i="27"/>
  <c r="O36" i="27"/>
  <c r="P36" i="27" s="1"/>
  <c r="Q36" i="27" s="1"/>
  <c r="Q35" i="26"/>
  <c r="R34" i="26"/>
  <c r="Q34" i="26"/>
  <c r="S34" i="26"/>
  <c r="N33" i="26"/>
  <c r="O33" i="26" s="1"/>
  <c r="P33" i="26" s="1"/>
  <c r="L32" i="26"/>
  <c r="Q37" i="25"/>
  <c r="N35" i="25"/>
  <c r="L34" i="25"/>
  <c r="Q36" i="25"/>
  <c r="S36" i="25"/>
  <c r="R36" i="25"/>
  <c r="N31" i="28" l="1"/>
  <c r="O31" i="28" s="1"/>
  <c r="P31" i="28" s="1"/>
  <c r="L30" i="28"/>
  <c r="Q32" i="28"/>
  <c r="S32" i="28"/>
  <c r="R32" i="28"/>
  <c r="R36" i="27"/>
  <c r="N34" i="27"/>
  <c r="L33" i="27"/>
  <c r="S35" i="27"/>
  <c r="O35" i="27"/>
  <c r="P35" i="27" s="1"/>
  <c r="R35" i="27" s="1"/>
  <c r="N32" i="26"/>
  <c r="L31" i="26"/>
  <c r="S33" i="26"/>
  <c r="R33" i="26"/>
  <c r="Q33" i="26"/>
  <c r="N34" i="25"/>
  <c r="L33" i="25"/>
  <c r="S35" i="25"/>
  <c r="O35" i="25"/>
  <c r="P35" i="25" s="1"/>
  <c r="Q35" i="25" s="1"/>
  <c r="N30" i="28" l="1"/>
  <c r="O30" i="28" s="1"/>
  <c r="P30" i="28" s="1"/>
  <c r="L29" i="28"/>
  <c r="R31" i="28"/>
  <c r="S31" i="28"/>
  <c r="Q31" i="28"/>
  <c r="Q35" i="27"/>
  <c r="S34" i="27"/>
  <c r="O34" i="27"/>
  <c r="P34" i="27" s="1"/>
  <c r="R34" i="27" s="1"/>
  <c r="N33" i="27"/>
  <c r="L32" i="27"/>
  <c r="S32" i="26"/>
  <c r="N31" i="26"/>
  <c r="L30" i="26"/>
  <c r="O32" i="26"/>
  <c r="P32" i="26" s="1"/>
  <c r="Q32" i="26" s="1"/>
  <c r="N33" i="25"/>
  <c r="O33" i="25" s="1"/>
  <c r="P33" i="25" s="1"/>
  <c r="L32" i="25"/>
  <c r="S34" i="25"/>
  <c r="R35" i="25"/>
  <c r="O34" i="25"/>
  <c r="P34" i="25" s="1"/>
  <c r="R34" i="25" s="1"/>
  <c r="N29" i="28" l="1"/>
  <c r="L28" i="28"/>
  <c r="Q30" i="28"/>
  <c r="S30" i="28"/>
  <c r="R30" i="28"/>
  <c r="N32" i="27"/>
  <c r="O32" i="27" s="1"/>
  <c r="P32" i="27" s="1"/>
  <c r="L31" i="27"/>
  <c r="Q34" i="27"/>
  <c r="S33" i="27"/>
  <c r="O33" i="27"/>
  <c r="P33" i="27" s="1"/>
  <c r="R33" i="27" s="1"/>
  <c r="N30" i="26"/>
  <c r="L29" i="26"/>
  <c r="S31" i="26"/>
  <c r="R32" i="26"/>
  <c r="O31" i="26"/>
  <c r="P31" i="26" s="1"/>
  <c r="R31" i="26" s="1"/>
  <c r="Q34" i="25"/>
  <c r="N32" i="25"/>
  <c r="L31" i="25"/>
  <c r="S33" i="25"/>
  <c r="R33" i="25"/>
  <c r="Q33" i="25"/>
  <c r="N28" i="28" l="1"/>
  <c r="L27" i="28"/>
  <c r="S29" i="28"/>
  <c r="O29" i="28"/>
  <c r="P29" i="28" s="1"/>
  <c r="R29" i="28" s="1"/>
  <c r="Q33" i="27"/>
  <c r="N31" i="27"/>
  <c r="L30" i="27"/>
  <c r="R32" i="27"/>
  <c r="Q32" i="27"/>
  <c r="S32" i="27"/>
  <c r="S30" i="26"/>
  <c r="Q31" i="26"/>
  <c r="O30" i="26"/>
  <c r="P30" i="26" s="1"/>
  <c r="Q30" i="26" s="1"/>
  <c r="N29" i="26"/>
  <c r="O29" i="26" s="1"/>
  <c r="P29" i="26" s="1"/>
  <c r="L28" i="26"/>
  <c r="S32" i="25"/>
  <c r="N31" i="25"/>
  <c r="L30" i="25"/>
  <c r="O32" i="25"/>
  <c r="P32" i="25" s="1"/>
  <c r="R32" i="25" s="1"/>
  <c r="Q29" i="28" l="1"/>
  <c r="N27" i="28"/>
  <c r="O27" i="28" s="1"/>
  <c r="P27" i="28" s="1"/>
  <c r="L26" i="28"/>
  <c r="S28" i="28"/>
  <c r="O28" i="28"/>
  <c r="P28" i="28" s="1"/>
  <c r="R28" i="28" s="1"/>
  <c r="N30" i="27"/>
  <c r="L29" i="27"/>
  <c r="S31" i="27"/>
  <c r="O31" i="27"/>
  <c r="P31" i="27" s="1"/>
  <c r="R31" i="27" s="1"/>
  <c r="L27" i="26"/>
  <c r="N28" i="26"/>
  <c r="Q29" i="26"/>
  <c r="R29" i="26"/>
  <c r="S29" i="26"/>
  <c r="R30" i="26"/>
  <c r="S31" i="25"/>
  <c r="N30" i="25"/>
  <c r="L29" i="25"/>
  <c r="O31" i="25"/>
  <c r="P31" i="25" s="1"/>
  <c r="R31" i="25" s="1"/>
  <c r="Q32" i="25"/>
  <c r="Q28" i="28" l="1"/>
  <c r="N26" i="28"/>
  <c r="L25" i="28"/>
  <c r="R27" i="28"/>
  <c r="S27" i="28"/>
  <c r="Q27" i="28"/>
  <c r="Q31" i="27"/>
  <c r="N29" i="27"/>
  <c r="L28" i="27"/>
  <c r="S30" i="27"/>
  <c r="O30" i="27"/>
  <c r="P30" i="27" s="1"/>
  <c r="R30" i="27" s="1"/>
  <c r="N27" i="26"/>
  <c r="L26" i="26"/>
  <c r="S28" i="26"/>
  <c r="O28" i="26"/>
  <c r="P28" i="26" s="1"/>
  <c r="R28" i="26" s="1"/>
  <c r="S30" i="25"/>
  <c r="O30" i="25"/>
  <c r="P30" i="25" s="1"/>
  <c r="R30" i="25" s="1"/>
  <c r="N29" i="25"/>
  <c r="L28" i="25"/>
  <c r="Q31" i="25"/>
  <c r="N25" i="28" l="1"/>
  <c r="L24" i="28"/>
  <c r="S26" i="28"/>
  <c r="O26" i="28"/>
  <c r="P26" i="28" s="1"/>
  <c r="R26" i="28" s="1"/>
  <c r="N28" i="27"/>
  <c r="O28" i="27" s="1"/>
  <c r="P28" i="27" s="1"/>
  <c r="L27" i="27"/>
  <c r="Q30" i="27"/>
  <c r="S29" i="27"/>
  <c r="O29" i="27"/>
  <c r="P29" i="27" s="1"/>
  <c r="R29" i="27" s="1"/>
  <c r="Q28" i="26"/>
  <c r="N26" i="26"/>
  <c r="O26" i="26" s="1"/>
  <c r="P26" i="26" s="1"/>
  <c r="L25" i="26"/>
  <c r="S27" i="26"/>
  <c r="O27" i="26"/>
  <c r="P27" i="26" s="1"/>
  <c r="R27" i="26" s="1"/>
  <c r="N28" i="25"/>
  <c r="L27" i="25"/>
  <c r="S29" i="25"/>
  <c r="O29" i="25"/>
  <c r="P29" i="25" s="1"/>
  <c r="Q29" i="25" s="1"/>
  <c r="Q30" i="25"/>
  <c r="Q26" i="28" l="1"/>
  <c r="N24" i="28"/>
  <c r="L23" i="28"/>
  <c r="S25" i="28"/>
  <c r="O25" i="28"/>
  <c r="P25" i="28" s="1"/>
  <c r="R25" i="28" s="1"/>
  <c r="Q29" i="27"/>
  <c r="N27" i="27"/>
  <c r="L26" i="27"/>
  <c r="R28" i="27"/>
  <c r="Q28" i="27"/>
  <c r="S28" i="27"/>
  <c r="Q27" i="26"/>
  <c r="N25" i="26"/>
  <c r="L24" i="26"/>
  <c r="S26" i="26"/>
  <c r="R26" i="26"/>
  <c r="Q26" i="26"/>
  <c r="R29" i="25"/>
  <c r="N27" i="25"/>
  <c r="O27" i="25" s="1"/>
  <c r="P27" i="25" s="1"/>
  <c r="L26" i="25"/>
  <c r="S28" i="25"/>
  <c r="O28" i="25"/>
  <c r="P28" i="25" s="1"/>
  <c r="Q28" i="25" s="1"/>
  <c r="N23" i="28" l="1"/>
  <c r="O23" i="28" s="1"/>
  <c r="P23" i="28" s="1"/>
  <c r="L22" i="28"/>
  <c r="Q25" i="28"/>
  <c r="S24" i="28"/>
  <c r="O24" i="28"/>
  <c r="P24" i="28" s="1"/>
  <c r="R24" i="28" s="1"/>
  <c r="N26" i="27"/>
  <c r="L25" i="27"/>
  <c r="S27" i="27"/>
  <c r="O27" i="27"/>
  <c r="P27" i="27" s="1"/>
  <c r="R27" i="27" s="1"/>
  <c r="N24" i="26"/>
  <c r="L23" i="26"/>
  <c r="S25" i="26"/>
  <c r="O25" i="26"/>
  <c r="P25" i="26" s="1"/>
  <c r="R25" i="26" s="1"/>
  <c r="R28" i="25"/>
  <c r="N26" i="25"/>
  <c r="O26" i="25" s="1"/>
  <c r="P26" i="25" s="1"/>
  <c r="L25" i="25"/>
  <c r="S27" i="25"/>
  <c r="R27" i="25"/>
  <c r="Q27" i="25"/>
  <c r="Q24" i="28" l="1"/>
  <c r="N22" i="28"/>
  <c r="L21" i="28"/>
  <c r="R23" i="28"/>
  <c r="Q23" i="28"/>
  <c r="S23" i="28"/>
  <c r="Q27" i="27"/>
  <c r="N25" i="27"/>
  <c r="L24" i="27"/>
  <c r="S26" i="27"/>
  <c r="O26" i="27"/>
  <c r="P26" i="27" s="1"/>
  <c r="R26" i="27" s="1"/>
  <c r="Q25" i="26"/>
  <c r="N23" i="26"/>
  <c r="L22" i="26"/>
  <c r="S24" i="26"/>
  <c r="O24" i="26"/>
  <c r="P24" i="26" s="1"/>
  <c r="Q24" i="26" s="1"/>
  <c r="N25" i="25"/>
  <c r="L24" i="25"/>
  <c r="S26" i="25"/>
  <c r="R26" i="25"/>
  <c r="Q26" i="25"/>
  <c r="N21" i="28" l="1"/>
  <c r="L20" i="28"/>
  <c r="S22" i="28"/>
  <c r="O22" i="28"/>
  <c r="P22" i="28" s="1"/>
  <c r="R22" i="28" s="1"/>
  <c r="N24" i="27"/>
  <c r="O24" i="27" s="1"/>
  <c r="P24" i="27" s="1"/>
  <c r="L23" i="27"/>
  <c r="S25" i="27"/>
  <c r="Q26" i="27"/>
  <c r="O25" i="27"/>
  <c r="P25" i="27" s="1"/>
  <c r="R25" i="27" s="1"/>
  <c r="R24" i="26"/>
  <c r="S23" i="26"/>
  <c r="L21" i="26"/>
  <c r="N22" i="26"/>
  <c r="O22" i="26" s="1"/>
  <c r="P22" i="26" s="1"/>
  <c r="O23" i="26"/>
  <c r="P23" i="26" s="1"/>
  <c r="R23" i="26" s="1"/>
  <c r="S25" i="25"/>
  <c r="N24" i="25"/>
  <c r="L23" i="25"/>
  <c r="O25" i="25"/>
  <c r="P25" i="25" s="1"/>
  <c r="R25" i="25" s="1"/>
  <c r="Q22" i="28" l="1"/>
  <c r="N20" i="28"/>
  <c r="L19" i="28"/>
  <c r="S21" i="28"/>
  <c r="O21" i="28"/>
  <c r="P21" i="28" s="1"/>
  <c r="R21" i="28" s="1"/>
  <c r="N23" i="27"/>
  <c r="L22" i="27"/>
  <c r="Q25" i="27"/>
  <c r="R24" i="27"/>
  <c r="Q24" i="27"/>
  <c r="S24" i="27"/>
  <c r="R22" i="26"/>
  <c r="Q22" i="26"/>
  <c r="S22" i="26"/>
  <c r="N21" i="26"/>
  <c r="O21" i="26" s="1"/>
  <c r="P21" i="26" s="1"/>
  <c r="L20" i="26"/>
  <c r="Q23" i="26"/>
  <c r="S24" i="25"/>
  <c r="Q25" i="25"/>
  <c r="N23" i="25"/>
  <c r="O23" i="25" s="1"/>
  <c r="P23" i="25" s="1"/>
  <c r="L22" i="25"/>
  <c r="O24" i="25"/>
  <c r="P24" i="25" s="1"/>
  <c r="R24" i="25" s="1"/>
  <c r="N19" i="28" l="1"/>
  <c r="O19" i="28" s="1"/>
  <c r="P19" i="28" s="1"/>
  <c r="L18" i="28"/>
  <c r="Q21" i="28"/>
  <c r="S20" i="28"/>
  <c r="O20" i="28"/>
  <c r="P20" i="28" s="1"/>
  <c r="R20" i="28" s="1"/>
  <c r="N22" i="27"/>
  <c r="L21" i="27"/>
  <c r="S23" i="27"/>
  <c r="O23" i="27"/>
  <c r="P23" i="27" s="1"/>
  <c r="R23" i="27" s="1"/>
  <c r="N20" i="26"/>
  <c r="L19" i="26"/>
  <c r="S21" i="26"/>
  <c r="R21" i="26"/>
  <c r="Q21" i="26"/>
  <c r="N22" i="25"/>
  <c r="O22" i="25" s="1"/>
  <c r="P22" i="25" s="1"/>
  <c r="L21" i="25"/>
  <c r="S23" i="25"/>
  <c r="R23" i="25"/>
  <c r="Q23" i="25"/>
  <c r="Q24" i="25"/>
  <c r="Q20" i="28" l="1"/>
  <c r="N18" i="28"/>
  <c r="L17" i="28"/>
  <c r="R19" i="28"/>
  <c r="Q19" i="28"/>
  <c r="S19" i="28"/>
  <c r="Q23" i="27"/>
  <c r="N21" i="27"/>
  <c r="L20" i="27"/>
  <c r="S22" i="27"/>
  <c r="O22" i="27"/>
  <c r="P22" i="27" s="1"/>
  <c r="R22" i="27" s="1"/>
  <c r="S20" i="26"/>
  <c r="N19" i="26"/>
  <c r="L18" i="26"/>
  <c r="O20" i="26"/>
  <c r="P20" i="26" s="1"/>
  <c r="Q20" i="26" s="1"/>
  <c r="N21" i="25"/>
  <c r="L20" i="25"/>
  <c r="R22" i="25"/>
  <c r="Q22" i="25"/>
  <c r="S22" i="25"/>
  <c r="N17" i="28" l="1"/>
  <c r="L16" i="28"/>
  <c r="S18" i="28"/>
  <c r="O18" i="28"/>
  <c r="P18" i="28" s="1"/>
  <c r="R18" i="28" s="1"/>
  <c r="N20" i="27"/>
  <c r="O20" i="27" s="1"/>
  <c r="P20" i="27" s="1"/>
  <c r="L19" i="27"/>
  <c r="Q22" i="27"/>
  <c r="S21" i="27"/>
  <c r="O21" i="27"/>
  <c r="P21" i="27" s="1"/>
  <c r="R21" i="27" s="1"/>
  <c r="N18" i="26"/>
  <c r="O18" i="26" s="1"/>
  <c r="P18" i="26" s="1"/>
  <c r="L17" i="26"/>
  <c r="S19" i="26"/>
  <c r="R20" i="26"/>
  <c r="O19" i="26"/>
  <c r="P19" i="26" s="1"/>
  <c r="R19" i="26" s="1"/>
  <c r="S21" i="25"/>
  <c r="N20" i="25"/>
  <c r="L19" i="25"/>
  <c r="O21" i="25"/>
  <c r="P21" i="25" s="1"/>
  <c r="R21" i="25" s="1"/>
  <c r="Q18" i="28" l="1"/>
  <c r="N16" i="28"/>
  <c r="L15" i="28"/>
  <c r="S17" i="28"/>
  <c r="O17" i="28"/>
  <c r="P17" i="28" s="1"/>
  <c r="R17" i="28" s="1"/>
  <c r="Q21" i="27"/>
  <c r="N19" i="27"/>
  <c r="L18" i="27"/>
  <c r="R20" i="27"/>
  <c r="Q20" i="27"/>
  <c r="S20" i="27"/>
  <c r="Q19" i="26"/>
  <c r="N17" i="26"/>
  <c r="L16" i="26"/>
  <c r="S18" i="26"/>
  <c r="R18" i="26"/>
  <c r="Q18" i="26"/>
  <c r="S20" i="25"/>
  <c r="Q21" i="25"/>
  <c r="N19" i="25"/>
  <c r="O19" i="25" s="1"/>
  <c r="P19" i="25" s="1"/>
  <c r="L18" i="25"/>
  <c r="O20" i="25"/>
  <c r="P20" i="25" s="1"/>
  <c r="R20" i="25" s="1"/>
  <c r="N15" i="28" l="1"/>
  <c r="O15" i="28" s="1"/>
  <c r="P15" i="28" s="1"/>
  <c r="L14" i="28"/>
  <c r="Q17" i="28"/>
  <c r="S16" i="28"/>
  <c r="O16" i="28"/>
  <c r="P16" i="28" s="1"/>
  <c r="R16" i="28" s="1"/>
  <c r="N18" i="27"/>
  <c r="O18" i="27" s="1"/>
  <c r="P18" i="27" s="1"/>
  <c r="L17" i="27"/>
  <c r="S19" i="27"/>
  <c r="O19" i="27"/>
  <c r="P19" i="27" s="1"/>
  <c r="R19" i="27" s="1"/>
  <c r="S17" i="26"/>
  <c r="O17" i="26"/>
  <c r="P17" i="26" s="1"/>
  <c r="Q17" i="26" s="1"/>
  <c r="L15" i="26"/>
  <c r="N16" i="26"/>
  <c r="S19" i="25"/>
  <c r="R19" i="25"/>
  <c r="Q19" i="25"/>
  <c r="Q20" i="25"/>
  <c r="N18" i="25"/>
  <c r="L17" i="25"/>
  <c r="Q16" i="28" l="1"/>
  <c r="N14" i="28"/>
  <c r="L13" i="28"/>
  <c r="R15" i="28"/>
  <c r="Q15" i="28"/>
  <c r="S15" i="28"/>
  <c r="Q19" i="27"/>
  <c r="N17" i="27"/>
  <c r="L16" i="27"/>
  <c r="S18" i="27"/>
  <c r="R18" i="27"/>
  <c r="Q18" i="27"/>
  <c r="S16" i="26"/>
  <c r="O16" i="26"/>
  <c r="P16" i="26" s="1"/>
  <c r="R16" i="26" s="1"/>
  <c r="N15" i="26"/>
  <c r="L14" i="26"/>
  <c r="R17" i="26"/>
  <c r="N17" i="25"/>
  <c r="L16" i="25"/>
  <c r="S18" i="25"/>
  <c r="O18" i="25"/>
  <c r="P18" i="25" s="1"/>
  <c r="R18" i="25" s="1"/>
  <c r="N13" i="28" l="1"/>
  <c r="L12" i="28"/>
  <c r="S14" i="28"/>
  <c r="O14" i="28"/>
  <c r="P14" i="28" s="1"/>
  <c r="R14" i="28" s="1"/>
  <c r="N16" i="27"/>
  <c r="O16" i="27" s="1"/>
  <c r="P16" i="27" s="1"/>
  <c r="L15" i="27"/>
  <c r="S17" i="27"/>
  <c r="O17" i="27"/>
  <c r="P17" i="27" s="1"/>
  <c r="R17" i="27" s="1"/>
  <c r="S15" i="26"/>
  <c r="N14" i="26"/>
  <c r="O14" i="26" s="1"/>
  <c r="P14" i="26" s="1"/>
  <c r="L13" i="26"/>
  <c r="O15" i="26"/>
  <c r="P15" i="26" s="1"/>
  <c r="R15" i="26" s="1"/>
  <c r="Q16" i="26"/>
  <c r="Q18" i="25"/>
  <c r="N16" i="25"/>
  <c r="L15" i="25"/>
  <c r="S17" i="25"/>
  <c r="O17" i="25"/>
  <c r="P17" i="25" s="1"/>
  <c r="Q17" i="25" s="1"/>
  <c r="Q14" i="28" l="1"/>
  <c r="N12" i="28"/>
  <c r="L11" i="28"/>
  <c r="S13" i="28"/>
  <c r="O13" i="28"/>
  <c r="P13" i="28" s="1"/>
  <c r="R13" i="28" s="1"/>
  <c r="N15" i="27"/>
  <c r="L14" i="27"/>
  <c r="Q17" i="27"/>
  <c r="R16" i="27"/>
  <c r="Q16" i="27"/>
  <c r="S16" i="27"/>
  <c r="N13" i="26"/>
  <c r="L12" i="26"/>
  <c r="Q15" i="26"/>
  <c r="S14" i="26"/>
  <c r="R14" i="26"/>
  <c r="Q14" i="26"/>
  <c r="R17" i="25"/>
  <c r="N15" i="25"/>
  <c r="O15" i="25" s="1"/>
  <c r="P15" i="25" s="1"/>
  <c r="L14" i="25"/>
  <c r="S16" i="25"/>
  <c r="O16" i="25"/>
  <c r="P16" i="25" s="1"/>
  <c r="Q16" i="25" s="1"/>
  <c r="N11" i="28" l="1"/>
  <c r="O11" i="28" s="1"/>
  <c r="P11" i="28" s="1"/>
  <c r="L10" i="28"/>
  <c r="Q13" i="28"/>
  <c r="S12" i="28"/>
  <c r="O12" i="28"/>
  <c r="P12" i="28" s="1"/>
  <c r="R12" i="28" s="1"/>
  <c r="N14" i="27"/>
  <c r="L13" i="27"/>
  <c r="S15" i="27"/>
  <c r="O15" i="27"/>
  <c r="P15" i="27" s="1"/>
  <c r="R15" i="27" s="1"/>
  <c r="N12" i="26"/>
  <c r="L11" i="26"/>
  <c r="S13" i="26"/>
  <c r="O13" i="26"/>
  <c r="P13" i="26" s="1"/>
  <c r="R13" i="26" s="1"/>
  <c r="R16" i="25"/>
  <c r="N14" i="25"/>
  <c r="O14" i="25" s="1"/>
  <c r="P14" i="25" s="1"/>
  <c r="L13" i="25"/>
  <c r="S15" i="25"/>
  <c r="R15" i="25"/>
  <c r="Q15" i="25"/>
  <c r="Q12" i="28" l="1"/>
  <c r="N10" i="28"/>
  <c r="L9" i="28"/>
  <c r="R11" i="28"/>
  <c r="Q11" i="28"/>
  <c r="S11" i="28"/>
  <c r="Q15" i="27"/>
  <c r="N13" i="27"/>
  <c r="L12" i="27"/>
  <c r="S14" i="27"/>
  <c r="O14" i="27"/>
  <c r="P14" i="27" s="1"/>
  <c r="R14" i="27" s="1"/>
  <c r="Q13" i="26"/>
  <c r="N11" i="26"/>
  <c r="L10" i="26"/>
  <c r="S12" i="26"/>
  <c r="O12" i="26"/>
  <c r="P12" i="26" s="1"/>
  <c r="Q12" i="26" s="1"/>
  <c r="N13" i="25"/>
  <c r="L12" i="25"/>
  <c r="S14" i="25"/>
  <c r="R14" i="25"/>
  <c r="Q14" i="25"/>
  <c r="N9" i="28" l="1"/>
  <c r="O9" i="28" s="1"/>
  <c r="P9" i="28" s="1"/>
  <c r="L8" i="28"/>
  <c r="S10" i="28"/>
  <c r="O10" i="28"/>
  <c r="P10" i="28" s="1"/>
  <c r="R10" i="28" s="1"/>
  <c r="N12" i="27"/>
  <c r="O12" i="27" s="1"/>
  <c r="P12" i="27" s="1"/>
  <c r="L11" i="27"/>
  <c r="Q14" i="27"/>
  <c r="S13" i="27"/>
  <c r="O13" i="27"/>
  <c r="P13" i="27" s="1"/>
  <c r="R13" i="27" s="1"/>
  <c r="R12" i="26"/>
  <c r="L9" i="26"/>
  <c r="N10" i="26"/>
  <c r="S11" i="26"/>
  <c r="O11" i="26"/>
  <c r="P11" i="26" s="1"/>
  <c r="Q11" i="26" s="1"/>
  <c r="N12" i="25"/>
  <c r="L11" i="25"/>
  <c r="S13" i="25"/>
  <c r="O13" i="25"/>
  <c r="P13" i="25" s="1"/>
  <c r="Q13" i="25" s="1"/>
  <c r="Q10" i="28" l="1"/>
  <c r="N8" i="28"/>
  <c r="L7" i="28"/>
  <c r="R9" i="28"/>
  <c r="S9" i="28"/>
  <c r="Q9" i="28"/>
  <c r="Q13" i="27"/>
  <c r="N11" i="27"/>
  <c r="L10" i="27"/>
  <c r="R12" i="27"/>
  <c r="Q12" i="27"/>
  <c r="S12" i="27"/>
  <c r="R11" i="26"/>
  <c r="S10" i="26"/>
  <c r="O10" i="26"/>
  <c r="P10" i="26" s="1"/>
  <c r="R10" i="26" s="1"/>
  <c r="N9" i="26"/>
  <c r="L8" i="26"/>
  <c r="R13" i="25"/>
  <c r="N11" i="25"/>
  <c r="L10" i="25"/>
  <c r="S12" i="25"/>
  <c r="O12" i="25"/>
  <c r="P12" i="25" s="1"/>
  <c r="Q12" i="25" s="1"/>
  <c r="N7" i="28" l="1"/>
  <c r="O7" i="28" s="1"/>
  <c r="P7" i="28" s="1"/>
  <c r="L6" i="28"/>
  <c r="S8" i="28"/>
  <c r="O8" i="28"/>
  <c r="P8" i="28" s="1"/>
  <c r="Q8" i="28" s="1"/>
  <c r="N10" i="27"/>
  <c r="L9" i="27"/>
  <c r="S11" i="27"/>
  <c r="O11" i="27"/>
  <c r="P11" i="27" s="1"/>
  <c r="R11" i="27" s="1"/>
  <c r="N8" i="26"/>
  <c r="L7" i="26"/>
  <c r="Q10" i="26"/>
  <c r="S9" i="26"/>
  <c r="O9" i="26"/>
  <c r="P9" i="26" s="1"/>
  <c r="Q9" i="26" s="1"/>
  <c r="R12" i="25"/>
  <c r="S11" i="25"/>
  <c r="O11" i="25"/>
  <c r="P11" i="25" s="1"/>
  <c r="R11" i="25" s="1"/>
  <c r="N10" i="25"/>
  <c r="O10" i="25" s="1"/>
  <c r="P10" i="25" s="1"/>
  <c r="L9" i="25"/>
  <c r="R8" i="28" l="1"/>
  <c r="N6" i="28"/>
  <c r="L5" i="28"/>
  <c r="R7" i="28"/>
  <c r="S7" i="28"/>
  <c r="Q7" i="28"/>
  <c r="Q11" i="27"/>
  <c r="N9" i="27"/>
  <c r="L8" i="27"/>
  <c r="S10" i="27"/>
  <c r="O10" i="27"/>
  <c r="P10" i="27" s="1"/>
  <c r="R10" i="27" s="1"/>
  <c r="R9" i="26"/>
  <c r="N7" i="26"/>
  <c r="L6" i="26"/>
  <c r="S8" i="26"/>
  <c r="O8" i="26"/>
  <c r="P8" i="26" s="1"/>
  <c r="Q8" i="26" s="1"/>
  <c r="N9" i="25"/>
  <c r="L8" i="25"/>
  <c r="Q11" i="25"/>
  <c r="R10" i="25"/>
  <c r="Q10" i="25"/>
  <c r="S10" i="25"/>
  <c r="S6" i="28" l="1"/>
  <c r="O6" i="28"/>
  <c r="P6" i="28" s="1"/>
  <c r="Q6" i="28" s="1"/>
  <c r="N5" i="28"/>
  <c r="O5" i="28" s="1"/>
  <c r="P5" i="28" s="1"/>
  <c r="L4" i="28"/>
  <c r="N8" i="27"/>
  <c r="O8" i="27" s="1"/>
  <c r="P8" i="27" s="1"/>
  <c r="L7" i="27"/>
  <c r="Q10" i="27"/>
  <c r="S9" i="27"/>
  <c r="O9" i="27"/>
  <c r="P9" i="27" s="1"/>
  <c r="R9" i="27" s="1"/>
  <c r="R8" i="26"/>
  <c r="S7" i="26"/>
  <c r="O7" i="26"/>
  <c r="P7" i="26" s="1"/>
  <c r="Q7" i="26" s="1"/>
  <c r="N6" i="26"/>
  <c r="O6" i="26" s="1"/>
  <c r="P6" i="26" s="1"/>
  <c r="L5" i="26"/>
  <c r="N8" i="25"/>
  <c r="L7" i="25"/>
  <c r="S9" i="25"/>
  <c r="O9" i="25"/>
  <c r="P9" i="25" s="1"/>
  <c r="R9" i="25" s="1"/>
  <c r="N4" i="28" l="1"/>
  <c r="L3" i="28"/>
  <c r="R6" i="28"/>
  <c r="R5" i="28"/>
  <c r="S5" i="28"/>
  <c r="Q5" i="28"/>
  <c r="Q9" i="27"/>
  <c r="N7" i="27"/>
  <c r="L6" i="27"/>
  <c r="R8" i="27"/>
  <c r="Q8" i="27"/>
  <c r="S8" i="27"/>
  <c r="N5" i="26"/>
  <c r="L4" i="26"/>
  <c r="R7" i="26"/>
  <c r="S6" i="26"/>
  <c r="R6" i="26"/>
  <c r="Q6" i="26"/>
  <c r="Q9" i="25"/>
  <c r="N7" i="25"/>
  <c r="L6" i="25"/>
  <c r="S8" i="25"/>
  <c r="O8" i="25"/>
  <c r="P8" i="25" s="1"/>
  <c r="R8" i="25" s="1"/>
  <c r="N3" i="28" l="1"/>
  <c r="S4" i="28"/>
  <c r="O4" i="28"/>
  <c r="P4" i="28" s="1"/>
  <c r="R4" i="28" s="1"/>
  <c r="N6" i="27"/>
  <c r="L5" i="27"/>
  <c r="S7" i="27"/>
  <c r="O7" i="27"/>
  <c r="P7" i="27" s="1"/>
  <c r="R7" i="27" s="1"/>
  <c r="L3" i="26"/>
  <c r="N4" i="26"/>
  <c r="S5" i="26"/>
  <c r="O5" i="26"/>
  <c r="P5" i="26" s="1"/>
  <c r="Q5" i="26" s="1"/>
  <c r="Q8" i="25"/>
  <c r="N6" i="25"/>
  <c r="L5" i="25"/>
  <c r="S7" i="25"/>
  <c r="O7" i="25"/>
  <c r="P7" i="25" s="1"/>
  <c r="Q7" i="25" s="1"/>
  <c r="S3" i="28" l="1"/>
  <c r="Q4" i="28"/>
  <c r="O3" i="28"/>
  <c r="P3" i="28" s="1"/>
  <c r="R3" i="28" s="1"/>
  <c r="Q7" i="27"/>
  <c r="N5" i="27"/>
  <c r="L4" i="27"/>
  <c r="S6" i="27"/>
  <c r="O6" i="27"/>
  <c r="P6" i="27" s="1"/>
  <c r="R6" i="27" s="1"/>
  <c r="R5" i="26"/>
  <c r="S4" i="26"/>
  <c r="O4" i="26"/>
  <c r="P4" i="26" s="1"/>
  <c r="R4" i="26" s="1"/>
  <c r="N3" i="26"/>
  <c r="R7" i="25"/>
  <c r="N5" i="25"/>
  <c r="L4" i="25"/>
  <c r="S6" i="25"/>
  <c r="O6" i="25"/>
  <c r="P6" i="25" s="1"/>
  <c r="Q6" i="25" s="1"/>
  <c r="Q3" i="28" l="1"/>
  <c r="N4" i="27"/>
  <c r="O4" i="27" s="1"/>
  <c r="P4" i="27" s="1"/>
  <c r="L3" i="27"/>
  <c r="Q6" i="27"/>
  <c r="S5" i="27"/>
  <c r="O5" i="27"/>
  <c r="P5" i="27" s="1"/>
  <c r="R5" i="27" s="1"/>
  <c r="Q4" i="26"/>
  <c r="S3" i="26"/>
  <c r="O3" i="26"/>
  <c r="P3" i="26" s="1"/>
  <c r="R3" i="26" s="1"/>
  <c r="R6" i="25"/>
  <c r="S5" i="25"/>
  <c r="O5" i="25"/>
  <c r="P5" i="25" s="1"/>
  <c r="R5" i="25" s="1"/>
  <c r="N4" i="25"/>
  <c r="O4" i="25" s="1"/>
  <c r="P4" i="25" s="1"/>
  <c r="L3" i="25"/>
  <c r="N3" i="27" l="1"/>
  <c r="Q5" i="27"/>
  <c r="R4" i="27"/>
  <c r="Q4" i="27"/>
  <c r="S4" i="27"/>
  <c r="Q3" i="26"/>
  <c r="S4" i="25"/>
  <c r="R4" i="25"/>
  <c r="Q4" i="25"/>
  <c r="Q5" i="25"/>
  <c r="N3" i="25"/>
  <c r="S3" i="27" l="1"/>
  <c r="O3" i="27"/>
  <c r="P3" i="27" s="1"/>
  <c r="Q3" i="27" s="1"/>
  <c r="S3" i="25"/>
  <c r="O3" i="25"/>
  <c r="P3" i="25" s="1"/>
  <c r="R3" i="25" s="1"/>
  <c r="R3" i="27" l="1"/>
  <c r="Q3" i="25"/>
  <c r="M10" i="23" l="1"/>
  <c r="N10" i="23" s="1"/>
  <c r="M12" i="23"/>
  <c r="N12" i="23" s="1"/>
  <c r="M11" i="23"/>
  <c r="N11" i="23" s="1"/>
  <c r="M9" i="23"/>
  <c r="N9" i="23" s="1"/>
  <c r="M8" i="23"/>
  <c r="N8" i="23" s="1"/>
  <c r="M54" i="24"/>
  <c r="L54" i="24"/>
  <c r="N54" i="24" s="1"/>
  <c r="G54" i="24"/>
  <c r="I54" i="24" s="1"/>
  <c r="K54" i="24" s="1"/>
  <c r="M53" i="24" s="1"/>
  <c r="F54" i="24"/>
  <c r="H54" i="24" s="1"/>
  <c r="J54" i="24" s="1"/>
  <c r="L53" i="24" s="1"/>
  <c r="G53" i="24"/>
  <c r="I53" i="24" s="1"/>
  <c r="K53" i="24" s="1"/>
  <c r="F53" i="24"/>
  <c r="H53" i="24" s="1"/>
  <c r="J53" i="24" s="1"/>
  <c r="G52" i="24"/>
  <c r="I52" i="24" s="1"/>
  <c r="K52" i="24" s="1"/>
  <c r="F52" i="24"/>
  <c r="H52" i="24" s="1"/>
  <c r="J52" i="24" s="1"/>
  <c r="G51" i="24"/>
  <c r="I51" i="24" s="1"/>
  <c r="K51" i="24" s="1"/>
  <c r="F51" i="24"/>
  <c r="H51" i="24" s="1"/>
  <c r="J51" i="24" s="1"/>
  <c r="G50" i="24"/>
  <c r="I50" i="24" s="1"/>
  <c r="K50" i="24" s="1"/>
  <c r="F50" i="24"/>
  <c r="H50" i="24" s="1"/>
  <c r="J50" i="24" s="1"/>
  <c r="G49" i="24"/>
  <c r="I49" i="24" s="1"/>
  <c r="K49" i="24" s="1"/>
  <c r="F49" i="24"/>
  <c r="H49" i="24" s="1"/>
  <c r="J49" i="24" s="1"/>
  <c r="G48" i="24"/>
  <c r="I48" i="24" s="1"/>
  <c r="K48" i="24" s="1"/>
  <c r="F48" i="24"/>
  <c r="H48" i="24" s="1"/>
  <c r="J48" i="24" s="1"/>
  <c r="G47" i="24"/>
  <c r="I47" i="24" s="1"/>
  <c r="K47" i="24" s="1"/>
  <c r="F47" i="24"/>
  <c r="H47" i="24" s="1"/>
  <c r="J47" i="24" s="1"/>
  <c r="G46" i="24"/>
  <c r="I46" i="24" s="1"/>
  <c r="K46" i="24" s="1"/>
  <c r="F46" i="24"/>
  <c r="H46" i="24" s="1"/>
  <c r="J46" i="24" s="1"/>
  <c r="G45" i="24"/>
  <c r="I45" i="24" s="1"/>
  <c r="K45" i="24" s="1"/>
  <c r="F45" i="24"/>
  <c r="H45" i="24" s="1"/>
  <c r="J45" i="24" s="1"/>
  <c r="G44" i="24"/>
  <c r="I44" i="24" s="1"/>
  <c r="K44" i="24" s="1"/>
  <c r="F44" i="24"/>
  <c r="H44" i="24" s="1"/>
  <c r="J44" i="24" s="1"/>
  <c r="G43" i="24"/>
  <c r="I43" i="24" s="1"/>
  <c r="K43" i="24" s="1"/>
  <c r="F43" i="24"/>
  <c r="H43" i="24" s="1"/>
  <c r="J43" i="24" s="1"/>
  <c r="G42" i="24"/>
  <c r="I42" i="24" s="1"/>
  <c r="K42" i="24" s="1"/>
  <c r="F42" i="24"/>
  <c r="H42" i="24" s="1"/>
  <c r="J42" i="24" s="1"/>
  <c r="G41" i="24"/>
  <c r="I41" i="24" s="1"/>
  <c r="K41" i="24" s="1"/>
  <c r="F41" i="24"/>
  <c r="H41" i="24" s="1"/>
  <c r="J41" i="24" s="1"/>
  <c r="G40" i="24"/>
  <c r="I40" i="24" s="1"/>
  <c r="K40" i="24" s="1"/>
  <c r="F40" i="24"/>
  <c r="H40" i="24" s="1"/>
  <c r="J40" i="24" s="1"/>
  <c r="G39" i="24"/>
  <c r="I39" i="24" s="1"/>
  <c r="K39" i="24" s="1"/>
  <c r="F39" i="24"/>
  <c r="H39" i="24" s="1"/>
  <c r="J39" i="24" s="1"/>
  <c r="G38" i="24"/>
  <c r="I38" i="24" s="1"/>
  <c r="K38" i="24" s="1"/>
  <c r="F38" i="24"/>
  <c r="H38" i="24" s="1"/>
  <c r="J38" i="24" s="1"/>
  <c r="G37" i="24"/>
  <c r="I37" i="24" s="1"/>
  <c r="K37" i="24" s="1"/>
  <c r="F37" i="24"/>
  <c r="H37" i="24" s="1"/>
  <c r="J37" i="24" s="1"/>
  <c r="G36" i="24"/>
  <c r="I36" i="24" s="1"/>
  <c r="K36" i="24" s="1"/>
  <c r="F36" i="24"/>
  <c r="H36" i="24" s="1"/>
  <c r="J36" i="24" s="1"/>
  <c r="G35" i="24"/>
  <c r="I35" i="24" s="1"/>
  <c r="K35" i="24" s="1"/>
  <c r="F35" i="24"/>
  <c r="H35" i="24" s="1"/>
  <c r="J35" i="24" s="1"/>
  <c r="G34" i="24"/>
  <c r="I34" i="24" s="1"/>
  <c r="K34" i="24" s="1"/>
  <c r="F34" i="24"/>
  <c r="H34" i="24" s="1"/>
  <c r="J34" i="24" s="1"/>
  <c r="G33" i="24"/>
  <c r="I33" i="24" s="1"/>
  <c r="K33" i="24" s="1"/>
  <c r="F33" i="24"/>
  <c r="H33" i="24" s="1"/>
  <c r="J33" i="24" s="1"/>
  <c r="G32" i="24"/>
  <c r="I32" i="24" s="1"/>
  <c r="K32" i="24" s="1"/>
  <c r="F32" i="24"/>
  <c r="H32" i="24" s="1"/>
  <c r="J32" i="24" s="1"/>
  <c r="G31" i="24"/>
  <c r="I31" i="24" s="1"/>
  <c r="K31" i="24" s="1"/>
  <c r="F31" i="24"/>
  <c r="H31" i="24" s="1"/>
  <c r="J31" i="24" s="1"/>
  <c r="G30" i="24"/>
  <c r="I30" i="24" s="1"/>
  <c r="K30" i="24" s="1"/>
  <c r="F30" i="24"/>
  <c r="H30" i="24" s="1"/>
  <c r="J30" i="24" s="1"/>
  <c r="G29" i="24"/>
  <c r="I29" i="24" s="1"/>
  <c r="K29" i="24" s="1"/>
  <c r="F29" i="24"/>
  <c r="H29" i="24" s="1"/>
  <c r="J29" i="24" s="1"/>
  <c r="G28" i="24"/>
  <c r="I28" i="24" s="1"/>
  <c r="K28" i="24" s="1"/>
  <c r="F28" i="24"/>
  <c r="H28" i="24" s="1"/>
  <c r="J28" i="24" s="1"/>
  <c r="G27" i="24"/>
  <c r="I27" i="24" s="1"/>
  <c r="K27" i="24" s="1"/>
  <c r="F27" i="24"/>
  <c r="H27" i="24" s="1"/>
  <c r="J27" i="24" s="1"/>
  <c r="G26" i="24"/>
  <c r="I26" i="24" s="1"/>
  <c r="K26" i="24" s="1"/>
  <c r="F26" i="24"/>
  <c r="H26" i="24" s="1"/>
  <c r="J26" i="24" s="1"/>
  <c r="G25" i="24"/>
  <c r="I25" i="24" s="1"/>
  <c r="K25" i="24" s="1"/>
  <c r="F25" i="24"/>
  <c r="H25" i="24" s="1"/>
  <c r="J25" i="24" s="1"/>
  <c r="G24" i="24"/>
  <c r="I24" i="24" s="1"/>
  <c r="K24" i="24" s="1"/>
  <c r="F24" i="24"/>
  <c r="H24" i="24" s="1"/>
  <c r="J24" i="24" s="1"/>
  <c r="G23" i="24"/>
  <c r="I23" i="24" s="1"/>
  <c r="K23" i="24" s="1"/>
  <c r="F23" i="24"/>
  <c r="H23" i="24" s="1"/>
  <c r="J23" i="24" s="1"/>
  <c r="G22" i="24"/>
  <c r="I22" i="24" s="1"/>
  <c r="K22" i="24" s="1"/>
  <c r="F22" i="24"/>
  <c r="H22" i="24" s="1"/>
  <c r="J22" i="24" s="1"/>
  <c r="G21" i="24"/>
  <c r="I21" i="24" s="1"/>
  <c r="K21" i="24" s="1"/>
  <c r="F21" i="24"/>
  <c r="H21" i="24" s="1"/>
  <c r="J21" i="24" s="1"/>
  <c r="G20" i="24"/>
  <c r="I20" i="24" s="1"/>
  <c r="K20" i="24" s="1"/>
  <c r="F20" i="24"/>
  <c r="H20" i="24" s="1"/>
  <c r="J20" i="24" s="1"/>
  <c r="G19" i="24"/>
  <c r="I19" i="24" s="1"/>
  <c r="K19" i="24" s="1"/>
  <c r="F19" i="24"/>
  <c r="H19" i="24" s="1"/>
  <c r="J19" i="24" s="1"/>
  <c r="G18" i="24"/>
  <c r="I18" i="24" s="1"/>
  <c r="K18" i="24" s="1"/>
  <c r="F18" i="24"/>
  <c r="H18" i="24" s="1"/>
  <c r="J18" i="24" s="1"/>
  <c r="G17" i="24"/>
  <c r="I17" i="24" s="1"/>
  <c r="K17" i="24" s="1"/>
  <c r="F17" i="24"/>
  <c r="H17" i="24" s="1"/>
  <c r="J17" i="24" s="1"/>
  <c r="G16" i="24"/>
  <c r="I16" i="24" s="1"/>
  <c r="K16" i="24" s="1"/>
  <c r="F16" i="24"/>
  <c r="H16" i="24" s="1"/>
  <c r="J16" i="24" s="1"/>
  <c r="G15" i="24"/>
  <c r="I15" i="24" s="1"/>
  <c r="K15" i="24" s="1"/>
  <c r="F15" i="24"/>
  <c r="H15" i="24" s="1"/>
  <c r="J15" i="24" s="1"/>
  <c r="G14" i="24"/>
  <c r="I14" i="24" s="1"/>
  <c r="K14" i="24" s="1"/>
  <c r="F14" i="24"/>
  <c r="H14" i="24" s="1"/>
  <c r="J14" i="24" s="1"/>
  <c r="G13" i="24"/>
  <c r="I13" i="24" s="1"/>
  <c r="K13" i="24" s="1"/>
  <c r="F13" i="24"/>
  <c r="H13" i="24" s="1"/>
  <c r="J13" i="24" s="1"/>
  <c r="G12" i="24"/>
  <c r="I12" i="24" s="1"/>
  <c r="K12" i="24" s="1"/>
  <c r="F12" i="24"/>
  <c r="H12" i="24" s="1"/>
  <c r="J12" i="24" s="1"/>
  <c r="G11" i="24"/>
  <c r="I11" i="24" s="1"/>
  <c r="K11" i="24" s="1"/>
  <c r="F11" i="24"/>
  <c r="H11" i="24" s="1"/>
  <c r="J11" i="24" s="1"/>
  <c r="G10" i="24"/>
  <c r="I10" i="24" s="1"/>
  <c r="K10" i="24" s="1"/>
  <c r="F10" i="24"/>
  <c r="H10" i="24" s="1"/>
  <c r="J10" i="24" s="1"/>
  <c r="G9" i="24"/>
  <c r="I9" i="24" s="1"/>
  <c r="K9" i="24" s="1"/>
  <c r="F9" i="24"/>
  <c r="H9" i="24" s="1"/>
  <c r="J9" i="24" s="1"/>
  <c r="G8" i="24"/>
  <c r="I8" i="24" s="1"/>
  <c r="K8" i="24" s="1"/>
  <c r="F8" i="24"/>
  <c r="H8" i="24" s="1"/>
  <c r="J8" i="24" s="1"/>
  <c r="G7" i="24"/>
  <c r="I7" i="24" s="1"/>
  <c r="K7" i="24" s="1"/>
  <c r="F7" i="24"/>
  <c r="H7" i="24" s="1"/>
  <c r="J7" i="24" s="1"/>
  <c r="G6" i="24"/>
  <c r="I6" i="24" s="1"/>
  <c r="K6" i="24" s="1"/>
  <c r="F6" i="24"/>
  <c r="H6" i="24" s="1"/>
  <c r="J6" i="24" s="1"/>
  <c r="G5" i="24"/>
  <c r="I5" i="24" s="1"/>
  <c r="K5" i="24" s="1"/>
  <c r="F5" i="24"/>
  <c r="H5" i="24" s="1"/>
  <c r="J5" i="24" s="1"/>
  <c r="G4" i="24"/>
  <c r="I4" i="24" s="1"/>
  <c r="K4" i="24" s="1"/>
  <c r="F4" i="24"/>
  <c r="H4" i="24" s="1"/>
  <c r="J4" i="24" s="1"/>
  <c r="G3" i="24"/>
  <c r="I3" i="24" s="1"/>
  <c r="K3" i="24" s="1"/>
  <c r="F3" i="24"/>
  <c r="H3" i="24" s="1"/>
  <c r="J3" i="24" s="1"/>
  <c r="M52" i="24" l="1"/>
  <c r="L52" i="24"/>
  <c r="L51" i="24" s="1"/>
  <c r="L50" i="24" s="1"/>
  <c r="L49" i="24" s="1"/>
  <c r="L48" i="24" s="1"/>
  <c r="N53" i="24"/>
  <c r="S54" i="24"/>
  <c r="R54" i="24"/>
  <c r="Q54" i="24"/>
  <c r="M51" i="24"/>
  <c r="M50" i="24" s="1"/>
  <c r="M49" i="24" s="1"/>
  <c r="M48" i="24" s="1"/>
  <c r="M47" i="24" s="1"/>
  <c r="M46" i="24" s="1"/>
  <c r="M45" i="24" s="1"/>
  <c r="M44" i="24" s="1"/>
  <c r="M43" i="24" s="1"/>
  <c r="M42" i="24" s="1"/>
  <c r="M41" i="24" s="1"/>
  <c r="M40" i="24" s="1"/>
  <c r="M39" i="24" s="1"/>
  <c r="M38" i="24" s="1"/>
  <c r="M37" i="24" s="1"/>
  <c r="M36" i="24" s="1"/>
  <c r="M35" i="24" s="1"/>
  <c r="M34" i="24" s="1"/>
  <c r="M33" i="24" s="1"/>
  <c r="M32" i="24" s="1"/>
  <c r="M31" i="24" s="1"/>
  <c r="M30" i="24" s="1"/>
  <c r="M29" i="24" s="1"/>
  <c r="M28" i="24" s="1"/>
  <c r="M27" i="24" s="1"/>
  <c r="M26" i="24" s="1"/>
  <c r="M25" i="24" s="1"/>
  <c r="M24" i="24" s="1"/>
  <c r="M23" i="24" s="1"/>
  <c r="M22" i="24" s="1"/>
  <c r="M21" i="24" s="1"/>
  <c r="M20" i="24" s="1"/>
  <c r="M19" i="24" s="1"/>
  <c r="M18" i="24" s="1"/>
  <c r="M17" i="24" s="1"/>
  <c r="M16" i="24" s="1"/>
  <c r="M15" i="24" s="1"/>
  <c r="M14" i="24" s="1"/>
  <c r="M13" i="24" s="1"/>
  <c r="M12" i="24" s="1"/>
  <c r="M11" i="24" s="1"/>
  <c r="M10" i="24" s="1"/>
  <c r="M9" i="24" s="1"/>
  <c r="M8" i="24" s="1"/>
  <c r="M7" i="24" s="1"/>
  <c r="M6" i="24" s="1"/>
  <c r="M5" i="24" s="1"/>
  <c r="M4" i="24" s="1"/>
  <c r="M3" i="24" s="1"/>
  <c r="O53" i="24"/>
  <c r="P53" i="24" s="1"/>
  <c r="N52" i="24" l="1"/>
  <c r="O52" i="24" s="1"/>
  <c r="P52" i="24" s="1"/>
  <c r="N51" i="24"/>
  <c r="S51" i="24" s="1"/>
  <c r="N48" i="24"/>
  <c r="O48" i="24" s="1"/>
  <c r="P48" i="24" s="1"/>
  <c r="L47" i="24"/>
  <c r="N49" i="24"/>
  <c r="O49" i="24" s="1"/>
  <c r="P49" i="24" s="1"/>
  <c r="N50" i="24"/>
  <c r="O50" i="24" s="1"/>
  <c r="P50" i="24" s="1"/>
  <c r="S52" i="24"/>
  <c r="R52" i="24"/>
  <c r="Q52" i="24"/>
  <c r="Q53" i="24"/>
  <c r="S53" i="24"/>
  <c r="R53" i="24"/>
  <c r="O51" i="24" l="1"/>
  <c r="P51" i="24" s="1"/>
  <c r="R51" i="24" s="1"/>
  <c r="N47" i="24"/>
  <c r="L46" i="24"/>
  <c r="Q51" i="24"/>
  <c r="R50" i="24"/>
  <c r="Q50" i="24"/>
  <c r="S50" i="24"/>
  <c r="S48" i="24"/>
  <c r="R48" i="24"/>
  <c r="Q48" i="24"/>
  <c r="Q49" i="24"/>
  <c r="S49" i="24"/>
  <c r="R49" i="24"/>
  <c r="N46" i="24" l="1"/>
  <c r="O46" i="24" s="1"/>
  <c r="P46" i="24" s="1"/>
  <c r="L45" i="24"/>
  <c r="S47" i="24"/>
  <c r="O47" i="24"/>
  <c r="P47" i="24" s="1"/>
  <c r="R47" i="24" s="1"/>
  <c r="N45" i="24" l="1"/>
  <c r="L44" i="24"/>
  <c r="Q47" i="24"/>
  <c r="R46" i="24"/>
  <c r="Q46" i="24"/>
  <c r="S46" i="24"/>
  <c r="N44" i="24" l="1"/>
  <c r="L43" i="24"/>
  <c r="S45" i="24"/>
  <c r="O45" i="24"/>
  <c r="P45" i="24" s="1"/>
  <c r="Q45" i="24" s="1"/>
  <c r="N43" i="24" l="1"/>
  <c r="L42" i="24"/>
  <c r="S44" i="24"/>
  <c r="R45" i="24"/>
  <c r="O44" i="24"/>
  <c r="P44" i="24" s="1"/>
  <c r="R44" i="24" s="1"/>
  <c r="S43" i="24" l="1"/>
  <c r="N42" i="24"/>
  <c r="L41" i="24"/>
  <c r="Q44" i="24"/>
  <c r="O43" i="24"/>
  <c r="P43" i="24" s="1"/>
  <c r="R43" i="24" s="1"/>
  <c r="Q43" i="24" l="1"/>
  <c r="S42" i="24"/>
  <c r="N41" i="24"/>
  <c r="O41" i="24" s="1"/>
  <c r="P41" i="24" s="1"/>
  <c r="L40" i="24"/>
  <c r="O42" i="24"/>
  <c r="P42" i="24" s="1"/>
  <c r="R42" i="24" s="1"/>
  <c r="Q42" i="24" l="1"/>
  <c r="N40" i="24"/>
  <c r="L39" i="24"/>
  <c r="Q41" i="24"/>
  <c r="S41" i="24"/>
  <c r="R41" i="24"/>
  <c r="S40" i="24" l="1"/>
  <c r="N39" i="24"/>
  <c r="O39" i="24" s="1"/>
  <c r="P39" i="24" s="1"/>
  <c r="L38" i="24"/>
  <c r="O40" i="24"/>
  <c r="P40" i="24" s="1"/>
  <c r="R40" i="24" s="1"/>
  <c r="S39" i="24" l="1"/>
  <c r="R39" i="24"/>
  <c r="Q39" i="24"/>
  <c r="Q40" i="24"/>
  <c r="N38" i="24"/>
  <c r="O38" i="24" s="1"/>
  <c r="P38" i="24" s="1"/>
  <c r="L37" i="24"/>
  <c r="N37" i="24" l="1"/>
  <c r="L36" i="24"/>
  <c r="R38" i="24"/>
  <c r="Q38" i="24"/>
  <c r="S38" i="24"/>
  <c r="N36" i="24" l="1"/>
  <c r="L35" i="24"/>
  <c r="S37" i="24"/>
  <c r="O37" i="24"/>
  <c r="P37" i="24" s="1"/>
  <c r="R37" i="24" s="1"/>
  <c r="Q37" i="24" l="1"/>
  <c r="N35" i="24"/>
  <c r="L34" i="24"/>
  <c r="S36" i="24"/>
  <c r="O36" i="24"/>
  <c r="P36" i="24" s="1"/>
  <c r="R36" i="24" s="1"/>
  <c r="N34" i="24" l="1"/>
  <c r="L33" i="24"/>
  <c r="Q36" i="24"/>
  <c r="S35" i="24"/>
  <c r="O35" i="24"/>
  <c r="P35" i="24" s="1"/>
  <c r="R35" i="24" s="1"/>
  <c r="N33" i="24" l="1"/>
  <c r="O33" i="24" s="1"/>
  <c r="P33" i="24" s="1"/>
  <c r="L32" i="24"/>
  <c r="Q35" i="24"/>
  <c r="S34" i="24"/>
  <c r="O34" i="24"/>
  <c r="P34" i="24" s="1"/>
  <c r="R34" i="24" s="1"/>
  <c r="N32" i="24" l="1"/>
  <c r="L31" i="24"/>
  <c r="Q34" i="24"/>
  <c r="R33" i="24"/>
  <c r="S33" i="24"/>
  <c r="Q33" i="24"/>
  <c r="N31" i="24" l="1"/>
  <c r="L30" i="24"/>
  <c r="S32" i="24"/>
  <c r="O32" i="24"/>
  <c r="P32" i="24" s="1"/>
  <c r="R32" i="24" s="1"/>
  <c r="S31" i="24" l="1"/>
  <c r="Q32" i="24"/>
  <c r="N30" i="24"/>
  <c r="O30" i="24" s="1"/>
  <c r="P30" i="24" s="1"/>
  <c r="L29" i="24"/>
  <c r="O31" i="24"/>
  <c r="P31" i="24" s="1"/>
  <c r="R31" i="24" s="1"/>
  <c r="N29" i="24" l="1"/>
  <c r="O29" i="24" s="1"/>
  <c r="P29" i="24" s="1"/>
  <c r="L28" i="24"/>
  <c r="Q31" i="24"/>
  <c r="S30" i="24"/>
  <c r="Q30" i="24"/>
  <c r="R30" i="24"/>
  <c r="N28" i="24" l="1"/>
  <c r="L27" i="24"/>
  <c r="S29" i="24"/>
  <c r="R29" i="24"/>
  <c r="Q29" i="24"/>
  <c r="N27" i="24" l="1"/>
  <c r="O27" i="24" s="1"/>
  <c r="P27" i="24" s="1"/>
  <c r="L26" i="24"/>
  <c r="S28" i="24"/>
  <c r="O28" i="24"/>
  <c r="P28" i="24" s="1"/>
  <c r="R28" i="24" s="1"/>
  <c r="N26" i="24" l="1"/>
  <c r="L25" i="24"/>
  <c r="Q28" i="24"/>
  <c r="R27" i="24"/>
  <c r="Q27" i="24"/>
  <c r="S27" i="24"/>
  <c r="N25" i="24" l="1"/>
  <c r="O25" i="24" s="1"/>
  <c r="P25" i="24" s="1"/>
  <c r="L24" i="24"/>
  <c r="S26" i="24"/>
  <c r="O26" i="24"/>
  <c r="P26" i="24" s="1"/>
  <c r="R26" i="24" s="1"/>
  <c r="Q26" i="24" l="1"/>
  <c r="N24" i="24"/>
  <c r="L23" i="24"/>
  <c r="S25" i="24"/>
  <c r="R25" i="24"/>
  <c r="Q25" i="24"/>
  <c r="N23" i="24" l="1"/>
  <c r="O23" i="24" s="1"/>
  <c r="P23" i="24" s="1"/>
  <c r="L22" i="24"/>
  <c r="S24" i="24"/>
  <c r="O24" i="24"/>
  <c r="P24" i="24" s="1"/>
  <c r="Q24" i="24" s="1"/>
  <c r="N22" i="24" l="1"/>
  <c r="L21" i="24"/>
  <c r="R24" i="24"/>
  <c r="R23" i="24"/>
  <c r="S23" i="24"/>
  <c r="Q23" i="24"/>
  <c r="N21" i="24" l="1"/>
  <c r="L20" i="24"/>
  <c r="S22" i="24"/>
  <c r="O22" i="24"/>
  <c r="P22" i="24" s="1"/>
  <c r="R22" i="24" s="1"/>
  <c r="Q22" i="24" l="1"/>
  <c r="N20" i="24"/>
  <c r="L19" i="24"/>
  <c r="S21" i="24"/>
  <c r="O21" i="24"/>
  <c r="P21" i="24" s="1"/>
  <c r="R21" i="24" s="1"/>
  <c r="N19" i="24" l="1"/>
  <c r="O19" i="24" s="1"/>
  <c r="P19" i="24" s="1"/>
  <c r="L18" i="24"/>
  <c r="Q21" i="24"/>
  <c r="S20" i="24"/>
  <c r="O20" i="24"/>
  <c r="P20" i="24" s="1"/>
  <c r="R20" i="24" s="1"/>
  <c r="Q20" i="24" l="1"/>
  <c r="N18" i="24"/>
  <c r="L17" i="24"/>
  <c r="R19" i="24"/>
  <c r="Q19" i="24"/>
  <c r="S19" i="24"/>
  <c r="N17" i="24" l="1"/>
  <c r="L16" i="24"/>
  <c r="S18" i="24"/>
  <c r="O18" i="24"/>
  <c r="P18" i="24" s="1"/>
  <c r="R18" i="24" s="1"/>
  <c r="Q18" i="24" l="1"/>
  <c r="N16" i="24"/>
  <c r="L15" i="24"/>
  <c r="S17" i="24"/>
  <c r="O17" i="24"/>
  <c r="P17" i="24" s="1"/>
  <c r="R17" i="24" s="1"/>
  <c r="N15" i="24" l="1"/>
  <c r="O15" i="24" s="1"/>
  <c r="P15" i="24" s="1"/>
  <c r="L14" i="24"/>
  <c r="Q17" i="24"/>
  <c r="S16" i="24"/>
  <c r="O16" i="24"/>
  <c r="P16" i="24" s="1"/>
  <c r="R16" i="24" s="1"/>
  <c r="Q16" i="24" l="1"/>
  <c r="N14" i="24"/>
  <c r="L13" i="24"/>
  <c r="R15" i="24"/>
  <c r="Q15" i="24"/>
  <c r="S15" i="24"/>
  <c r="N13" i="24" l="1"/>
  <c r="L12" i="24"/>
  <c r="S14" i="24"/>
  <c r="O14" i="24"/>
  <c r="P14" i="24" s="1"/>
  <c r="R14" i="24" s="1"/>
  <c r="Q14" i="24" l="1"/>
  <c r="N12" i="24"/>
  <c r="L11" i="24"/>
  <c r="S13" i="24"/>
  <c r="O13" i="24"/>
  <c r="P13" i="24" s="1"/>
  <c r="R13" i="24" s="1"/>
  <c r="N11" i="24" l="1"/>
  <c r="O11" i="24" s="1"/>
  <c r="P11" i="24" s="1"/>
  <c r="L10" i="24"/>
  <c r="S12" i="24"/>
  <c r="Q13" i="24"/>
  <c r="O12" i="24"/>
  <c r="P12" i="24" s="1"/>
  <c r="R12" i="24" s="1"/>
  <c r="Q12" i="24" l="1"/>
  <c r="N10" i="24"/>
  <c r="O10" i="24" s="1"/>
  <c r="P10" i="24" s="1"/>
  <c r="L9" i="24"/>
  <c r="R11" i="24"/>
  <c r="S11" i="24"/>
  <c r="Q11" i="24"/>
  <c r="N9" i="24" l="1"/>
  <c r="L8" i="24"/>
  <c r="Q10" i="24"/>
  <c r="R10" i="24"/>
  <c r="S10" i="24"/>
  <c r="N8" i="24" l="1"/>
  <c r="L7" i="24"/>
  <c r="S9" i="24"/>
  <c r="O9" i="24"/>
  <c r="P9" i="24" s="1"/>
  <c r="Q9" i="24" s="1"/>
  <c r="N7" i="24" l="1"/>
  <c r="O7" i="24" s="1"/>
  <c r="P7" i="24" s="1"/>
  <c r="L6" i="24"/>
  <c r="R9" i="24"/>
  <c r="S8" i="24"/>
  <c r="O8" i="24"/>
  <c r="P8" i="24" s="1"/>
  <c r="Q8" i="24" s="1"/>
  <c r="N6" i="24" l="1"/>
  <c r="L5" i="24"/>
  <c r="R8" i="24"/>
  <c r="R7" i="24"/>
  <c r="Q7" i="24"/>
  <c r="S7" i="24"/>
  <c r="N5" i="24" l="1"/>
  <c r="L4" i="24"/>
  <c r="S6" i="24"/>
  <c r="O6" i="24"/>
  <c r="P6" i="24" s="1"/>
  <c r="R6" i="24" s="1"/>
  <c r="Q6" i="24" l="1"/>
  <c r="N4" i="24"/>
  <c r="L3" i="24"/>
  <c r="S5" i="24"/>
  <c r="O5" i="24"/>
  <c r="P5" i="24" s="1"/>
  <c r="Q5" i="24" s="1"/>
  <c r="N3" i="24" l="1"/>
  <c r="O3" i="24" s="1"/>
  <c r="P3" i="24" s="1"/>
  <c r="R5" i="24"/>
  <c r="S4" i="24"/>
  <c r="O4" i="24"/>
  <c r="P4" i="24" s="1"/>
  <c r="Q4" i="24" s="1"/>
  <c r="R4" i="24" l="1"/>
  <c r="R3" i="24"/>
  <c r="S3" i="24"/>
  <c r="Q3" i="24"/>
  <c r="AQ2" i="3" l="1"/>
  <c r="AF3" i="3" l="1"/>
  <c r="AQ3" i="3" l="1"/>
  <c r="T3" i="26" l="1"/>
  <c r="T3" i="28"/>
  <c r="T3" i="25"/>
  <c r="T3" i="27"/>
  <c r="T3" i="24"/>
  <c r="U3" i="25" l="1"/>
  <c r="V3" i="25" s="1"/>
  <c r="W3" i="25" s="1"/>
  <c r="X3" i="25" s="1"/>
  <c r="U3" i="26"/>
  <c r="V3" i="26" s="1"/>
  <c r="W3" i="26" s="1"/>
  <c r="X3" i="26" s="1"/>
  <c r="U3" i="27"/>
  <c r="V3" i="27" s="1"/>
  <c r="W3" i="27" s="1"/>
  <c r="X3" i="27" s="1"/>
  <c r="U3" i="24"/>
  <c r="V3" i="24" s="1"/>
  <c r="W3" i="24" s="1"/>
  <c r="X3" i="24" s="1"/>
  <c r="U3" i="28"/>
  <c r="V3" i="28" s="1"/>
  <c r="W3" i="28" s="1"/>
  <c r="X3" i="28" s="1"/>
  <c r="T46" i="27"/>
  <c r="T28" i="26"/>
  <c r="T7" i="28"/>
  <c r="T45" i="24"/>
  <c r="T45" i="26"/>
  <c r="T44" i="27"/>
  <c r="T41" i="25"/>
  <c r="T16" i="28"/>
  <c r="T31" i="28"/>
  <c r="T17" i="26"/>
  <c r="T50" i="24"/>
  <c r="T26" i="26"/>
  <c r="T25" i="24"/>
  <c r="T38" i="24"/>
  <c r="T23" i="28"/>
  <c r="T43" i="24"/>
  <c r="T23" i="24"/>
  <c r="T12" i="26"/>
  <c r="T42" i="28"/>
  <c r="T40" i="24"/>
  <c r="T17" i="28"/>
  <c r="T49" i="27"/>
  <c r="T19" i="24"/>
  <c r="T30" i="25"/>
  <c r="T30" i="26"/>
  <c r="T22" i="25"/>
  <c r="T29" i="25"/>
  <c r="T34" i="28"/>
  <c r="T8" i="26"/>
  <c r="T35" i="25"/>
  <c r="T44" i="26"/>
  <c r="T24" i="26"/>
  <c r="T20" i="24"/>
  <c r="T9" i="26"/>
  <c r="T12" i="24"/>
  <c r="T28" i="24"/>
  <c r="T53" i="27"/>
  <c r="T38" i="26"/>
  <c r="T32" i="26"/>
  <c r="T50" i="25"/>
  <c r="T27" i="24"/>
  <c r="T39" i="26"/>
  <c r="T5" i="28"/>
  <c r="T9" i="28"/>
  <c r="T37" i="28"/>
  <c r="T25" i="28"/>
  <c r="T9" i="27"/>
  <c r="T22" i="27"/>
  <c r="T36" i="25"/>
  <c r="T54" i="28"/>
  <c r="T4" i="28"/>
  <c r="T39" i="25"/>
  <c r="T18" i="25"/>
  <c r="T44" i="28"/>
  <c r="T20" i="25"/>
  <c r="T16" i="25"/>
  <c r="T41" i="28"/>
  <c r="T33" i="24"/>
  <c r="T15" i="24"/>
  <c r="T34" i="25"/>
  <c r="T24" i="28"/>
  <c r="T35" i="26"/>
  <c r="T4" i="25"/>
  <c r="T46" i="28"/>
  <c r="T18" i="24"/>
  <c r="T19" i="26"/>
  <c r="T22" i="28"/>
  <c r="T8" i="25"/>
  <c r="T49" i="25"/>
  <c r="T23" i="27"/>
  <c r="T7" i="26"/>
  <c r="T13" i="25"/>
  <c r="T24" i="24"/>
  <c r="T16" i="26"/>
  <c r="T13" i="27"/>
  <c r="T35" i="28"/>
  <c r="T50" i="28"/>
  <c r="T18" i="27"/>
  <c r="T35" i="27"/>
  <c r="T47" i="24"/>
  <c r="T53" i="25"/>
  <c r="T4" i="27"/>
  <c r="T47" i="27"/>
  <c r="T37" i="27"/>
  <c r="T19" i="28"/>
  <c r="T17" i="24"/>
  <c r="T10" i="26"/>
  <c r="T54" i="27"/>
  <c r="T31" i="24"/>
  <c r="T52" i="24"/>
  <c r="T47" i="28"/>
  <c r="T51" i="25"/>
  <c r="T48" i="27"/>
  <c r="T22" i="26"/>
  <c r="T9" i="24"/>
  <c r="T46" i="24"/>
  <c r="T19" i="25"/>
  <c r="T18" i="28"/>
  <c r="T31" i="26"/>
  <c r="T27" i="28"/>
  <c r="T6" i="24"/>
  <c r="T46" i="26"/>
  <c r="T32" i="24"/>
  <c r="T7" i="27"/>
  <c r="T39" i="24"/>
  <c r="T23" i="25"/>
  <c r="T8" i="24"/>
  <c r="T52" i="27"/>
  <c r="T19" i="27"/>
  <c r="T26" i="28"/>
  <c r="T5" i="27"/>
  <c r="T47" i="26"/>
  <c r="T43" i="26"/>
  <c r="T52" i="25"/>
  <c r="T34" i="24"/>
  <c r="T49" i="26"/>
  <c r="T12" i="28"/>
  <c r="T31" i="27"/>
  <c r="T30" i="24"/>
  <c r="T32" i="28"/>
  <c r="T29" i="28"/>
  <c r="T40" i="25"/>
  <c r="T7" i="24"/>
  <c r="T9" i="25"/>
  <c r="T51" i="28"/>
  <c r="T21" i="28"/>
  <c r="T42" i="25"/>
  <c r="T24" i="25"/>
  <c r="T17" i="27"/>
  <c r="T37" i="25"/>
  <c r="T50" i="26"/>
  <c r="T32" i="25"/>
  <c r="T40" i="26"/>
  <c r="T45" i="28"/>
  <c r="T43" i="28"/>
  <c r="T53" i="28"/>
  <c r="T41" i="24"/>
  <c r="T44" i="24"/>
  <c r="T29" i="27"/>
  <c r="T37" i="24"/>
  <c r="T14" i="28"/>
  <c r="T5" i="24"/>
  <c r="T6" i="26"/>
  <c r="T13" i="28"/>
  <c r="T48" i="26"/>
  <c r="T21" i="24"/>
  <c r="T31" i="25"/>
  <c r="T42" i="26"/>
  <c r="T37" i="26"/>
  <c r="T10" i="27"/>
  <c r="T11" i="28"/>
  <c r="T5" i="26"/>
  <c r="T7" i="25"/>
  <c r="T33" i="27"/>
  <c r="T11" i="26"/>
  <c r="T15" i="25"/>
  <c r="T16" i="27"/>
  <c r="T42" i="24"/>
  <c r="T18" i="26"/>
  <c r="T12" i="25"/>
  <c r="T34" i="27"/>
  <c r="T11" i="25"/>
  <c r="T51" i="27"/>
  <c r="T15" i="27"/>
  <c r="T21" i="26"/>
  <c r="T10" i="28"/>
  <c r="T8" i="28"/>
  <c r="T38" i="25"/>
  <c r="T13" i="24"/>
  <c r="T29" i="26"/>
  <c r="T27" i="26"/>
  <c r="T41" i="26"/>
  <c r="T6" i="28"/>
  <c r="T25" i="26"/>
  <c r="T13" i="26"/>
  <c r="T17" i="25"/>
  <c r="T11" i="24"/>
  <c r="T54" i="26"/>
  <c r="T46" i="25"/>
  <c r="T43" i="25"/>
  <c r="T20" i="27"/>
  <c r="T28" i="27"/>
  <c r="T49" i="28"/>
  <c r="T48" i="25"/>
  <c r="T6" i="27"/>
  <c r="T14" i="25"/>
  <c r="T42" i="27"/>
  <c r="T32" i="27"/>
  <c r="T30" i="28"/>
  <c r="T51" i="26"/>
  <c r="T27" i="27"/>
  <c r="T47" i="25"/>
  <c r="T50" i="27"/>
  <c r="T25" i="27"/>
  <c r="T5" i="25"/>
  <c r="T21" i="27"/>
  <c r="T14" i="24"/>
  <c r="T20" i="28"/>
  <c r="T36" i="28"/>
  <c r="T45" i="27"/>
  <c r="T39" i="27"/>
  <c r="T52" i="28"/>
  <c r="T43" i="27"/>
  <c r="T26" i="27"/>
  <c r="T24" i="27"/>
  <c r="T29" i="24"/>
  <c r="T48" i="28"/>
  <c r="T36" i="27"/>
  <c r="T14" i="26"/>
  <c r="T15" i="28"/>
  <c r="T39" i="28"/>
  <c r="T33" i="25"/>
  <c r="T4" i="26"/>
  <c r="T4" i="24"/>
  <c r="T38" i="28"/>
  <c r="T30" i="27"/>
  <c r="T22" i="24"/>
  <c r="T15" i="26"/>
  <c r="T36" i="24"/>
  <c r="T23" i="26"/>
  <c r="T6" i="25"/>
  <c r="T51" i="24"/>
  <c r="T34" i="26"/>
  <c r="T38" i="27"/>
  <c r="T52" i="26"/>
  <c r="T21" i="25"/>
  <c r="T53" i="24"/>
  <c r="T45" i="25"/>
  <c r="T12" i="27"/>
  <c r="T54" i="25"/>
  <c r="T35" i="24"/>
  <c r="T10" i="24"/>
  <c r="T10" i="25"/>
  <c r="T25" i="25"/>
  <c r="T27" i="25"/>
  <c r="T26" i="25"/>
  <c r="T26" i="24"/>
  <c r="T8" i="27"/>
  <c r="T28" i="28"/>
  <c r="T33" i="26"/>
  <c r="T40" i="27"/>
  <c r="T49" i="24"/>
  <c r="T40" i="28"/>
  <c r="T54" i="24"/>
  <c r="T48" i="24"/>
  <c r="T53" i="26"/>
  <c r="T16" i="24"/>
  <c r="T44" i="25"/>
  <c r="T20" i="26"/>
  <c r="T11" i="27"/>
  <c r="T36" i="26"/>
  <c r="T28" i="25"/>
  <c r="T41" i="27"/>
  <c r="T14" i="27"/>
  <c r="T33" i="28"/>
  <c r="U30" i="28" l="1"/>
  <c r="V30" i="28" s="1"/>
  <c r="W30" i="28" s="1"/>
  <c r="X30" i="28" s="1"/>
  <c r="U30" i="25"/>
  <c r="U30" i="26"/>
  <c r="V30" i="26" s="1"/>
  <c r="W30" i="26" s="1"/>
  <c r="X30" i="26" s="1"/>
  <c r="U30" i="27"/>
  <c r="V30" i="27" s="1"/>
  <c r="W30" i="27" s="1"/>
  <c r="X30" i="27" s="1"/>
  <c r="U30" i="24"/>
  <c r="V30" i="24" s="1"/>
  <c r="W30" i="24" s="1"/>
  <c r="X30" i="24" s="1"/>
  <c r="U16" i="25"/>
  <c r="V16" i="25" s="1"/>
  <c r="W16" i="25" s="1"/>
  <c r="X16" i="25" s="1"/>
  <c r="U16" i="24"/>
  <c r="V16" i="24" s="1"/>
  <c r="W16" i="24" s="1"/>
  <c r="X16" i="24" s="1"/>
  <c r="U16" i="28"/>
  <c r="V16" i="28" s="1"/>
  <c r="W16" i="28" s="1"/>
  <c r="X16" i="28" s="1"/>
  <c r="U16" i="26"/>
  <c r="V16" i="26" s="1"/>
  <c r="W16" i="26" s="1"/>
  <c r="X16" i="26" s="1"/>
  <c r="U16" i="27"/>
  <c r="V16" i="27" s="1"/>
  <c r="W16" i="27" s="1"/>
  <c r="X16" i="27" s="1"/>
  <c r="U45" i="28"/>
  <c r="V45" i="28" s="1"/>
  <c r="W45" i="28" s="1"/>
  <c r="X45" i="28" s="1"/>
  <c r="U45" i="24"/>
  <c r="U45" i="25"/>
  <c r="V45" i="25" s="1"/>
  <c r="W45" i="25" s="1"/>
  <c r="X45" i="25" s="1"/>
  <c r="U45" i="26"/>
  <c r="V45" i="26" s="1"/>
  <c r="W45" i="26" s="1"/>
  <c r="X45" i="26" s="1"/>
  <c r="U45" i="27"/>
  <c r="V45" i="27" s="1"/>
  <c r="W45" i="27" s="1"/>
  <c r="X45" i="27" s="1"/>
  <c r="U21" i="27"/>
  <c r="V21" i="27" s="1"/>
  <c r="W21" i="27" s="1"/>
  <c r="X21" i="27" s="1"/>
  <c r="U21" i="28"/>
  <c r="V21" i="28" s="1"/>
  <c r="W21" i="28" s="1"/>
  <c r="X21" i="28" s="1"/>
  <c r="U21" i="24"/>
  <c r="V21" i="24" s="1"/>
  <c r="W21" i="24" s="1"/>
  <c r="X21" i="24" s="1"/>
  <c r="U21" i="25"/>
  <c r="V21" i="25" s="1"/>
  <c r="W21" i="25" s="1"/>
  <c r="X21" i="25" s="1"/>
  <c r="U21" i="26"/>
  <c r="V21" i="26" s="1"/>
  <c r="W21" i="26" s="1"/>
  <c r="X21" i="26" s="1"/>
  <c r="U52" i="25"/>
  <c r="V52" i="25" s="1"/>
  <c r="W52" i="25" s="1"/>
  <c r="X52" i="25" s="1"/>
  <c r="U52" i="28"/>
  <c r="V52" i="28" s="1"/>
  <c r="W52" i="28" s="1"/>
  <c r="X52" i="28" s="1"/>
  <c r="U52" i="27"/>
  <c r="V52" i="27" s="1"/>
  <c r="W52" i="27" s="1"/>
  <c r="X52" i="27" s="1"/>
  <c r="U52" i="24"/>
  <c r="V52" i="24" s="1"/>
  <c r="W52" i="24" s="1"/>
  <c r="X52" i="24" s="1"/>
  <c r="U52" i="26"/>
  <c r="V52" i="26" s="1"/>
  <c r="W52" i="26" s="1"/>
  <c r="X52" i="26" s="1"/>
  <c r="U54" i="24"/>
  <c r="V54" i="24" s="1"/>
  <c r="W54" i="24" s="1"/>
  <c r="X54" i="24" s="1"/>
  <c r="U54" i="26"/>
  <c r="V54" i="26" s="1"/>
  <c r="W54" i="26" s="1"/>
  <c r="X54" i="26" s="1"/>
  <c r="U54" i="27"/>
  <c r="U54" i="25"/>
  <c r="V54" i="25" s="1"/>
  <c r="W54" i="25" s="1"/>
  <c r="X54" i="25" s="1"/>
  <c r="U54" i="28"/>
  <c r="V54" i="28" s="1"/>
  <c r="W54" i="28" s="1"/>
  <c r="X54" i="28" s="1"/>
  <c r="U25" i="26"/>
  <c r="V25" i="26" s="1"/>
  <c r="W25" i="26" s="1"/>
  <c r="X25" i="26" s="1"/>
  <c r="U25" i="27"/>
  <c r="V25" i="27" s="1"/>
  <c r="W25" i="27" s="1"/>
  <c r="X25" i="27" s="1"/>
  <c r="U25" i="28"/>
  <c r="V25" i="28" s="1"/>
  <c r="W25" i="28" s="1"/>
  <c r="X25" i="28" s="1"/>
  <c r="U25" i="24"/>
  <c r="V25" i="24" s="1"/>
  <c r="W25" i="24" s="1"/>
  <c r="X25" i="24" s="1"/>
  <c r="U25" i="25"/>
  <c r="V25" i="25" s="1"/>
  <c r="W25" i="25" s="1"/>
  <c r="X25" i="25" s="1"/>
  <c r="U40" i="28"/>
  <c r="V40" i="28" s="1"/>
  <c r="W40" i="28" s="1"/>
  <c r="X40" i="28" s="1"/>
  <c r="U40" i="26"/>
  <c r="V40" i="26" s="1"/>
  <c r="W40" i="26" s="1"/>
  <c r="X40" i="26" s="1"/>
  <c r="U40" i="27"/>
  <c r="V40" i="27" s="1"/>
  <c r="W40" i="27" s="1"/>
  <c r="X40" i="27" s="1"/>
  <c r="U40" i="25"/>
  <c r="V40" i="25" s="1"/>
  <c r="W40" i="25" s="1"/>
  <c r="X40" i="25" s="1"/>
  <c r="U40" i="24"/>
  <c r="V40" i="24" s="1"/>
  <c r="W40" i="24" s="1"/>
  <c r="X40" i="24" s="1"/>
  <c r="U31" i="24"/>
  <c r="V31" i="24" s="1"/>
  <c r="W31" i="24" s="1"/>
  <c r="X31" i="24" s="1"/>
  <c r="U31" i="26"/>
  <c r="V31" i="26" s="1"/>
  <c r="W31" i="26" s="1"/>
  <c r="X31" i="26" s="1"/>
  <c r="U31" i="25"/>
  <c r="V31" i="25" s="1"/>
  <c r="W31" i="25" s="1"/>
  <c r="X31" i="25" s="1"/>
  <c r="U31" i="28"/>
  <c r="V31" i="28" s="1"/>
  <c r="W31" i="28" s="1"/>
  <c r="X31" i="28" s="1"/>
  <c r="U31" i="27"/>
  <c r="V31" i="27" s="1"/>
  <c r="W31" i="27" s="1"/>
  <c r="X31" i="27" s="1"/>
  <c r="U39" i="25"/>
  <c r="V39" i="25" s="1"/>
  <c r="W39" i="25" s="1"/>
  <c r="X39" i="25" s="1"/>
  <c r="U39" i="28"/>
  <c r="V39" i="28" s="1"/>
  <c r="W39" i="28" s="1"/>
  <c r="X39" i="28" s="1"/>
  <c r="U39" i="24"/>
  <c r="V39" i="24" s="1"/>
  <c r="W39" i="24" s="1"/>
  <c r="X39" i="24" s="1"/>
  <c r="U39" i="27"/>
  <c r="V39" i="27" s="1"/>
  <c r="W39" i="27" s="1"/>
  <c r="X39" i="27" s="1"/>
  <c r="U39" i="26"/>
  <c r="V39" i="26" s="1"/>
  <c r="W39" i="26" s="1"/>
  <c r="X39" i="26" s="1"/>
  <c r="U37" i="24"/>
  <c r="V37" i="24" s="1"/>
  <c r="W37" i="24" s="1"/>
  <c r="X37" i="24" s="1"/>
  <c r="U37" i="28"/>
  <c r="V37" i="28" s="1"/>
  <c r="W37" i="28" s="1"/>
  <c r="X37" i="28" s="1"/>
  <c r="U37" i="26"/>
  <c r="V37" i="26" s="1"/>
  <c r="W37" i="26" s="1"/>
  <c r="X37" i="26" s="1"/>
  <c r="U37" i="25"/>
  <c r="V37" i="25" s="1"/>
  <c r="W37" i="25" s="1"/>
  <c r="X37" i="25" s="1"/>
  <c r="U37" i="27"/>
  <c r="V37" i="27" s="1"/>
  <c r="W37" i="27" s="1"/>
  <c r="X37" i="27" s="1"/>
  <c r="U36" i="24"/>
  <c r="V36" i="24" s="1"/>
  <c r="W36" i="24" s="1"/>
  <c r="X36" i="24" s="1"/>
  <c r="U36" i="28"/>
  <c r="V36" i="28" s="1"/>
  <c r="W36" i="28" s="1"/>
  <c r="X36" i="28" s="1"/>
  <c r="U36" i="27"/>
  <c r="V36" i="27" s="1"/>
  <c r="W36" i="27" s="1"/>
  <c r="X36" i="27" s="1"/>
  <c r="U36" i="25"/>
  <c r="V36" i="25" s="1"/>
  <c r="W36" i="25" s="1"/>
  <c r="X36" i="25" s="1"/>
  <c r="U36" i="26"/>
  <c r="V36" i="26" s="1"/>
  <c r="W36" i="26" s="1"/>
  <c r="X36" i="26" s="1"/>
  <c r="U13" i="26"/>
  <c r="V13" i="26" s="1"/>
  <c r="W13" i="26" s="1"/>
  <c r="X13" i="26" s="1"/>
  <c r="U13" i="25"/>
  <c r="V13" i="25" s="1"/>
  <c r="W13" i="25" s="1"/>
  <c r="X13" i="25" s="1"/>
  <c r="U13" i="28"/>
  <c r="V13" i="28" s="1"/>
  <c r="W13" i="28" s="1"/>
  <c r="X13" i="28" s="1"/>
  <c r="U13" i="27"/>
  <c r="V13" i="27" s="1"/>
  <c r="W13" i="27" s="1"/>
  <c r="X13" i="27" s="1"/>
  <c r="U13" i="24"/>
  <c r="V13" i="24" s="1"/>
  <c r="W13" i="24" s="1"/>
  <c r="X13" i="24" s="1"/>
  <c r="U6" i="24"/>
  <c r="V6" i="24" s="1"/>
  <c r="W6" i="24" s="1"/>
  <c r="X6" i="24" s="1"/>
  <c r="U6" i="26"/>
  <c r="V6" i="26" s="1"/>
  <c r="W6" i="26" s="1"/>
  <c r="X6" i="26" s="1"/>
  <c r="U6" i="27"/>
  <c r="V6" i="27" s="1"/>
  <c r="W6" i="27" s="1"/>
  <c r="X6" i="27" s="1"/>
  <c r="U6" i="25"/>
  <c r="V6" i="25" s="1"/>
  <c r="W6" i="25" s="1"/>
  <c r="X6" i="25" s="1"/>
  <c r="U6" i="28"/>
  <c r="V6" i="28" s="1"/>
  <c r="W6" i="28" s="1"/>
  <c r="X6" i="28" s="1"/>
  <c r="U38" i="25"/>
  <c r="V38" i="25" s="1"/>
  <c r="W38" i="25" s="1"/>
  <c r="X38" i="25" s="1"/>
  <c r="U38" i="27"/>
  <c r="V38" i="27" s="1"/>
  <c r="W38" i="27" s="1"/>
  <c r="X38" i="27" s="1"/>
  <c r="U38" i="24"/>
  <c r="U38" i="28"/>
  <c r="V38" i="28" s="1"/>
  <c r="W38" i="28" s="1"/>
  <c r="X38" i="28" s="1"/>
  <c r="U38" i="26"/>
  <c r="V38" i="26" s="1"/>
  <c r="W38" i="26" s="1"/>
  <c r="X38" i="26" s="1"/>
  <c r="U14" i="24"/>
  <c r="V14" i="24" s="1"/>
  <c r="W14" i="24" s="1"/>
  <c r="X14" i="24" s="1"/>
  <c r="U14" i="25"/>
  <c r="V14" i="25" s="1"/>
  <c r="W14" i="25" s="1"/>
  <c r="X14" i="25" s="1"/>
  <c r="U14" i="28"/>
  <c r="V14" i="28" s="1"/>
  <c r="W14" i="28" s="1"/>
  <c r="X14" i="28" s="1"/>
  <c r="U14" i="27"/>
  <c r="V14" i="27" s="1"/>
  <c r="W14" i="27" s="1"/>
  <c r="X14" i="27" s="1"/>
  <c r="U14" i="26"/>
  <c r="V14" i="26" s="1"/>
  <c r="W14" i="26" s="1"/>
  <c r="X14" i="26" s="1"/>
  <c r="U22" i="24"/>
  <c r="V22" i="24" s="1"/>
  <c r="W22" i="24" s="1"/>
  <c r="X22" i="24" s="1"/>
  <c r="U22" i="28"/>
  <c r="V22" i="28" s="1"/>
  <c r="W22" i="28" s="1"/>
  <c r="X22" i="28" s="1"/>
  <c r="U22" i="25"/>
  <c r="V22" i="25" s="1"/>
  <c r="W22" i="25" s="1"/>
  <c r="X22" i="25" s="1"/>
  <c r="U22" i="26"/>
  <c r="V22" i="26" s="1"/>
  <c r="W22" i="26" s="1"/>
  <c r="X22" i="26" s="1"/>
  <c r="U22" i="27"/>
  <c r="V22" i="27" s="1"/>
  <c r="W22" i="27" s="1"/>
  <c r="X22" i="27" s="1"/>
  <c r="U44" i="24"/>
  <c r="V44" i="24" s="1"/>
  <c r="W44" i="24" s="1"/>
  <c r="X44" i="24" s="1"/>
  <c r="U44" i="28"/>
  <c r="V44" i="28" s="1"/>
  <c r="W44" i="28" s="1"/>
  <c r="X44" i="28" s="1"/>
  <c r="U44" i="26"/>
  <c r="V44" i="26" s="1"/>
  <c r="W44" i="26" s="1"/>
  <c r="X44" i="26" s="1"/>
  <c r="U44" i="25"/>
  <c r="V44" i="25" s="1"/>
  <c r="W44" i="25" s="1"/>
  <c r="X44" i="25" s="1"/>
  <c r="U44" i="27"/>
  <c r="V44" i="27" s="1"/>
  <c r="W44" i="27" s="1"/>
  <c r="X44" i="27" s="1"/>
  <c r="U35" i="24"/>
  <c r="V35" i="24" s="1"/>
  <c r="W35" i="24" s="1"/>
  <c r="X35" i="24" s="1"/>
  <c r="U35" i="27"/>
  <c r="V35" i="27" s="1"/>
  <c r="W35" i="27" s="1"/>
  <c r="X35" i="27" s="1"/>
  <c r="U35" i="26"/>
  <c r="V35" i="26" s="1"/>
  <c r="W35" i="26" s="1"/>
  <c r="X35" i="26" s="1"/>
  <c r="U35" i="25"/>
  <c r="V35" i="25" s="1"/>
  <c r="W35" i="25" s="1"/>
  <c r="X35" i="25" s="1"/>
  <c r="U35" i="28"/>
  <c r="V35" i="28" s="1"/>
  <c r="W35" i="28" s="1"/>
  <c r="X35" i="28" s="1"/>
  <c r="U4" i="24"/>
  <c r="V4" i="24" s="1"/>
  <c r="W4" i="24" s="1"/>
  <c r="X4" i="24" s="1"/>
  <c r="U4" i="27"/>
  <c r="V4" i="27" s="1"/>
  <c r="W4" i="27" s="1"/>
  <c r="X4" i="27" s="1"/>
  <c r="U4" i="28"/>
  <c r="V4" i="28" s="1"/>
  <c r="W4" i="28" s="1"/>
  <c r="X4" i="28" s="1"/>
  <c r="U4" i="26"/>
  <c r="V4" i="26" s="1"/>
  <c r="W4" i="26" s="1"/>
  <c r="X4" i="26" s="1"/>
  <c r="U4" i="25"/>
  <c r="V4" i="25" s="1"/>
  <c r="W4" i="25" s="1"/>
  <c r="X4" i="25" s="1"/>
  <c r="U34" i="26"/>
  <c r="V34" i="26" s="1"/>
  <c r="W34" i="26" s="1"/>
  <c r="X34" i="26" s="1"/>
  <c r="U34" i="25"/>
  <c r="V34" i="25" s="1"/>
  <c r="W34" i="25" s="1"/>
  <c r="X34" i="25" s="1"/>
  <c r="U34" i="24"/>
  <c r="V34" i="24" s="1"/>
  <c r="W34" i="24" s="1"/>
  <c r="X34" i="24" s="1"/>
  <c r="U34" i="27"/>
  <c r="V34" i="27" s="1"/>
  <c r="W34" i="27" s="1"/>
  <c r="X34" i="27" s="1"/>
  <c r="U34" i="28"/>
  <c r="V34" i="28" s="1"/>
  <c r="W34" i="28" s="1"/>
  <c r="X34" i="28" s="1"/>
  <c r="U51" i="27"/>
  <c r="V51" i="27" s="1"/>
  <c r="W51" i="27" s="1"/>
  <c r="X51" i="27" s="1"/>
  <c r="U51" i="28"/>
  <c r="V51" i="28" s="1"/>
  <c r="W51" i="28" s="1"/>
  <c r="X51" i="28" s="1"/>
  <c r="U51" i="24"/>
  <c r="V51" i="24" s="1"/>
  <c r="W51" i="24" s="1"/>
  <c r="X51" i="24" s="1"/>
  <c r="U51" i="26"/>
  <c r="V51" i="26" s="1"/>
  <c r="W51" i="26" s="1"/>
  <c r="X51" i="26" s="1"/>
  <c r="U51" i="25"/>
  <c r="V51" i="25" s="1"/>
  <c r="W51" i="25" s="1"/>
  <c r="X51" i="25" s="1"/>
  <c r="U49" i="25"/>
  <c r="V49" i="25" s="1"/>
  <c r="W49" i="25" s="1"/>
  <c r="X49" i="25" s="1"/>
  <c r="U49" i="26"/>
  <c r="V49" i="26" s="1"/>
  <c r="W49" i="26" s="1"/>
  <c r="X49" i="26" s="1"/>
  <c r="U49" i="27"/>
  <c r="V49" i="27" s="1"/>
  <c r="W49" i="27" s="1"/>
  <c r="X49" i="27" s="1"/>
  <c r="U49" i="28"/>
  <c r="V49" i="28" s="1"/>
  <c r="W49" i="28" s="1"/>
  <c r="X49" i="28" s="1"/>
  <c r="U49" i="24"/>
  <c r="V49" i="24" s="1"/>
  <c r="W49" i="24" s="1"/>
  <c r="X49" i="24" s="1"/>
  <c r="U11" i="26"/>
  <c r="V11" i="26" s="1"/>
  <c r="W11" i="26" s="1"/>
  <c r="X11" i="26" s="1"/>
  <c r="U11" i="28"/>
  <c r="V11" i="28" s="1"/>
  <c r="W11" i="28" s="1"/>
  <c r="X11" i="28" s="1"/>
  <c r="U11" i="27"/>
  <c r="V11" i="27" s="1"/>
  <c r="W11" i="27" s="1"/>
  <c r="X11" i="27" s="1"/>
  <c r="U11" i="25"/>
  <c r="V11" i="25" s="1"/>
  <c r="W11" i="25" s="1"/>
  <c r="X11" i="25" s="1"/>
  <c r="U11" i="24"/>
  <c r="V11" i="24" s="1"/>
  <c r="W11" i="24" s="1"/>
  <c r="X11" i="24" s="1"/>
  <c r="U20" i="28"/>
  <c r="V20" i="28" s="1"/>
  <c r="W20" i="28" s="1"/>
  <c r="X20" i="28" s="1"/>
  <c r="U20" i="26"/>
  <c r="V20" i="26" s="1"/>
  <c r="W20" i="26" s="1"/>
  <c r="X20" i="26" s="1"/>
  <c r="U20" i="24"/>
  <c r="V20" i="24" s="1"/>
  <c r="W20" i="24" s="1"/>
  <c r="X20" i="24" s="1"/>
  <c r="U20" i="25"/>
  <c r="V20" i="25" s="1"/>
  <c r="W20" i="25" s="1"/>
  <c r="X20" i="25" s="1"/>
  <c r="U20" i="27"/>
  <c r="V20" i="27" s="1"/>
  <c r="W20" i="27" s="1"/>
  <c r="X20" i="27" s="1"/>
  <c r="U48" i="26"/>
  <c r="V48" i="26" s="1"/>
  <c r="W48" i="26" s="1"/>
  <c r="X48" i="26" s="1"/>
  <c r="U48" i="25"/>
  <c r="V48" i="25" s="1"/>
  <c r="W48" i="25" s="1"/>
  <c r="X48" i="25" s="1"/>
  <c r="U48" i="27"/>
  <c r="V48" i="27" s="1"/>
  <c r="W48" i="27" s="1"/>
  <c r="X48" i="27" s="1"/>
  <c r="U48" i="24"/>
  <c r="V48" i="24" s="1"/>
  <c r="W48" i="24" s="1"/>
  <c r="X48" i="24" s="1"/>
  <c r="U48" i="28"/>
  <c r="V48" i="28" s="1"/>
  <c r="W48" i="28" s="1"/>
  <c r="X48" i="28" s="1"/>
  <c r="U46" i="24"/>
  <c r="V46" i="24" s="1"/>
  <c r="W46" i="24" s="1"/>
  <c r="X46" i="24" s="1"/>
  <c r="U46" i="27"/>
  <c r="V46" i="27" s="1"/>
  <c r="W46" i="27" s="1"/>
  <c r="X46" i="27" s="1"/>
  <c r="U46" i="25"/>
  <c r="V46" i="25" s="1"/>
  <c r="W46" i="25" s="1"/>
  <c r="X46" i="25" s="1"/>
  <c r="U46" i="28"/>
  <c r="V46" i="28" s="1"/>
  <c r="W46" i="28" s="1"/>
  <c r="X46" i="28" s="1"/>
  <c r="U46" i="26"/>
  <c r="V46" i="26" s="1"/>
  <c r="W46" i="26" s="1"/>
  <c r="X46" i="26" s="1"/>
  <c r="U27" i="27"/>
  <c r="V27" i="27" s="1"/>
  <c r="W27" i="27" s="1"/>
  <c r="X27" i="27" s="1"/>
  <c r="U27" i="26"/>
  <c r="V27" i="26" s="1"/>
  <c r="W27" i="26" s="1"/>
  <c r="X27" i="26" s="1"/>
  <c r="U27" i="28"/>
  <c r="V27" i="28" s="1"/>
  <c r="W27" i="28" s="1"/>
  <c r="X27" i="28" s="1"/>
  <c r="U27" i="24"/>
  <c r="V27" i="24" s="1"/>
  <c r="W27" i="24" s="1"/>
  <c r="X27" i="24" s="1"/>
  <c r="U27" i="25"/>
  <c r="V27" i="25" s="1"/>
  <c r="W27" i="25" s="1"/>
  <c r="X27" i="25" s="1"/>
  <c r="U10" i="27"/>
  <c r="V10" i="27" s="1"/>
  <c r="W10" i="27" s="1"/>
  <c r="X10" i="27" s="1"/>
  <c r="U10" i="28"/>
  <c r="V10" i="28" s="1"/>
  <c r="W10" i="28" s="1"/>
  <c r="X10" i="28" s="1"/>
  <c r="U10" i="26"/>
  <c r="V10" i="26" s="1"/>
  <c r="W10" i="26" s="1"/>
  <c r="X10" i="26" s="1"/>
  <c r="U10" i="24"/>
  <c r="V10" i="24" s="1"/>
  <c r="W10" i="24" s="1"/>
  <c r="X10" i="24" s="1"/>
  <c r="U10" i="25"/>
  <c r="V10" i="25" s="1"/>
  <c r="W10" i="25" s="1"/>
  <c r="X10" i="25" s="1"/>
  <c r="U12" i="24"/>
  <c r="V12" i="24" s="1"/>
  <c r="W12" i="24" s="1"/>
  <c r="X12" i="24" s="1"/>
  <c r="U12" i="26"/>
  <c r="V12" i="26" s="1"/>
  <c r="W12" i="26" s="1"/>
  <c r="X12" i="26" s="1"/>
  <c r="U12" i="28"/>
  <c r="V12" i="28" s="1"/>
  <c r="W12" i="28" s="1"/>
  <c r="X12" i="28" s="1"/>
  <c r="U12" i="27"/>
  <c r="V12" i="27" s="1"/>
  <c r="W12" i="27" s="1"/>
  <c r="X12" i="27" s="1"/>
  <c r="U12" i="25"/>
  <c r="V12" i="25" s="1"/>
  <c r="W12" i="25" s="1"/>
  <c r="X12" i="25" s="1"/>
  <c r="U19" i="27"/>
  <c r="V19" i="27" s="1"/>
  <c r="W19" i="27" s="1"/>
  <c r="X19" i="27" s="1"/>
  <c r="U19" i="28"/>
  <c r="V19" i="28" s="1"/>
  <c r="W19" i="28" s="1"/>
  <c r="X19" i="28" s="1"/>
  <c r="U19" i="24"/>
  <c r="V19" i="24" s="1"/>
  <c r="W19" i="24" s="1"/>
  <c r="X19" i="24" s="1"/>
  <c r="U19" i="26"/>
  <c r="V19" i="26" s="1"/>
  <c r="W19" i="26" s="1"/>
  <c r="X19" i="26" s="1"/>
  <c r="U19" i="25"/>
  <c r="V19" i="25" s="1"/>
  <c r="W19" i="25" s="1"/>
  <c r="X19" i="25" s="1"/>
  <c r="U9" i="25"/>
  <c r="V9" i="25" s="1"/>
  <c r="W9" i="25" s="1"/>
  <c r="X9" i="25" s="1"/>
  <c r="U9" i="27"/>
  <c r="V9" i="27" s="1"/>
  <c r="W9" i="27" s="1"/>
  <c r="X9" i="27" s="1"/>
  <c r="U9" i="24"/>
  <c r="V9" i="24" s="1"/>
  <c r="W9" i="24" s="1"/>
  <c r="X9" i="24" s="1"/>
  <c r="U9" i="26"/>
  <c r="V9" i="26" s="1"/>
  <c r="W9" i="26" s="1"/>
  <c r="X9" i="26" s="1"/>
  <c r="U9" i="28"/>
  <c r="V9" i="28" s="1"/>
  <c r="W9" i="28" s="1"/>
  <c r="X9" i="28" s="1"/>
  <c r="U26" i="26"/>
  <c r="V26" i="26" s="1"/>
  <c r="W26" i="26" s="1"/>
  <c r="X26" i="26" s="1"/>
  <c r="U26" i="27"/>
  <c r="V26" i="27" s="1"/>
  <c r="W26" i="27" s="1"/>
  <c r="X26" i="27" s="1"/>
  <c r="U26" i="24"/>
  <c r="V26" i="24" s="1"/>
  <c r="W26" i="24" s="1"/>
  <c r="X26" i="24" s="1"/>
  <c r="U26" i="25"/>
  <c r="V26" i="25" s="1"/>
  <c r="W26" i="25" s="1"/>
  <c r="X26" i="25" s="1"/>
  <c r="U26" i="28"/>
  <c r="V26" i="28" s="1"/>
  <c r="W26" i="28" s="1"/>
  <c r="X26" i="28" s="1"/>
  <c r="U15" i="25"/>
  <c r="V15" i="25" s="1"/>
  <c r="W15" i="25" s="1"/>
  <c r="X15" i="25" s="1"/>
  <c r="U15" i="24"/>
  <c r="V15" i="24" s="1"/>
  <c r="W15" i="24" s="1"/>
  <c r="X15" i="24" s="1"/>
  <c r="U15" i="28"/>
  <c r="V15" i="28" s="1"/>
  <c r="W15" i="28" s="1"/>
  <c r="X15" i="28" s="1"/>
  <c r="U15" i="27"/>
  <c r="V15" i="27" s="1"/>
  <c r="W15" i="27" s="1"/>
  <c r="X15" i="27" s="1"/>
  <c r="U15" i="26"/>
  <c r="V15" i="26" s="1"/>
  <c r="W15" i="26" s="1"/>
  <c r="X15" i="26" s="1"/>
  <c r="U41" i="26"/>
  <c r="V41" i="26" s="1"/>
  <c r="W41" i="26" s="1"/>
  <c r="X41" i="26" s="1"/>
  <c r="U41" i="28"/>
  <c r="V41" i="28" s="1"/>
  <c r="W41" i="28" s="1"/>
  <c r="X41" i="28" s="1"/>
  <c r="U41" i="25"/>
  <c r="V41" i="25" s="1"/>
  <c r="W41" i="25" s="1"/>
  <c r="X41" i="25" s="1"/>
  <c r="U41" i="24"/>
  <c r="V41" i="24" s="1"/>
  <c r="W41" i="24" s="1"/>
  <c r="X41" i="24" s="1"/>
  <c r="U41" i="27"/>
  <c r="V41" i="27" s="1"/>
  <c r="W41" i="27" s="1"/>
  <c r="X41" i="27" s="1"/>
  <c r="U50" i="25"/>
  <c r="V50" i="25" s="1"/>
  <c r="W50" i="25" s="1"/>
  <c r="X50" i="25" s="1"/>
  <c r="U50" i="26"/>
  <c r="V50" i="26" s="1"/>
  <c r="W50" i="26" s="1"/>
  <c r="X50" i="26" s="1"/>
  <c r="U50" i="24"/>
  <c r="V50" i="24" s="1"/>
  <c r="W50" i="24" s="1"/>
  <c r="X50" i="24" s="1"/>
  <c r="U50" i="28"/>
  <c r="V50" i="28" s="1"/>
  <c r="W50" i="28" s="1"/>
  <c r="X50" i="28" s="1"/>
  <c r="U50" i="27"/>
  <c r="V50" i="27" s="1"/>
  <c r="W50" i="27" s="1"/>
  <c r="X50" i="27" s="1"/>
  <c r="U53" i="24"/>
  <c r="V53" i="24" s="1"/>
  <c r="W53" i="24" s="1"/>
  <c r="X53" i="24" s="1"/>
  <c r="U53" i="28"/>
  <c r="V53" i="28" s="1"/>
  <c r="W53" i="28" s="1"/>
  <c r="X53" i="28" s="1"/>
  <c r="U53" i="25"/>
  <c r="V53" i="25" s="1"/>
  <c r="W53" i="25" s="1"/>
  <c r="X53" i="25" s="1"/>
  <c r="U53" i="26"/>
  <c r="V53" i="26" s="1"/>
  <c r="W53" i="26" s="1"/>
  <c r="X53" i="26" s="1"/>
  <c r="U53" i="27"/>
  <c r="V53" i="27" s="1"/>
  <c r="W53" i="27" s="1"/>
  <c r="X53" i="27" s="1"/>
  <c r="U8" i="24"/>
  <c r="V8" i="24" s="1"/>
  <c r="W8" i="24" s="1"/>
  <c r="X8" i="24" s="1"/>
  <c r="U8" i="28"/>
  <c r="V8" i="28" s="1"/>
  <c r="W8" i="28" s="1"/>
  <c r="X8" i="28" s="1"/>
  <c r="U8" i="26"/>
  <c r="V8" i="26" s="1"/>
  <c r="W8" i="26" s="1"/>
  <c r="X8" i="26" s="1"/>
  <c r="U8" i="27"/>
  <c r="V8" i="27" s="1"/>
  <c r="W8" i="27" s="1"/>
  <c r="X8" i="27" s="1"/>
  <c r="U8" i="25"/>
  <c r="V8" i="25" s="1"/>
  <c r="W8" i="25" s="1"/>
  <c r="X8" i="25" s="1"/>
  <c r="U33" i="27"/>
  <c r="V33" i="27" s="1"/>
  <c r="W33" i="27" s="1"/>
  <c r="X33" i="27" s="1"/>
  <c r="U33" i="26"/>
  <c r="V33" i="26" s="1"/>
  <c r="W33" i="26" s="1"/>
  <c r="X33" i="26" s="1"/>
  <c r="U33" i="24"/>
  <c r="V33" i="24" s="1"/>
  <c r="W33" i="24" s="1"/>
  <c r="X33" i="24" s="1"/>
  <c r="U33" i="28"/>
  <c r="V33" i="28" s="1"/>
  <c r="W33" i="28" s="1"/>
  <c r="X33" i="28" s="1"/>
  <c r="U33" i="25"/>
  <c r="V33" i="25" s="1"/>
  <c r="W33" i="25" s="1"/>
  <c r="X33" i="25" s="1"/>
  <c r="U5" i="26"/>
  <c r="V5" i="26" s="1"/>
  <c r="W5" i="26" s="1"/>
  <c r="X5" i="26" s="1"/>
  <c r="U5" i="24"/>
  <c r="V5" i="24" s="1"/>
  <c r="W5" i="24" s="1"/>
  <c r="X5" i="24" s="1"/>
  <c r="U5" i="27"/>
  <c r="V5" i="27" s="1"/>
  <c r="W5" i="27" s="1"/>
  <c r="X5" i="27" s="1"/>
  <c r="U5" i="28"/>
  <c r="V5" i="28" s="1"/>
  <c r="W5" i="28" s="1"/>
  <c r="X5" i="28" s="1"/>
  <c r="U5" i="25"/>
  <c r="V5" i="25" s="1"/>
  <c r="W5" i="25" s="1"/>
  <c r="X5" i="25" s="1"/>
  <c r="U28" i="26"/>
  <c r="V28" i="26" s="1"/>
  <c r="W28" i="26" s="1"/>
  <c r="X28" i="26" s="1"/>
  <c r="U28" i="25"/>
  <c r="V28" i="25" s="1"/>
  <c r="W28" i="25" s="1"/>
  <c r="X28" i="25" s="1"/>
  <c r="U28" i="27"/>
  <c r="V28" i="27" s="1"/>
  <c r="W28" i="27" s="1"/>
  <c r="X28" i="27" s="1"/>
  <c r="U28" i="24"/>
  <c r="V28" i="24" s="1"/>
  <c r="W28" i="24" s="1"/>
  <c r="X28" i="24" s="1"/>
  <c r="U28" i="28"/>
  <c r="V28" i="28" s="1"/>
  <c r="W28" i="28" s="1"/>
  <c r="X28" i="28" s="1"/>
  <c r="U32" i="27"/>
  <c r="V32" i="27" s="1"/>
  <c r="W32" i="27" s="1"/>
  <c r="X32" i="27" s="1"/>
  <c r="U32" i="24"/>
  <c r="V32" i="24" s="1"/>
  <c r="W32" i="24" s="1"/>
  <c r="X32" i="24" s="1"/>
  <c r="U32" i="25"/>
  <c r="V32" i="25" s="1"/>
  <c r="W32" i="25" s="1"/>
  <c r="X32" i="25" s="1"/>
  <c r="U32" i="28"/>
  <c r="V32" i="28" s="1"/>
  <c r="W32" i="28" s="1"/>
  <c r="X32" i="28" s="1"/>
  <c r="U32" i="26"/>
  <c r="V32" i="26" s="1"/>
  <c r="W32" i="26" s="1"/>
  <c r="X32" i="26" s="1"/>
  <c r="U42" i="28"/>
  <c r="V42" i="28" s="1"/>
  <c r="W42" i="28" s="1"/>
  <c r="X42" i="28" s="1"/>
  <c r="U42" i="27"/>
  <c r="V42" i="27" s="1"/>
  <c r="W42" i="27" s="1"/>
  <c r="X42" i="27" s="1"/>
  <c r="U42" i="26"/>
  <c r="V42" i="26" s="1"/>
  <c r="W42" i="26" s="1"/>
  <c r="X42" i="26" s="1"/>
  <c r="U42" i="24"/>
  <c r="V42" i="24" s="1"/>
  <c r="W42" i="24" s="1"/>
  <c r="X42" i="24" s="1"/>
  <c r="U42" i="25"/>
  <c r="V42" i="25" s="1"/>
  <c r="W42" i="25" s="1"/>
  <c r="X42" i="25" s="1"/>
  <c r="U7" i="28"/>
  <c r="V7" i="28" s="1"/>
  <c r="W7" i="28" s="1"/>
  <c r="X7" i="28" s="1"/>
  <c r="U7" i="24"/>
  <c r="V7" i="24" s="1"/>
  <c r="W7" i="24" s="1"/>
  <c r="X7" i="24" s="1"/>
  <c r="U7" i="26"/>
  <c r="V7" i="26" s="1"/>
  <c r="W7" i="26" s="1"/>
  <c r="X7" i="26" s="1"/>
  <c r="U7" i="27"/>
  <c r="V7" i="27" s="1"/>
  <c r="W7" i="27" s="1"/>
  <c r="X7" i="27" s="1"/>
  <c r="U7" i="25"/>
  <c r="V7" i="25" s="1"/>
  <c r="W7" i="25" s="1"/>
  <c r="X7" i="25" s="1"/>
  <c r="U23" i="24"/>
  <c r="V23" i="24" s="1"/>
  <c r="W23" i="24" s="1"/>
  <c r="X23" i="24" s="1"/>
  <c r="U23" i="28"/>
  <c r="V23" i="28" s="1"/>
  <c r="W23" i="28" s="1"/>
  <c r="X23" i="28" s="1"/>
  <c r="U23" i="27"/>
  <c r="V23" i="27" s="1"/>
  <c r="W23" i="27" s="1"/>
  <c r="X23" i="27" s="1"/>
  <c r="U23" i="26"/>
  <c r="V23" i="26" s="1"/>
  <c r="W23" i="26" s="1"/>
  <c r="X23" i="26" s="1"/>
  <c r="U23" i="25"/>
  <c r="V23" i="25" s="1"/>
  <c r="W23" i="25" s="1"/>
  <c r="X23" i="25" s="1"/>
  <c r="U17" i="24"/>
  <c r="V17" i="24" s="1"/>
  <c r="W17" i="24" s="1"/>
  <c r="X17" i="24" s="1"/>
  <c r="U17" i="25"/>
  <c r="V17" i="25" s="1"/>
  <c r="W17" i="25" s="1"/>
  <c r="X17" i="25" s="1"/>
  <c r="U17" i="27"/>
  <c r="V17" i="27" s="1"/>
  <c r="W17" i="27" s="1"/>
  <c r="X17" i="27" s="1"/>
  <c r="U17" i="26"/>
  <c r="V17" i="26" s="1"/>
  <c r="W17" i="26" s="1"/>
  <c r="X17" i="26" s="1"/>
  <c r="U17" i="28"/>
  <c r="V17" i="28" s="1"/>
  <c r="W17" i="28" s="1"/>
  <c r="X17" i="28" s="1"/>
  <c r="U29" i="26"/>
  <c r="V29" i="26" s="1"/>
  <c r="W29" i="26" s="1"/>
  <c r="X29" i="26" s="1"/>
  <c r="U29" i="27"/>
  <c r="V29" i="27" s="1"/>
  <c r="W29" i="27" s="1"/>
  <c r="X29" i="27" s="1"/>
  <c r="U29" i="25"/>
  <c r="V29" i="25" s="1"/>
  <c r="W29" i="25" s="1"/>
  <c r="X29" i="25" s="1"/>
  <c r="U29" i="28"/>
  <c r="V29" i="28" s="1"/>
  <c r="W29" i="28" s="1"/>
  <c r="X29" i="28" s="1"/>
  <c r="U29" i="24"/>
  <c r="V29" i="24" s="1"/>
  <c r="W29" i="24" s="1"/>
  <c r="X29" i="24" s="1"/>
  <c r="U43" i="25"/>
  <c r="V43" i="25" s="1"/>
  <c r="W43" i="25" s="1"/>
  <c r="X43" i="25" s="1"/>
  <c r="U43" i="26"/>
  <c r="V43" i="26" s="1"/>
  <c r="W43" i="26" s="1"/>
  <c r="X43" i="26" s="1"/>
  <c r="U43" i="24"/>
  <c r="V43" i="24" s="1"/>
  <c r="W43" i="24" s="1"/>
  <c r="X43" i="24" s="1"/>
  <c r="U43" i="27"/>
  <c r="V43" i="27" s="1"/>
  <c r="W43" i="27" s="1"/>
  <c r="X43" i="27" s="1"/>
  <c r="U43" i="28"/>
  <c r="V43" i="28" s="1"/>
  <c r="W43" i="28" s="1"/>
  <c r="X43" i="28" s="1"/>
  <c r="U24" i="26"/>
  <c r="V24" i="26" s="1"/>
  <c r="W24" i="26" s="1"/>
  <c r="X24" i="26" s="1"/>
  <c r="U24" i="24"/>
  <c r="V24" i="24" s="1"/>
  <c r="W24" i="24" s="1"/>
  <c r="X24" i="24" s="1"/>
  <c r="U24" i="25"/>
  <c r="V24" i="25" s="1"/>
  <c r="W24" i="25" s="1"/>
  <c r="X24" i="25" s="1"/>
  <c r="U24" i="27"/>
  <c r="V24" i="27" s="1"/>
  <c r="W24" i="27" s="1"/>
  <c r="X24" i="27" s="1"/>
  <c r="U24" i="28"/>
  <c r="V24" i="28" s="1"/>
  <c r="W24" i="28" s="1"/>
  <c r="X24" i="28" s="1"/>
  <c r="U47" i="26"/>
  <c r="V47" i="26" s="1"/>
  <c r="W47" i="26" s="1"/>
  <c r="X47" i="26" s="1"/>
  <c r="U47" i="28"/>
  <c r="V47" i="28" s="1"/>
  <c r="W47" i="28" s="1"/>
  <c r="X47" i="28" s="1"/>
  <c r="U47" i="27"/>
  <c r="V47" i="27" s="1"/>
  <c r="W47" i="27" s="1"/>
  <c r="X47" i="27" s="1"/>
  <c r="U47" i="24"/>
  <c r="V47" i="24" s="1"/>
  <c r="W47" i="24" s="1"/>
  <c r="X47" i="24" s="1"/>
  <c r="U47" i="25"/>
  <c r="V47" i="25" s="1"/>
  <c r="W47" i="25" s="1"/>
  <c r="X47" i="25" s="1"/>
  <c r="V30" i="25"/>
  <c r="W30" i="25" s="1"/>
  <c r="X30" i="25" s="1"/>
  <c r="V54" i="27"/>
  <c r="W54" i="27" s="1"/>
  <c r="X54" i="27" s="1"/>
  <c r="U18" i="28"/>
  <c r="V18" i="28" s="1"/>
  <c r="W18" i="28" s="1"/>
  <c r="X18" i="28" s="1"/>
  <c r="U18" i="27"/>
  <c r="V18" i="27" s="1"/>
  <c r="W18" i="27" s="1"/>
  <c r="X18" i="27" s="1"/>
  <c r="U18" i="24"/>
  <c r="V18" i="24" s="1"/>
  <c r="W18" i="24" s="1"/>
  <c r="X18" i="24" s="1"/>
  <c r="U18" i="26"/>
  <c r="V18" i="26" s="1"/>
  <c r="W18" i="26" s="1"/>
  <c r="X18" i="26" s="1"/>
  <c r="U18" i="25"/>
  <c r="V18" i="25" s="1"/>
  <c r="W18" i="25" s="1"/>
  <c r="X18" i="25" s="1"/>
  <c r="V45" i="24"/>
  <c r="W45" i="24" s="1"/>
  <c r="X45" i="24" s="1"/>
  <c r="V38" i="24"/>
  <c r="W38" i="24" s="1"/>
  <c r="X38" i="24" s="1"/>
  <c r="D52" i="13" l="1"/>
  <c r="D38" i="13"/>
  <c r="D11" i="13"/>
  <c r="D34" i="13"/>
  <c r="D49" i="13"/>
  <c r="D19" i="13"/>
  <c r="D42" i="13"/>
  <c r="D14" i="13"/>
  <c r="D43" i="13"/>
  <c r="D27" i="13"/>
  <c r="D10" i="13"/>
  <c r="D32" i="13"/>
  <c r="D23" i="13"/>
  <c r="D53" i="13"/>
  <c r="E53" i="13" s="1"/>
  <c r="D41" i="13"/>
  <c r="D45" i="13"/>
  <c r="D50" i="13"/>
  <c r="D46" i="13"/>
  <c r="D36" i="13"/>
  <c r="D24" i="13"/>
  <c r="D18" i="13"/>
  <c r="D13" i="13"/>
  <c r="D3" i="13"/>
  <c r="D22" i="13"/>
  <c r="D29" i="13"/>
  <c r="D15" i="13"/>
  <c r="D8" i="13"/>
  <c r="D48" i="13"/>
  <c r="D35" i="13"/>
  <c r="D30" i="13"/>
  <c r="D44" i="13"/>
  <c r="D21" i="13"/>
  <c r="D4" i="13"/>
  <c r="D17" i="13"/>
  <c r="D25" i="13"/>
  <c r="D7" i="13"/>
  <c r="D40" i="13"/>
  <c r="D31" i="13"/>
  <c r="D51" i="13"/>
  <c r="D39" i="13"/>
  <c r="D33" i="13"/>
  <c r="D28" i="13"/>
  <c r="D26" i="13"/>
  <c r="D20" i="13"/>
  <c r="D16" i="13"/>
  <c r="D12" i="13"/>
  <c r="D9" i="13"/>
  <c r="D5" i="13"/>
  <c r="D37" i="13"/>
  <c r="D47" i="13"/>
  <c r="D6" i="13"/>
  <c r="J53" i="13" l="1"/>
  <c r="E52" i="13"/>
  <c r="K53" i="13" l="1"/>
  <c r="L53" i="13" s="1"/>
  <c r="N53" i="13" s="1"/>
  <c r="J52" i="13"/>
  <c r="K52" i="13" s="1"/>
  <c r="L52" i="13" s="1"/>
  <c r="E51" i="13"/>
  <c r="M52" i="13" l="1"/>
  <c r="P52" i="13" s="1"/>
  <c r="N52" i="13"/>
  <c r="M53" i="13"/>
  <c r="P53" i="13" s="1"/>
  <c r="E50" i="13"/>
  <c r="Q53" i="13"/>
  <c r="J51" i="13"/>
  <c r="O52" i="13" l="1"/>
  <c r="O53" i="13"/>
  <c r="R53" i="13"/>
  <c r="S53" i="13" s="1"/>
  <c r="T53" i="13" s="1"/>
  <c r="K51" i="13"/>
  <c r="L51" i="13" s="1"/>
  <c r="M51" i="13" s="1"/>
  <c r="P51" i="13" s="1"/>
  <c r="E49" i="13"/>
  <c r="E48" i="13" s="1"/>
  <c r="J50" i="13"/>
  <c r="Q52" i="13"/>
  <c r="R52" i="13" s="1"/>
  <c r="S52" i="13" s="1"/>
  <c r="T52" i="13" s="1"/>
  <c r="J49" i="13" l="1"/>
  <c r="K49" i="13" s="1"/>
  <c r="L49" i="13" s="1"/>
  <c r="M49" i="13" s="1"/>
  <c r="P49" i="13" s="1"/>
  <c r="N51" i="13"/>
  <c r="O51" i="13" s="1"/>
  <c r="K50" i="13"/>
  <c r="L50" i="13" s="1"/>
  <c r="J48" i="13"/>
  <c r="E47" i="13"/>
  <c r="Q51" i="13" l="1"/>
  <c r="R51" i="13" s="1"/>
  <c r="S51" i="13" s="1"/>
  <c r="T51" i="13" s="1"/>
  <c r="K48" i="13"/>
  <c r="L48" i="13" s="1"/>
  <c r="M48" i="13" s="1"/>
  <c r="P48" i="13" s="1"/>
  <c r="N50" i="13"/>
  <c r="Q50" i="13" s="1"/>
  <c r="M50" i="13"/>
  <c r="P50" i="13" s="1"/>
  <c r="N49" i="13"/>
  <c r="J47" i="13"/>
  <c r="E46" i="13"/>
  <c r="Q49" i="13" l="1"/>
  <c r="R49" i="13" s="1"/>
  <c r="S49" i="13" s="1"/>
  <c r="T49" i="13" s="1"/>
  <c r="O49" i="13"/>
  <c r="O50" i="13"/>
  <c r="N48" i="13"/>
  <c r="O48" i="13" s="1"/>
  <c r="R50" i="13"/>
  <c r="S50" i="13" s="1"/>
  <c r="T50" i="13" s="1"/>
  <c r="E45" i="13"/>
  <c r="J46" i="13"/>
  <c r="K47" i="13"/>
  <c r="L47" i="13" s="1"/>
  <c r="M47" i="13" s="1"/>
  <c r="Q48" i="13" l="1"/>
  <c r="R48" i="13" s="1"/>
  <c r="S48" i="13" s="1"/>
  <c r="T48" i="13" s="1"/>
  <c r="N47" i="13"/>
  <c r="P47" i="13"/>
  <c r="K46" i="13"/>
  <c r="L46" i="13" s="1"/>
  <c r="M46" i="13" s="1"/>
  <c r="J45" i="13"/>
  <c r="E44" i="13"/>
  <c r="Q47" i="13" l="1"/>
  <c r="R47" i="13" s="1"/>
  <c r="S47" i="13" s="1"/>
  <c r="T47" i="13" s="1"/>
  <c r="O47" i="13"/>
  <c r="N46" i="13"/>
  <c r="J44" i="13"/>
  <c r="E43" i="13"/>
  <c r="P46" i="13"/>
  <c r="K45" i="13"/>
  <c r="L45" i="13" s="1"/>
  <c r="M45" i="13" s="1"/>
  <c r="Q46" i="13" l="1"/>
  <c r="R46" i="13" s="1"/>
  <c r="S46" i="13" s="1"/>
  <c r="T46" i="13" s="1"/>
  <c r="O46" i="13"/>
  <c r="N45" i="13"/>
  <c r="J43" i="13"/>
  <c r="E42" i="13"/>
  <c r="K44" i="13"/>
  <c r="L44" i="13" s="1"/>
  <c r="M44" i="13" s="1"/>
  <c r="P45" i="13"/>
  <c r="Q45" i="13" l="1"/>
  <c r="R45" i="13" s="1"/>
  <c r="S45" i="13" s="1"/>
  <c r="T45" i="13" s="1"/>
  <c r="O45" i="13"/>
  <c r="K43" i="13"/>
  <c r="L43" i="13" s="1"/>
  <c r="M43" i="13" s="1"/>
  <c r="P43" i="13" s="1"/>
  <c r="N44" i="13"/>
  <c r="E41" i="13"/>
  <c r="J42" i="13"/>
  <c r="P44" i="13"/>
  <c r="Q44" i="13" l="1"/>
  <c r="R44" i="13" s="1"/>
  <c r="S44" i="13" s="1"/>
  <c r="T44" i="13" s="1"/>
  <c r="O44" i="13"/>
  <c r="N43" i="13"/>
  <c r="O43" i="13" s="1"/>
  <c r="K42" i="13"/>
  <c r="L42" i="13" s="1"/>
  <c r="J41" i="13"/>
  <c r="E40" i="13"/>
  <c r="Q43" i="13" l="1"/>
  <c r="R43" i="13" s="1"/>
  <c r="S43" i="13" s="1"/>
  <c r="T43" i="13" s="1"/>
  <c r="K41" i="13"/>
  <c r="L41" i="13" s="1"/>
  <c r="M41" i="13" s="1"/>
  <c r="P41" i="13" s="1"/>
  <c r="N42" i="13"/>
  <c r="M42" i="13"/>
  <c r="P42" i="13" s="1"/>
  <c r="J40" i="13"/>
  <c r="E39" i="13"/>
  <c r="O42" i="13" l="1"/>
  <c r="N41" i="13"/>
  <c r="Q42" i="13"/>
  <c r="R42" i="13" s="1"/>
  <c r="S42" i="13" s="1"/>
  <c r="T42" i="13" s="1"/>
  <c r="J39" i="13"/>
  <c r="E38" i="13"/>
  <c r="K40" i="13"/>
  <c r="L40" i="13" s="1"/>
  <c r="M40" i="13" s="1"/>
  <c r="Q41" i="13" l="1"/>
  <c r="R41" i="13" s="1"/>
  <c r="S41" i="13" s="1"/>
  <c r="T41" i="13" s="1"/>
  <c r="O41" i="13"/>
  <c r="K39" i="13"/>
  <c r="L39" i="13" s="1"/>
  <c r="N39" i="13" s="1"/>
  <c r="N40" i="13"/>
  <c r="P40" i="13"/>
  <c r="J38" i="13"/>
  <c r="E37" i="13"/>
  <c r="Q40" i="13" l="1"/>
  <c r="R40" i="13" s="1"/>
  <c r="S40" i="13" s="1"/>
  <c r="T40" i="13" s="1"/>
  <c r="O40" i="13"/>
  <c r="M39" i="13"/>
  <c r="P39" i="13" s="1"/>
  <c r="K38" i="13"/>
  <c r="L38" i="13" s="1"/>
  <c r="M38" i="13" s="1"/>
  <c r="P38" i="13" s="1"/>
  <c r="Q39" i="13"/>
  <c r="J37" i="13"/>
  <c r="E36" i="13"/>
  <c r="O39" i="13" l="1"/>
  <c r="R39" i="13"/>
  <c r="S39" i="13" s="1"/>
  <c r="T39" i="13" s="1"/>
  <c r="N38" i="13"/>
  <c r="K37" i="13"/>
  <c r="L37" i="13" s="1"/>
  <c r="M37" i="13" s="1"/>
  <c r="P37" i="13" s="1"/>
  <c r="J36" i="13"/>
  <c r="E35" i="13"/>
  <c r="Q38" i="13" l="1"/>
  <c r="R38" i="13" s="1"/>
  <c r="S38" i="13" s="1"/>
  <c r="T38" i="13" s="1"/>
  <c r="O38" i="13"/>
  <c r="K36" i="13"/>
  <c r="L36" i="13" s="1"/>
  <c r="M36" i="13" s="1"/>
  <c r="P36" i="13" s="1"/>
  <c r="N37" i="13"/>
  <c r="O37" i="13" s="1"/>
  <c r="J35" i="13"/>
  <c r="K35" i="13" s="1"/>
  <c r="L35" i="13" s="1"/>
  <c r="E34" i="13"/>
  <c r="Q37" i="13" l="1"/>
  <c r="R37" i="13" s="1"/>
  <c r="S37" i="13" s="1"/>
  <c r="T37" i="13" s="1"/>
  <c r="N36" i="13"/>
  <c r="O36" i="13" s="1"/>
  <c r="M35" i="13"/>
  <c r="P35" i="13" s="1"/>
  <c r="N35" i="13"/>
  <c r="J34" i="13"/>
  <c r="E33" i="13"/>
  <c r="Q36" i="13" l="1"/>
  <c r="R36" i="13" s="1"/>
  <c r="S36" i="13" s="1"/>
  <c r="T36" i="13" s="1"/>
  <c r="O35" i="13"/>
  <c r="K34" i="13"/>
  <c r="L34" i="13" s="1"/>
  <c r="N34" i="13" s="1"/>
  <c r="Q35" i="13"/>
  <c r="R35" i="13" s="1"/>
  <c r="S35" i="13" s="1"/>
  <c r="T35" i="13" s="1"/>
  <c r="J33" i="13"/>
  <c r="E32" i="13"/>
  <c r="M34" i="13" l="1"/>
  <c r="P34" i="13" s="1"/>
  <c r="Q34" i="13"/>
  <c r="J32" i="13"/>
  <c r="E31" i="13"/>
  <c r="K33" i="13"/>
  <c r="L33" i="13" s="1"/>
  <c r="O34" i="13" l="1"/>
  <c r="R34" i="13"/>
  <c r="S34" i="13" s="1"/>
  <c r="T34" i="13" s="1"/>
  <c r="N33" i="13"/>
  <c r="M33" i="13"/>
  <c r="P33" i="13" s="1"/>
  <c r="E30" i="13"/>
  <c r="J31" i="13"/>
  <c r="K32" i="13"/>
  <c r="L32" i="13" s="1"/>
  <c r="O33" i="13" l="1"/>
  <c r="M32" i="13"/>
  <c r="P32" i="13" s="1"/>
  <c r="K31" i="13"/>
  <c r="L31" i="13" s="1"/>
  <c r="N31" i="13" s="1"/>
  <c r="N32" i="13"/>
  <c r="O32" i="13" s="1"/>
  <c r="Q33" i="13"/>
  <c r="R33" i="13" s="1"/>
  <c r="S33" i="13" s="1"/>
  <c r="T33" i="13" s="1"/>
  <c r="J30" i="13"/>
  <c r="E29" i="13"/>
  <c r="M31" i="13" l="1"/>
  <c r="P31" i="13" s="1"/>
  <c r="K30" i="13"/>
  <c r="L30" i="13" s="1"/>
  <c r="N30" i="13" s="1"/>
  <c r="Q31" i="13"/>
  <c r="Q32" i="13"/>
  <c r="R32" i="13" s="1"/>
  <c r="S32" i="13" s="1"/>
  <c r="T32" i="13" s="1"/>
  <c r="J29" i="13"/>
  <c r="E28" i="13"/>
  <c r="O31" i="13" l="1"/>
  <c r="M30" i="13"/>
  <c r="P30" i="13" s="1"/>
  <c r="R31" i="13"/>
  <c r="S31" i="13" s="1"/>
  <c r="T31" i="13" s="1"/>
  <c r="Q30" i="13"/>
  <c r="J28" i="13"/>
  <c r="E27" i="13"/>
  <c r="K29" i="13"/>
  <c r="L29" i="13" s="1"/>
  <c r="M29" i="13" s="1"/>
  <c r="O30" i="13" l="1"/>
  <c r="R30" i="13"/>
  <c r="S30" i="13" s="1"/>
  <c r="T30" i="13" s="1"/>
  <c r="K28" i="13"/>
  <c r="L28" i="13" s="1"/>
  <c r="M28" i="13" s="1"/>
  <c r="P28" i="13" s="1"/>
  <c r="N29" i="13"/>
  <c r="O29" i="13" s="1"/>
  <c r="J27" i="13"/>
  <c r="P29" i="13"/>
  <c r="E26" i="13"/>
  <c r="Q29" i="13" l="1"/>
  <c r="R29" i="13" s="1"/>
  <c r="S29" i="13" s="1"/>
  <c r="T29" i="13" s="1"/>
  <c r="N28" i="13"/>
  <c r="O28" i="13" s="1"/>
  <c r="K27" i="13"/>
  <c r="L27" i="13" s="1"/>
  <c r="M27" i="13" s="1"/>
  <c r="P27" i="13" s="1"/>
  <c r="J26" i="13"/>
  <c r="E25" i="13"/>
  <c r="Q28" i="13" l="1"/>
  <c r="R28" i="13" s="1"/>
  <c r="S28" i="13" s="1"/>
  <c r="T28" i="13" s="1"/>
  <c r="K26" i="13"/>
  <c r="L26" i="13" s="1"/>
  <c r="M26" i="13" s="1"/>
  <c r="P26" i="13" s="1"/>
  <c r="N27" i="13"/>
  <c r="O27" i="13" s="1"/>
  <c r="J25" i="13"/>
  <c r="E24" i="13"/>
  <c r="Q27" i="13" l="1"/>
  <c r="R27" i="13" s="1"/>
  <c r="S27" i="13" s="1"/>
  <c r="T27" i="13" s="1"/>
  <c r="N26" i="13"/>
  <c r="J24" i="13"/>
  <c r="E23" i="13"/>
  <c r="K25" i="13"/>
  <c r="L25" i="13" s="1"/>
  <c r="Q26" i="13" l="1"/>
  <c r="R26" i="13" s="1"/>
  <c r="S26" i="13" s="1"/>
  <c r="T26" i="13" s="1"/>
  <c r="O26" i="13"/>
  <c r="N25" i="13"/>
  <c r="M25" i="13"/>
  <c r="P25" i="13" s="1"/>
  <c r="J23" i="13"/>
  <c r="E22" i="13"/>
  <c r="K24" i="13"/>
  <c r="L24" i="13" s="1"/>
  <c r="O25" i="13" l="1"/>
  <c r="K23" i="13"/>
  <c r="L23" i="13" s="1"/>
  <c r="M23" i="13" s="1"/>
  <c r="P23" i="13" s="1"/>
  <c r="N24" i="13"/>
  <c r="M24" i="13"/>
  <c r="P24" i="13" s="1"/>
  <c r="Q25" i="13"/>
  <c r="R25" i="13" s="1"/>
  <c r="S25" i="13" s="1"/>
  <c r="T25" i="13" s="1"/>
  <c r="J22" i="13"/>
  <c r="E21" i="13"/>
  <c r="O24" i="13" l="1"/>
  <c r="N23" i="13"/>
  <c r="O23" i="13" s="1"/>
  <c r="Q24" i="13"/>
  <c r="R24" i="13" s="1"/>
  <c r="S24" i="13" s="1"/>
  <c r="T24" i="13" s="1"/>
  <c r="K22" i="13"/>
  <c r="L22" i="13" s="1"/>
  <c r="M22" i="13" s="1"/>
  <c r="J21" i="13"/>
  <c r="E20" i="13"/>
  <c r="Q23" i="13" l="1"/>
  <c r="R23" i="13" s="1"/>
  <c r="S23" i="13" s="1"/>
  <c r="T23" i="13" s="1"/>
  <c r="K21" i="13"/>
  <c r="L21" i="13" s="1"/>
  <c r="M21" i="13" s="1"/>
  <c r="P21" i="13" s="1"/>
  <c r="N22" i="13"/>
  <c r="J20" i="13"/>
  <c r="E19" i="13"/>
  <c r="P22" i="13"/>
  <c r="Q22" i="13" l="1"/>
  <c r="R22" i="13" s="1"/>
  <c r="S22" i="13" s="1"/>
  <c r="T22" i="13" s="1"/>
  <c r="O22" i="13"/>
  <c r="N21" i="13"/>
  <c r="O21" i="13" s="1"/>
  <c r="K20" i="13"/>
  <c r="L20" i="13" s="1"/>
  <c r="M20" i="13" s="1"/>
  <c r="P20" i="13" s="1"/>
  <c r="E18" i="13"/>
  <c r="J19" i="13"/>
  <c r="Q21" i="13" l="1"/>
  <c r="R21" i="13" s="1"/>
  <c r="S21" i="13" s="1"/>
  <c r="T21" i="13" s="1"/>
  <c r="K19" i="13"/>
  <c r="L19" i="13" s="1"/>
  <c r="M19" i="13" s="1"/>
  <c r="P19" i="13" s="1"/>
  <c r="N20" i="13"/>
  <c r="J18" i="13"/>
  <c r="E17" i="13"/>
  <c r="Q20" i="13" l="1"/>
  <c r="R20" i="13" s="1"/>
  <c r="S20" i="13" s="1"/>
  <c r="T20" i="13" s="1"/>
  <c r="O20" i="13"/>
  <c r="N19" i="13"/>
  <c r="J17" i="13"/>
  <c r="E16" i="13"/>
  <c r="K18" i="13"/>
  <c r="L18" i="13" s="1"/>
  <c r="Q19" i="13" l="1"/>
  <c r="R19" i="13" s="1"/>
  <c r="S19" i="13" s="1"/>
  <c r="T19" i="13" s="1"/>
  <c r="O19" i="13"/>
  <c r="N18" i="13"/>
  <c r="M18" i="13"/>
  <c r="P18" i="13" s="1"/>
  <c r="J16" i="13"/>
  <c r="E15" i="13"/>
  <c r="K17" i="13"/>
  <c r="L17" i="13" s="1"/>
  <c r="N17" i="13" s="1"/>
  <c r="O18" i="13" l="1"/>
  <c r="M17" i="13"/>
  <c r="O17" i="13" s="1"/>
  <c r="Q17" i="13"/>
  <c r="Q18" i="13"/>
  <c r="R18" i="13" s="1"/>
  <c r="S18" i="13" s="1"/>
  <c r="T18" i="13" s="1"/>
  <c r="P17" i="13"/>
  <c r="R17" i="13" s="1"/>
  <c r="S17" i="13" s="1"/>
  <c r="T17" i="13" s="1"/>
  <c r="K16" i="13"/>
  <c r="L16" i="13" s="1"/>
  <c r="M16" i="13" s="1"/>
  <c r="J15" i="13"/>
  <c r="E14" i="13"/>
  <c r="N16" i="13" l="1"/>
  <c r="J14" i="13"/>
  <c r="E13" i="13"/>
  <c r="K15" i="13"/>
  <c r="L15" i="13" s="1"/>
  <c r="M15" i="13" s="1"/>
  <c r="P16" i="13"/>
  <c r="Q16" i="13" l="1"/>
  <c r="R16" i="13" s="1"/>
  <c r="S16" i="13" s="1"/>
  <c r="T16" i="13" s="1"/>
  <c r="O16" i="13"/>
  <c r="N15" i="13"/>
  <c r="J13" i="13"/>
  <c r="E12" i="13"/>
  <c r="K14" i="13"/>
  <c r="L14" i="13" s="1"/>
  <c r="P15" i="13"/>
  <c r="Q15" i="13" l="1"/>
  <c r="R15" i="13" s="1"/>
  <c r="S15" i="13" s="1"/>
  <c r="T15" i="13" s="1"/>
  <c r="O15" i="13"/>
  <c r="N14" i="13"/>
  <c r="M14" i="13"/>
  <c r="P14" i="13" s="1"/>
  <c r="J12" i="13"/>
  <c r="E11" i="13"/>
  <c r="K13" i="13"/>
  <c r="L13" i="13" s="1"/>
  <c r="M13" i="13" s="1"/>
  <c r="O14" i="13" l="1"/>
  <c r="N13" i="13"/>
  <c r="O13" i="13" s="1"/>
  <c r="Q14" i="13"/>
  <c r="R14" i="13" s="1"/>
  <c r="S14" i="13" s="1"/>
  <c r="T14" i="13" s="1"/>
  <c r="J11" i="13"/>
  <c r="E10" i="13"/>
  <c r="K12" i="13"/>
  <c r="L12" i="13" s="1"/>
  <c r="M12" i="13" s="1"/>
  <c r="P13" i="13"/>
  <c r="Q13" i="13" l="1"/>
  <c r="R13" i="13" s="1"/>
  <c r="S13" i="13" s="1"/>
  <c r="T13" i="13" s="1"/>
  <c r="K11" i="13"/>
  <c r="L11" i="13" s="1"/>
  <c r="M11" i="13" s="1"/>
  <c r="P11" i="13" s="1"/>
  <c r="N12" i="13"/>
  <c r="O12" i="13" s="1"/>
  <c r="E9" i="13"/>
  <c r="J10" i="13"/>
  <c r="P12" i="13"/>
  <c r="Q12" i="13" l="1"/>
  <c r="N11" i="13"/>
  <c r="R12" i="13"/>
  <c r="S12" i="13" s="1"/>
  <c r="T12" i="13" s="1"/>
  <c r="K10" i="13"/>
  <c r="L10" i="13" s="1"/>
  <c r="M10" i="13" s="1"/>
  <c r="J9" i="13"/>
  <c r="E8" i="13"/>
  <c r="Q11" i="13" l="1"/>
  <c r="R11" i="13" s="1"/>
  <c r="S11" i="13" s="1"/>
  <c r="T11" i="13" s="1"/>
  <c r="O11" i="13"/>
  <c r="K9" i="13"/>
  <c r="L9" i="13" s="1"/>
  <c r="M9" i="13" s="1"/>
  <c r="P9" i="13" s="1"/>
  <c r="N10" i="13"/>
  <c r="J8" i="13"/>
  <c r="E7" i="13"/>
  <c r="P10" i="13"/>
  <c r="Q10" i="13" l="1"/>
  <c r="R10" i="13" s="1"/>
  <c r="S10" i="13" s="1"/>
  <c r="T10" i="13" s="1"/>
  <c r="O10" i="13"/>
  <c r="N9" i="13"/>
  <c r="J7" i="13"/>
  <c r="E6" i="13"/>
  <c r="K8" i="13"/>
  <c r="L8" i="13" s="1"/>
  <c r="N8" i="13" s="1"/>
  <c r="Q9" i="13" l="1"/>
  <c r="R9" i="13" s="1"/>
  <c r="S9" i="13" s="1"/>
  <c r="T9" i="13" s="1"/>
  <c r="O9" i="13"/>
  <c r="M8" i="13"/>
  <c r="O8" i="13" s="1"/>
  <c r="K7" i="13"/>
  <c r="L7" i="13" s="1"/>
  <c r="M7" i="13" s="1"/>
  <c r="P7" i="13" s="1"/>
  <c r="Q8" i="13"/>
  <c r="J6" i="13"/>
  <c r="E5" i="13"/>
  <c r="P8" i="13" l="1"/>
  <c r="R8" i="13" s="1"/>
  <c r="S8" i="13" s="1"/>
  <c r="T8" i="13" s="1"/>
  <c r="N7" i="13"/>
  <c r="O7" i="13" s="1"/>
  <c r="K6" i="13"/>
  <c r="L6" i="13" s="1"/>
  <c r="N6" i="13" s="1"/>
  <c r="J5" i="13"/>
  <c r="E4" i="13"/>
  <c r="Q7" i="13" l="1"/>
  <c r="R7" i="13" s="1"/>
  <c r="S7" i="13" s="1"/>
  <c r="T7" i="13" s="1"/>
  <c r="M6" i="13"/>
  <c r="P6" i="13" s="1"/>
  <c r="Q6" i="13"/>
  <c r="E3" i="13"/>
  <c r="J4" i="13"/>
  <c r="K5" i="13"/>
  <c r="L5" i="13" s="1"/>
  <c r="O6" i="13" l="1"/>
  <c r="R6" i="13"/>
  <c r="S6" i="13" s="1"/>
  <c r="T6" i="13" s="1"/>
  <c r="M5" i="13"/>
  <c r="P5" i="13" s="1"/>
  <c r="N5" i="13"/>
  <c r="K4" i="13"/>
  <c r="L4" i="13" s="1"/>
  <c r="M4" i="13" s="1"/>
  <c r="P4" i="13" s="1"/>
  <c r="J3" i="13"/>
  <c r="O5" i="13" l="1"/>
  <c r="K3" i="13"/>
  <c r="L3" i="13" s="1"/>
  <c r="M3" i="13" s="1"/>
  <c r="P3" i="13" s="1"/>
  <c r="N4" i="13"/>
  <c r="O4" i="13" s="1"/>
  <c r="Q5" i="13"/>
  <c r="R5" i="13" s="1"/>
  <c r="S5" i="13" s="1"/>
  <c r="T5" i="13" s="1"/>
  <c r="Q4" i="13" l="1"/>
  <c r="R4" i="13" s="1"/>
  <c r="S4" i="13" s="1"/>
  <c r="T4" i="13" s="1"/>
  <c r="N3" i="13"/>
  <c r="O3" i="13" s="1"/>
  <c r="Q3" i="13" l="1"/>
  <c r="R3" i="13" s="1"/>
  <c r="S3" i="13" s="1"/>
  <c r="T3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I1" description="Соединение с запросом &quot;I1&quot; в книге." type="5" refreshedVersion="0" background="1">
    <dbPr connection="Provider=Microsoft.Mashup.OleDb.1;Data Source=$Workbook$;Location=I1;Extended Properties=&quot;&quot;" command="SELECT * FROM [I1]"/>
  </connection>
  <connection id="2" xr16:uid="{00000000-0015-0000-FFFF-FFFF01000000}" keepAlive="1" name="Запрос — I1_001" description="Соединение с запросом &quot;I1_001&quot; в книге." type="5" refreshedVersion="0" background="1">
    <dbPr connection="Provider=Microsoft.Mashup.OleDb.1;Data Source=$Workbook$;Location=I1_001;Extended Properties=&quot;&quot;" command="SELECT * FROM [I1_001]"/>
  </connection>
</connections>
</file>

<file path=xl/sharedStrings.xml><?xml version="1.0" encoding="utf-8"?>
<sst xmlns="http://schemas.openxmlformats.org/spreadsheetml/2006/main" count="1116" uniqueCount="205">
  <si>
    <t>Данные с инклинометра</t>
  </si>
  <si>
    <t>Аз скв</t>
  </si>
  <si>
    <t>Глубина</t>
  </si>
  <si>
    <t>А1</t>
  </si>
  <si>
    <t>А3</t>
  </si>
  <si>
    <t>В1</t>
  </si>
  <si>
    <t>В3</t>
  </si>
  <si>
    <t>A</t>
  </si>
  <si>
    <t>В</t>
  </si>
  <si>
    <t>αА</t>
  </si>
  <si>
    <t>αВ</t>
  </si>
  <si>
    <t>Da i</t>
  </si>
  <si>
    <t>Db i</t>
  </si>
  <si>
    <t>Da</t>
  </si>
  <si>
    <t>Db</t>
  </si>
  <si>
    <t>D</t>
  </si>
  <si>
    <t>Аз (A-B)</t>
  </si>
  <si>
    <t>D сев</t>
  </si>
  <si>
    <t>D восток</t>
  </si>
  <si>
    <t>ΔD сев</t>
  </si>
  <si>
    <t>ΔD восток</t>
  </si>
  <si>
    <t>ΔD</t>
  </si>
  <si>
    <t>Аз откл</t>
  </si>
  <si>
    <t>Скважина</t>
  </si>
  <si>
    <t xml:space="preserve"> Отклонение от референсного положения в направлении Юг-Север (мм)</t>
  </si>
  <si>
    <t>Отклонение от референсного положения в направлении Запад-Восток (мм)</t>
  </si>
  <si>
    <t xml:space="preserve"> Общее отклонение от референсного положения (мм)</t>
  </si>
  <si>
    <t>Азимут отклонения, град</t>
  </si>
  <si>
    <t xml:space="preserve">  20.5</t>
  </si>
  <si>
    <t xml:space="preserve">  20.0</t>
  </si>
  <si>
    <t xml:space="preserve">  19.5</t>
  </si>
  <si>
    <t xml:space="preserve">  19.0</t>
  </si>
  <si>
    <t xml:space="preserve">  18.5</t>
  </si>
  <si>
    <t xml:space="preserve">  18.0</t>
  </si>
  <si>
    <t xml:space="preserve">  17.5</t>
  </si>
  <si>
    <t xml:space="preserve">  17.0</t>
  </si>
  <si>
    <t xml:space="preserve">  16.5</t>
  </si>
  <si>
    <t xml:space="preserve">  16.0</t>
  </si>
  <si>
    <t xml:space="preserve">  15.5</t>
  </si>
  <si>
    <t xml:space="preserve">  15.0</t>
  </si>
  <si>
    <t xml:space="preserve">  14.5</t>
  </si>
  <si>
    <t xml:space="preserve">  14.0</t>
  </si>
  <si>
    <t xml:space="preserve">  13.5</t>
  </si>
  <si>
    <t xml:space="preserve">  13.0</t>
  </si>
  <si>
    <t xml:space="preserve">  12.5</t>
  </si>
  <si>
    <t xml:space="preserve">  12.0</t>
  </si>
  <si>
    <t xml:space="preserve">  11.5</t>
  </si>
  <si>
    <t xml:space="preserve">  11.0</t>
  </si>
  <si>
    <t xml:space="preserve">  10.5</t>
  </si>
  <si>
    <t xml:space="preserve">  10.0</t>
  </si>
  <si>
    <t xml:space="preserve">   9.5</t>
  </si>
  <si>
    <t xml:space="preserve">   9.0</t>
  </si>
  <si>
    <t xml:space="preserve">   8.5</t>
  </si>
  <si>
    <t xml:space="preserve">   8.0</t>
  </si>
  <si>
    <t xml:space="preserve">   7.5</t>
  </si>
  <si>
    <t xml:space="preserve">   7.0</t>
  </si>
  <si>
    <t xml:space="preserve">   6.5</t>
  </si>
  <si>
    <t xml:space="preserve">   6.0</t>
  </si>
  <si>
    <t xml:space="preserve">   5.5</t>
  </si>
  <si>
    <t xml:space="preserve">   5.0</t>
  </si>
  <si>
    <t xml:space="preserve">   4.5</t>
  </si>
  <si>
    <t xml:space="preserve">   4.0</t>
  </si>
  <si>
    <t xml:space="preserve">   3.5</t>
  </si>
  <si>
    <t xml:space="preserve">   3.0</t>
  </si>
  <si>
    <t xml:space="preserve">   2.5</t>
  </si>
  <si>
    <t xml:space="preserve">   2.0</t>
  </si>
  <si>
    <t xml:space="preserve">   1.5</t>
  </si>
  <si>
    <t xml:space="preserve">   1.0</t>
  </si>
  <si>
    <t xml:space="preserve">  25.0</t>
  </si>
  <si>
    <t xml:space="preserve">  24.5</t>
  </si>
  <si>
    <t xml:space="preserve">  24.0</t>
  </si>
  <si>
    <t xml:space="preserve">  23.5</t>
  </si>
  <si>
    <t xml:space="preserve">  23.0</t>
  </si>
  <si>
    <t xml:space="preserve">  22.5</t>
  </si>
  <si>
    <t xml:space="preserve">  22.0</t>
  </si>
  <si>
    <t xml:space="preserve">  21.5</t>
  </si>
  <si>
    <t xml:space="preserve">  21.0</t>
  </si>
  <si>
    <t xml:space="preserve">  25.5</t>
  </si>
  <si>
    <t xml:space="preserve">   0.5</t>
  </si>
  <si>
    <t>Координаты X для графиков</t>
  </si>
  <si>
    <t>X Для первого</t>
  </si>
  <si>
    <t>X Для второго</t>
  </si>
  <si>
    <t>X Для третьего</t>
  </si>
  <si>
    <t>X Для четвертого</t>
  </si>
  <si>
    <t>Устье скважины</t>
  </si>
  <si>
    <t>Полка под дорогой</t>
  </si>
  <si>
    <t>Полка под габионом</t>
  </si>
  <si>
    <t>Дно котлована</t>
  </si>
  <si>
    <t>Верхний уровень габиона</t>
  </si>
  <si>
    <t>Диапазон на графике</t>
  </si>
  <si>
    <t>Элемент</t>
  </si>
  <si>
    <t>Абс.отм.м.</t>
  </si>
  <si>
    <t xml:space="preserve">   0.0</t>
  </si>
  <si>
    <t>Цикл 11 (08.08.2024)</t>
  </si>
  <si>
    <t>Цикл 12 (09.08.2024)</t>
  </si>
  <si>
    <t>Цикл 13 (10.08.2024)</t>
  </si>
  <si>
    <t>Цикл 9 (02.09.2024)</t>
  </si>
  <si>
    <t>Цикл 10 (09.09.2024)</t>
  </si>
  <si>
    <t xml:space="preserve"> 26.0</t>
  </si>
  <si>
    <t>X1</t>
  </si>
  <si>
    <t>X2</t>
  </si>
  <si>
    <t>X абсолютное (угл. Сек)</t>
  </si>
  <si>
    <t>Перемещение по X, (мм), 01.03.24</t>
  </si>
  <si>
    <t xml:space="preserve"> -3764</t>
  </si>
  <si>
    <t xml:space="preserve"> 163</t>
  </si>
  <si>
    <t xml:space="preserve"> -3132</t>
  </si>
  <si>
    <t xml:space="preserve"> -482</t>
  </si>
  <si>
    <t xml:space="preserve"> -2392</t>
  </si>
  <si>
    <t xml:space="preserve"> -1218</t>
  </si>
  <si>
    <t xml:space="preserve"> -2936</t>
  </si>
  <si>
    <t xml:space="preserve"> -637</t>
  </si>
  <si>
    <t xml:space="preserve"> -3302</t>
  </si>
  <si>
    <t xml:space="preserve"> -308</t>
  </si>
  <si>
    <t xml:space="preserve"> -3018</t>
  </si>
  <si>
    <t xml:space="preserve"> -669</t>
  </si>
  <si>
    <t xml:space="preserve"> -3583</t>
  </si>
  <si>
    <t xml:space="preserve"> 91</t>
  </si>
  <si>
    <t xml:space="preserve"> -3849</t>
  </si>
  <si>
    <t xml:space="preserve"> 267</t>
  </si>
  <si>
    <t xml:space="preserve"> -3933</t>
  </si>
  <si>
    <t xml:space="preserve"> 340</t>
  </si>
  <si>
    <t xml:space="preserve"> -4528</t>
  </si>
  <si>
    <t xml:space="preserve"> 935</t>
  </si>
  <si>
    <t xml:space="preserve"> -5716</t>
  </si>
  <si>
    <t xml:space="preserve"> 2116</t>
  </si>
  <si>
    <t xml:space="preserve"> -7080</t>
  </si>
  <si>
    <t xml:space="preserve"> 3467</t>
  </si>
  <si>
    <t xml:space="preserve"> -8056</t>
  </si>
  <si>
    <t xml:space="preserve"> 4521</t>
  </si>
  <si>
    <t xml:space="preserve"> -7976</t>
  </si>
  <si>
    <t xml:space="preserve"> 4373</t>
  </si>
  <si>
    <t xml:space="preserve"> -7075</t>
  </si>
  <si>
    <t xml:space="preserve"> 3492</t>
  </si>
  <si>
    <t xml:space="preserve"> -5755</t>
  </si>
  <si>
    <t xml:space="preserve"> 2190</t>
  </si>
  <si>
    <t xml:space="preserve"> -4798</t>
  </si>
  <si>
    <t xml:space="preserve"> 1206</t>
  </si>
  <si>
    <t xml:space="preserve"> -4744</t>
  </si>
  <si>
    <t xml:space="preserve"> 1262</t>
  </si>
  <si>
    <t xml:space="preserve"> -5320</t>
  </si>
  <si>
    <t xml:space="preserve"> 1677</t>
  </si>
  <si>
    <t xml:space="preserve"> -5719</t>
  </si>
  <si>
    <t xml:space="preserve"> 2107</t>
  </si>
  <si>
    <t xml:space="preserve"> -5572</t>
  </si>
  <si>
    <t xml:space="preserve"> 2009</t>
  </si>
  <si>
    <t xml:space="preserve"> -5056</t>
  </si>
  <si>
    <t xml:space="preserve"> 1461</t>
  </si>
  <si>
    <t xml:space="preserve"> -4539</t>
  </si>
  <si>
    <t xml:space="preserve"> 934</t>
  </si>
  <si>
    <t xml:space="preserve"> -4139</t>
  </si>
  <si>
    <t xml:space="preserve"> 550</t>
  </si>
  <si>
    <t xml:space="preserve"> -4189</t>
  </si>
  <si>
    <t xml:space="preserve"> 600</t>
  </si>
  <si>
    <t xml:space="preserve"> -3941</t>
  </si>
  <si>
    <t xml:space="preserve"> 359</t>
  </si>
  <si>
    <t xml:space="preserve"> -4014</t>
  </si>
  <si>
    <t xml:space="preserve"> 480</t>
  </si>
  <si>
    <t xml:space="preserve"> -3635</t>
  </si>
  <si>
    <t xml:space="preserve"> 16</t>
  </si>
  <si>
    <t xml:space="preserve"> -2879</t>
  </si>
  <si>
    <t xml:space="preserve"> -695</t>
  </si>
  <si>
    <t xml:space="preserve"> -2201</t>
  </si>
  <si>
    <t xml:space="preserve"> -1318</t>
  </si>
  <si>
    <t xml:space="preserve"> -2483</t>
  </si>
  <si>
    <t xml:space="preserve"> -1194</t>
  </si>
  <si>
    <t xml:space="preserve"> -2666</t>
  </si>
  <si>
    <t xml:space="preserve"> -908</t>
  </si>
  <si>
    <t xml:space="preserve"> -3029</t>
  </si>
  <si>
    <t xml:space="preserve"> -522</t>
  </si>
  <si>
    <t xml:space="preserve"> -3361</t>
  </si>
  <si>
    <t xml:space="preserve"> -268</t>
  </si>
  <si>
    <t xml:space="preserve"> -4001</t>
  </si>
  <si>
    <t xml:space="preserve"> 457</t>
  </si>
  <si>
    <t xml:space="preserve"> -4329</t>
  </si>
  <si>
    <t xml:space="preserve"> 852</t>
  </si>
  <si>
    <t xml:space="preserve"> -4317</t>
  </si>
  <si>
    <t xml:space="preserve"> 599</t>
  </si>
  <si>
    <t xml:space="preserve"> -516</t>
  </si>
  <si>
    <t xml:space="preserve"> -1833</t>
  </si>
  <si>
    <t xml:space="preserve"> -1741</t>
  </si>
  <si>
    <t xml:space="preserve"> -1411</t>
  </si>
  <si>
    <t xml:space="preserve"> -2193</t>
  </si>
  <si>
    <t xml:space="preserve"> -1059</t>
  </si>
  <si>
    <t xml:space="preserve"> -2512</t>
  </si>
  <si>
    <t xml:space="preserve"> -632</t>
  </si>
  <si>
    <t xml:space="preserve"> -2847</t>
  </si>
  <si>
    <t>Перемещение по Y, (мм), 15.03.24</t>
  </si>
  <si>
    <t>Y1</t>
  </si>
  <si>
    <t>Y2</t>
  </si>
  <si>
    <t>Y абсолютное (угл. Сек)</t>
  </si>
  <si>
    <t>Дата нулевого цикла измерений</t>
  </si>
  <si>
    <t>Суммарное перемещение, мм</t>
  </si>
  <si>
    <t>Азимут (в системе координат скважины)</t>
  </si>
  <si>
    <t>Азимут, абсолютный</t>
  </si>
  <si>
    <t>Цикл 2 (01.03.24)</t>
  </si>
  <si>
    <t>Цикл 3 (01.03.24)</t>
  </si>
  <si>
    <t>Цикл 1 (21.10.24)</t>
  </si>
  <si>
    <t>Dрез</t>
  </si>
  <si>
    <t xml:space="preserve"> Абсолютное отклонение скважины в направлении Юг-Север (мм)</t>
  </si>
  <si>
    <t xml:space="preserve"> Абсолютное отклонение скважины в направлении Запад-Восток (мм)</t>
  </si>
  <si>
    <t xml:space="preserve"> Абсолютное отклонение скважины суммарное (мм)</t>
  </si>
  <si>
    <t>Горизонтальное отклонение скважины от вертикали по оси X, (мм)</t>
  </si>
  <si>
    <t>Горизонтальное отклонение скважины от вертикали по оси Y, (мм)</t>
  </si>
  <si>
    <t>Горизонтальное отклонение скважины от вертикали результирующее (мм)</t>
  </si>
  <si>
    <t>Нулевой цикл (24.06)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</si>
</sst>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Calibri"/>
      <family val="2"/>
      <scheme val="minor"/>
    </font>
    <font>
      <sz val="12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3" fillId="0" borderId="0" xfId="0" applyFont="1"/>
    <xf numFmtId="2" fontId="0" fillId="2" borderId="0" xfId="0" applyNumberFormat="1" applyFill="1"/>
    <xf numFmtId="49" fontId="0" fillId="0" borderId="0" xfId="0" applyNumberFormat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8" fillId="3" borderId="1" xfId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2" borderId="1" xfId="0" applyNumberFormat="1" applyFill="1" applyBorder="1"/>
    <xf numFmtId="0" fontId="3" fillId="0" borderId="5" xfId="0" applyFont="1" applyBorder="1"/>
    <xf numFmtId="0" fontId="3" fillId="0" borderId="6" xfId="0" applyFont="1" applyBorder="1"/>
    <xf numFmtId="0" fontId="4" fillId="0" borderId="6" xfId="0" applyFont="1" applyBorder="1"/>
    <xf numFmtId="0" fontId="4" fillId="0" borderId="6" xfId="0" applyFont="1" applyBorder="1" applyAlignment="1">
      <alignment horizontal="right"/>
    </xf>
    <xf numFmtId="0" fontId="3" fillId="0" borderId="7" xfId="0" applyFont="1" applyBorder="1"/>
    <xf numFmtId="0" fontId="3" fillId="0" borderId="8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4" fillId="0" borderId="6" xfId="0" applyFont="1" applyBorder="1" applyAlignment="1">
      <alignment horizontal="left"/>
    </xf>
    <xf numFmtId="0" fontId="3" fillId="0" borderId="0" xfId="0" applyFont="1" applyBorder="1" applyAlignment="1">
      <alignment wrapText="1"/>
    </xf>
    <xf numFmtId="14" fontId="3" fillId="0" borderId="0" xfId="0" applyNumberFormat="1" applyFont="1" applyBorder="1" applyAlignment="1"/>
    <xf numFmtId="0" fontId="7" fillId="0" borderId="0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0" borderId="0" xfId="4"/>
    <xf numFmtId="0" fontId="0" fillId="0" borderId="1" xfId="0" applyFill="1" applyBorder="1"/>
    <xf numFmtId="49" fontId="0" fillId="0" borderId="0" xfId="0" applyNumberFormat="1" applyFill="1"/>
    <xf numFmtId="0" fontId="0" fillId="0" borderId="0" xfId="0" applyFill="1"/>
    <xf numFmtId="14" fontId="3" fillId="0" borderId="0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/>
    <xf numFmtId="49" fontId="0" fillId="2" borderId="0" xfId="0" applyNumberFormat="1" applyFill="1"/>
    <xf numFmtId="2" fontId="0" fillId="2" borderId="1" xfId="0" applyNumberForma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6">
    <cellStyle name="Обычный" xfId="0" builtinId="0"/>
    <cellStyle name="Обычный 2" xfId="1" xr:uid="{00000000-0005-0000-0000-000001000000}"/>
    <cellStyle name="Обычный 2 2" xfId="3" xr:uid="{00000000-0005-0000-0000-000002000000}"/>
    <cellStyle name="Обычный 3" xfId="4" xr:uid="{00000000-0005-0000-0000-000003000000}"/>
    <cellStyle name="Обычный 4" xfId="5" xr:uid="{00000000-0005-0000-0000-000004000000}"/>
    <cellStyle name="Обычный 5" xfId="2" xr:uid="{00000000-0005-0000-0000-000005000000}"/>
  </cellStyles>
  <dxfs count="0"/>
  <tableStyles count="0" defaultTableStyle="TableStyleMedium2" defaultPivotStyle="PivotStyleMedium9"/>
  <colors>
    <mruColors>
      <color rgb="FF33CC33"/>
      <color rgb="FFF68BF9"/>
      <color rgb="FF008000"/>
      <color rgb="FF66FF33"/>
      <color rgb="FF00FFFF"/>
      <color rgb="FF00CC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701797883620701E-2"/>
          <c:y val="3.4857468903343604E-2"/>
          <c:w val="0.83147629169954274"/>
          <c:h val="0.85591309717397279"/>
        </c:manualLayout>
      </c:layout>
      <c:scatterChart>
        <c:scatterStyle val="lineMarker"/>
        <c:varyColors val="0"/>
        <c:ser>
          <c:idx val="10"/>
          <c:order val="0"/>
          <c:tx>
            <c:strRef>
              <c:f>'21.10.24'!$B$1:$I$1</c:f>
              <c:strCache>
                <c:ptCount val="1"/>
                <c:pt idx="0">
                  <c:v>Цикл 1 (21.10.24)</c:v>
                </c:pt>
              </c:strCache>
            </c:strRef>
          </c:tx>
          <c:spPr>
            <a:ln w="25400"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'21.10.24'!$P$3:$P$125</c:f>
              <c:numCache>
                <c:formatCode>General</c:formatCode>
                <c:ptCount val="123"/>
                <c:pt idx="0">
                  <c:v>-2.4653862119596397</c:v>
                </c:pt>
                <c:pt idx="1">
                  <c:v>-0.59429591986645391</c:v>
                </c:pt>
                <c:pt idx="2">
                  <c:v>0.53547909847077335</c:v>
                </c:pt>
                <c:pt idx="3">
                  <c:v>-0.31956788767649869</c:v>
                </c:pt>
                <c:pt idx="4">
                  <c:v>-1.5394601230780154</c:v>
                </c:pt>
                <c:pt idx="5">
                  <c:v>-2.1407489294938387</c:v>
                </c:pt>
                <c:pt idx="6">
                  <c:v>-2.4446055142755085</c:v>
                </c:pt>
                <c:pt idx="7">
                  <c:v>-2.4327277817119466</c:v>
                </c:pt>
                <c:pt idx="8">
                  <c:v>-2.6590052238794897</c:v>
                </c:pt>
                <c:pt idx="9">
                  <c:v>-2.9073427397240721</c:v>
                </c:pt>
                <c:pt idx="10">
                  <c:v>-2.6828772394042062</c:v>
                </c:pt>
                <c:pt idx="11">
                  <c:v>-2.2679980223061875</c:v>
                </c:pt>
                <c:pt idx="12">
                  <c:v>-1.8148206673251934</c:v>
                </c:pt>
                <c:pt idx="13">
                  <c:v>-1.6915584487483102</c:v>
                </c:pt>
                <c:pt idx="14">
                  <c:v>-1.8971149936368192</c:v>
                </c:pt>
                <c:pt idx="15">
                  <c:v>-2.3934387801004959</c:v>
                </c:pt>
                <c:pt idx="16">
                  <c:v>-2.8063755785858575</c:v>
                </c:pt>
                <c:pt idx="17">
                  <c:v>-2.864674063256416</c:v>
                </c:pt>
                <c:pt idx="18">
                  <c:v>-2.8460088758735083</c:v>
                </c:pt>
                <c:pt idx="19">
                  <c:v>-2.9635752992456901</c:v>
                </c:pt>
                <c:pt idx="20">
                  <c:v>-3.083444837615275</c:v>
                </c:pt>
                <c:pt idx="21">
                  <c:v>-3.6374656223374586</c:v>
                </c:pt>
                <c:pt idx="22">
                  <c:v>-4.1895467548166607</c:v>
                </c:pt>
                <c:pt idx="23">
                  <c:v>-4.5632149968575959</c:v>
                </c:pt>
                <c:pt idx="24">
                  <c:v>-4.9886333291003666</c:v>
                </c:pt>
                <c:pt idx="25">
                  <c:v>-5.1379521672474766</c:v>
                </c:pt>
                <c:pt idx="26">
                  <c:v>-4.9637891573995603</c:v>
                </c:pt>
                <c:pt idx="27">
                  <c:v>-4.8833112058076722</c:v>
                </c:pt>
                <c:pt idx="28">
                  <c:v>-5.1460778700620722</c:v>
                </c:pt>
                <c:pt idx="29">
                  <c:v>-5.8793561838064079</c:v>
                </c:pt>
                <c:pt idx="30">
                  <c:v>-6.5726393142302868</c:v>
                </c:pt>
                <c:pt idx="31">
                  <c:v>-7.1102974516065842</c:v>
                </c:pt>
                <c:pt idx="32">
                  <c:v>-6.9739436804246679</c:v>
                </c:pt>
                <c:pt idx="33">
                  <c:v>-6.0803110569578394</c:v>
                </c:pt>
                <c:pt idx="34">
                  <c:v>-5.5859225585995773</c:v>
                </c:pt>
                <c:pt idx="35">
                  <c:v>-6.1692745232355719</c:v>
                </c:pt>
                <c:pt idx="36">
                  <c:v>-7.1441121960621103</c:v>
                </c:pt>
                <c:pt idx="37">
                  <c:v>-7.4626287975089554</c:v>
                </c:pt>
                <c:pt idx="38">
                  <c:v>-7.2597431133389136</c:v>
                </c:pt>
                <c:pt idx="39">
                  <c:v>-6.779054575840064</c:v>
                </c:pt>
                <c:pt idx="40">
                  <c:v>-6.6319145968462863</c:v>
                </c:pt>
                <c:pt idx="41">
                  <c:v>-7.0441240796203601</c:v>
                </c:pt>
                <c:pt idx="42">
                  <c:v>-7.9547133194529351</c:v>
                </c:pt>
                <c:pt idx="43">
                  <c:v>-9.0706089344663496</c:v>
                </c:pt>
                <c:pt idx="44">
                  <c:v>-9.2847721081905092</c:v>
                </c:pt>
                <c:pt idx="45">
                  <c:v>-8.7549924453508083</c:v>
                </c:pt>
                <c:pt idx="46">
                  <c:v>-8.4598635236756081</c:v>
                </c:pt>
                <c:pt idx="47">
                  <c:v>-8.6437214518670089</c:v>
                </c:pt>
                <c:pt idx="48">
                  <c:v>-9.3572600743980274</c:v>
                </c:pt>
                <c:pt idx="49">
                  <c:v>-10.362098123029455</c:v>
                </c:pt>
                <c:pt idx="50">
                  <c:v>-11.644747063717546</c:v>
                </c:pt>
                <c:pt idx="51">
                  <c:v>-12.320055610973895</c:v>
                </c:pt>
                <c:pt idx="52">
                  <c:v>-12.427913663438289</c:v>
                </c:pt>
                <c:pt idx="53">
                  <c:v>-12.358588153626101</c:v>
                </c:pt>
                <c:pt idx="54">
                  <c:v>-12.168905561725524</c:v>
                </c:pt>
                <c:pt idx="55">
                  <c:v>-11.857413780071965</c:v>
                </c:pt>
                <c:pt idx="56">
                  <c:v>-11.168262136898647</c:v>
                </c:pt>
                <c:pt idx="57">
                  <c:v>-11.524234409479732</c:v>
                </c:pt>
                <c:pt idx="58">
                  <c:v>-11.859119442753354</c:v>
                </c:pt>
                <c:pt idx="59">
                  <c:v>-12.081648823132241</c:v>
                </c:pt>
                <c:pt idx="60">
                  <c:v>-12.203335889120467</c:v>
                </c:pt>
                <c:pt idx="61">
                  <c:v>-12.261026669924604</c:v>
                </c:pt>
                <c:pt idx="62">
                  <c:v>-12.963365513988833</c:v>
                </c:pt>
                <c:pt idx="63">
                  <c:v>-13.757687602744681</c:v>
                </c:pt>
                <c:pt idx="64">
                  <c:v>-14.823966376267663</c:v>
                </c:pt>
                <c:pt idx="65">
                  <c:v>-15.634367290062301</c:v>
                </c:pt>
                <c:pt idx="66">
                  <c:v>-15.928599481146875</c:v>
                </c:pt>
                <c:pt idx="67">
                  <c:v>-15.242980201132468</c:v>
                </c:pt>
                <c:pt idx="68">
                  <c:v>-14.169946860346499</c:v>
                </c:pt>
                <c:pt idx="69">
                  <c:v>-14.014106793424617</c:v>
                </c:pt>
                <c:pt idx="70">
                  <c:v>-13.918976085643635</c:v>
                </c:pt>
                <c:pt idx="71">
                  <c:v>-14.360708515275178</c:v>
                </c:pt>
                <c:pt idx="72">
                  <c:v>-14.679561121587312</c:v>
                </c:pt>
                <c:pt idx="73">
                  <c:v>-15.198997995529112</c:v>
                </c:pt>
                <c:pt idx="74">
                  <c:v>-15.085680591767073</c:v>
                </c:pt>
                <c:pt idx="75">
                  <c:v>-15.306557745615692</c:v>
                </c:pt>
                <c:pt idx="76">
                  <c:v>-15.46467785534287</c:v>
                </c:pt>
                <c:pt idx="77">
                  <c:v>-15.43620535358798</c:v>
                </c:pt>
                <c:pt idx="78">
                  <c:v>-15.794726944205195</c:v>
                </c:pt>
                <c:pt idx="79">
                  <c:v>-15.984349529575923</c:v>
                </c:pt>
                <c:pt idx="80">
                  <c:v>-16.179307431684038</c:v>
                </c:pt>
                <c:pt idx="81">
                  <c:v>-16.329694645909001</c:v>
                </c:pt>
                <c:pt idx="82">
                  <c:v>-16.450759178171211</c:v>
                </c:pt>
                <c:pt idx="83">
                  <c:v>-16.975391208799238</c:v>
                </c:pt>
                <c:pt idx="84">
                  <c:v>-17.251106361751226</c:v>
                </c:pt>
                <c:pt idx="85">
                  <c:v>-17.904596720232121</c:v>
                </c:pt>
                <c:pt idx="86">
                  <c:v>-18.489008193889902</c:v>
                </c:pt>
                <c:pt idx="87">
                  <c:v>-18.86747443621249</c:v>
                </c:pt>
                <c:pt idx="88">
                  <c:v>-18.609131830394801</c:v>
                </c:pt>
                <c:pt idx="89">
                  <c:v>-18.233184778091811</c:v>
                </c:pt>
                <c:pt idx="90">
                  <c:v>-17.969948016169326</c:v>
                </c:pt>
                <c:pt idx="91">
                  <c:v>-18.237031912645762</c:v>
                </c:pt>
                <c:pt idx="92">
                  <c:v>-18.072917994025943</c:v>
                </c:pt>
                <c:pt idx="93">
                  <c:v>-18.196110386020734</c:v>
                </c:pt>
                <c:pt idx="94">
                  <c:v>-18.365091024946992</c:v>
                </c:pt>
                <c:pt idx="95">
                  <c:v>-18.406035297612732</c:v>
                </c:pt>
                <c:pt idx="96">
                  <c:v>-18.73238756708389</c:v>
                </c:pt>
                <c:pt idx="97">
                  <c:v>-18.809436268103184</c:v>
                </c:pt>
                <c:pt idx="98">
                  <c:v>-19.345801847135533</c:v>
                </c:pt>
                <c:pt idx="99">
                  <c:v>-19.812305818559338</c:v>
                </c:pt>
                <c:pt idx="100">
                  <c:v>-20.434910260221272</c:v>
                </c:pt>
                <c:pt idx="101">
                  <c:v>-21.178470228486077</c:v>
                </c:pt>
                <c:pt idx="102">
                  <c:v>-21.717233716836205</c:v>
                </c:pt>
                <c:pt idx="103">
                  <c:v>-22.092875850290824</c:v>
                </c:pt>
                <c:pt idx="104">
                  <c:v>-22.343702539501663</c:v>
                </c:pt>
                <c:pt idx="105">
                  <c:v>-21.726280797584906</c:v>
                </c:pt>
                <c:pt idx="106">
                  <c:v>-21.569474350861299</c:v>
                </c:pt>
                <c:pt idx="107">
                  <c:v>-21.927679803929692</c:v>
                </c:pt>
                <c:pt idx="108">
                  <c:v>-22.479176248781414</c:v>
                </c:pt>
                <c:pt idx="109">
                  <c:v>-23.434945940236304</c:v>
                </c:pt>
                <c:pt idx="110">
                  <c:v>-24.059891903509794</c:v>
                </c:pt>
                <c:pt idx="111">
                  <c:v>-24.856369763855767</c:v>
                </c:pt>
                <c:pt idx="112">
                  <c:v>-25.288576046618928</c:v>
                </c:pt>
                <c:pt idx="113">
                  <c:v>-25.308688640537355</c:v>
                </c:pt>
                <c:pt idx="114">
                  <c:v>-24.623308647827642</c:v>
                </c:pt>
                <c:pt idx="115">
                  <c:v>-24.082481646464217</c:v>
                </c:pt>
                <c:pt idx="116">
                  <c:v>-25.846442175574147</c:v>
                </c:pt>
                <c:pt idx="117">
                  <c:v>-26.09507134487874</c:v>
                </c:pt>
                <c:pt idx="118">
                  <c:v>-26.370238168143214</c:v>
                </c:pt>
                <c:pt idx="119">
                  <c:v>-26.760393341689124</c:v>
                </c:pt>
                <c:pt idx="120">
                  <c:v>0</c:v>
                </c:pt>
                <c:pt idx="121">
                  <c:v>-14.632011724539538</c:v>
                </c:pt>
                <c:pt idx="122">
                  <c:v>0</c:v>
                </c:pt>
              </c:numCache>
            </c:numRef>
          </c:xVal>
          <c:yVal>
            <c:numRef>
              <c:f>'21.10.24'!$A$3:$A$125</c:f>
              <c:numCache>
                <c:formatCode>General</c:formatCode>
                <c:ptCount val="12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D0D-447F-A090-35F2C67E2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38080"/>
        <c:axId val="141038656"/>
        <c:extLst>
          <c:ext xmlns:c15="http://schemas.microsoft.com/office/drawing/2012/chart" uri="{02D57815-91ED-43cb-92C2-25804820EDAC}">
            <c15:filteredScatterSeries>
              <c15:ser>
                <c:idx val="11"/>
                <c:order val="1"/>
                <c:tx>
                  <c:strRef>
                    <c:extLst>
                      <c:ext uri="{02D57815-91ED-43cb-92C2-25804820EDAC}">
                        <c15:formulaRef>
                          <c15:sqref>'2'!$H$1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00CCFF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'2'!$T$3:$T$54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FA4-4BEE-A4E3-40B741EF5FA1}"/>
                  </c:ext>
                </c:extLst>
              </c15:ser>
            </c15:filteredScatterSeries>
            <c15:filteredScatterSeries>
              <c15:ser>
                <c:idx val="1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008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'3'!$T$3:$T$54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8B1-47CC-BBF5-DA9CFE0C7A00}"/>
                  </c:ext>
                </c:extLst>
              </c15:ser>
            </c15:filteredScatterSeries>
            <c15:filteredScatterSeries>
              <c15:ser>
                <c:idx val="1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FFC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'4'!$T$3:$T$54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E0D-4F70-8CAC-5422B6223A90}"/>
                  </c:ext>
                </c:extLst>
              </c15:ser>
            </c15:filteredScatterSeries>
            <c15:filteredScatterSeries>
              <c15:ser>
                <c:idx val="1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chemeClr val="tx2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'5'!$T$3:$T$54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F8A-456F-BBFB-532B28F3D8A9}"/>
                  </c:ext>
                </c:extLst>
              </c15:ser>
            </c15:filteredScatterSeries>
            <c15:filteredScatterSeries>
              <c15:ser>
                <c:idx val="1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92D05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'6'!$T$3:$T$54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754-4C0B-9024-A9B549004B59}"/>
                  </c:ext>
                </c:extLst>
              </c15:ser>
            </c15:filteredScatterSeries>
            <c15:filteredScatterSeries>
              <c15:ser>
                <c:idx val="18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7030A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'7'!$T$3:$T$54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102-4421-8F96-79F98EDBCA45}"/>
                  </c:ext>
                </c:extLst>
              </c15:ser>
            </c15:filteredScatterSeries>
            <c15:filteredScatterSeries>
              <c15:ser>
                <c:idx val="1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mpd="sng">
                    <a:solidFill>
                      <a:srgbClr val="C00000"/>
                    </a:solidFill>
                    <a:prstDash val="solid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'8'!$T$3:$T$54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E4B-48D2-BDCF-CD8B00947DB0}"/>
                  </c:ext>
                </c:extLst>
              </c15:ser>
            </c15:filteredScatterSeries>
            <c15:filteredScatterSeries>
              <c15:ser>
                <c:idx val="1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'9'!$H$1</c15:sqref>
                        </c15:formulaRef>
                      </c:ext>
                    </c:extLst>
                    <c:strCache>
                      <c:ptCount val="1"/>
                      <c:pt idx="0">
                        <c:v>Цикл 9 (02.09.2024)</c:v>
                      </c:pt>
                    </c:strCache>
                  </c:strRef>
                </c:tx>
                <c:spPr>
                  <a:ln>
                    <a:solidFill>
                      <a:srgbClr val="0070C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'9'!$T$3:$T$54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-633.92640040642164</c:v>
                      </c:pt>
                      <c:pt idx="2">
                        <c:v>-640.04601325564477</c:v>
                      </c:pt>
                      <c:pt idx="3">
                        <c:v>-645.37436649094184</c:v>
                      </c:pt>
                      <c:pt idx="4">
                        <c:v>-650.11592552533079</c:v>
                      </c:pt>
                      <c:pt idx="5">
                        <c:v>-652.56656204496585</c:v>
                      </c:pt>
                      <c:pt idx="6">
                        <c:v>-654.89445114973319</c:v>
                      </c:pt>
                      <c:pt idx="7">
                        <c:v>-656.91422504119282</c:v>
                      </c:pt>
                      <c:pt idx="8">
                        <c:v>-657.76724258838453</c:v>
                      </c:pt>
                      <c:pt idx="9">
                        <c:v>-658.49001688396447</c:v>
                      </c:pt>
                      <c:pt idx="10">
                        <c:v>-661.38282440968601</c:v>
                      </c:pt>
                      <c:pt idx="11">
                        <c:v>-664.79065064290739</c:v>
                      </c:pt>
                      <c:pt idx="12">
                        <c:v>-669.4643735203291</c:v>
                      </c:pt>
                      <c:pt idx="13">
                        <c:v>-676.33304908540811</c:v>
                      </c:pt>
                      <c:pt idx="14">
                        <c:v>-684.40420214275321</c:v>
                      </c:pt>
                      <c:pt idx="15">
                        <c:v>-692.69168660030073</c:v>
                      </c:pt>
                      <c:pt idx="16">
                        <c:v>-703.48366383022255</c:v>
                      </c:pt>
                      <c:pt idx="17">
                        <c:v>-711.70369757164462</c:v>
                      </c:pt>
                      <c:pt idx="18">
                        <c:v>-716.85706040461446</c:v>
                      </c:pt>
                      <c:pt idx="19">
                        <c:v>-718.41422926292671</c:v>
                      </c:pt>
                      <c:pt idx="20">
                        <c:v>-716.61275135813696</c:v>
                      </c:pt>
                      <c:pt idx="21">
                        <c:v>-711.60320492557264</c:v>
                      </c:pt>
                      <c:pt idx="22">
                        <c:v>-709.91954172619944</c:v>
                      </c:pt>
                      <c:pt idx="23">
                        <c:v>-707.23071977386348</c:v>
                      </c:pt>
                      <c:pt idx="24">
                        <c:v>-704.57070472584928</c:v>
                      </c:pt>
                      <c:pt idx="25">
                        <c:v>-702.3248303596456</c:v>
                      </c:pt>
                      <c:pt idx="26">
                        <c:v>-699.90382629985515</c:v>
                      </c:pt>
                      <c:pt idx="27">
                        <c:v>-697.14764471241949</c:v>
                      </c:pt>
                      <c:pt idx="28">
                        <c:v>-693.92873617424641</c:v>
                      </c:pt>
                      <c:pt idx="29">
                        <c:v>-691.65701032950597</c:v>
                      </c:pt>
                      <c:pt idx="30">
                        <c:v>-690.8557867566783</c:v>
                      </c:pt>
                      <c:pt idx="31">
                        <c:v>-690.92073609580348</c:v>
                      </c:pt>
                      <c:pt idx="32">
                        <c:v>-691.85632343760278</c:v>
                      </c:pt>
                      <c:pt idx="33">
                        <c:v>-694.73602161372139</c:v>
                      </c:pt>
                      <c:pt idx="34">
                        <c:v>-699.83605745538</c:v>
                      </c:pt>
                      <c:pt idx="35">
                        <c:v>-705.19057844139559</c:v>
                      </c:pt>
                      <c:pt idx="36">
                        <c:v>-709.54875517016671</c:v>
                      </c:pt>
                      <c:pt idx="37">
                        <c:v>-711.39962514676574</c:v>
                      </c:pt>
                      <c:pt idx="38">
                        <c:v>-709.09025575272892</c:v>
                      </c:pt>
                      <c:pt idx="39">
                        <c:v>-703.23050864753839</c:v>
                      </c:pt>
                      <c:pt idx="40">
                        <c:v>-701.07384476394634</c:v>
                      </c:pt>
                      <c:pt idx="41">
                        <c:v>-698.08623466154245</c:v>
                      </c:pt>
                      <c:pt idx="42">
                        <c:v>-693.63350211576198</c:v>
                      </c:pt>
                      <c:pt idx="43">
                        <c:v>-688.69092310286408</c:v>
                      </c:pt>
                      <c:pt idx="44">
                        <c:v>-684.6076859884256</c:v>
                      </c:pt>
                      <c:pt idx="45">
                        <c:v>-679.73549340328032</c:v>
                      </c:pt>
                      <c:pt idx="46">
                        <c:v>-676.44349930334158</c:v>
                      </c:pt>
                      <c:pt idx="47">
                        <c:v>-671.34515185922078</c:v>
                      </c:pt>
                      <c:pt idx="48">
                        <c:v>-662.92790669226497</c:v>
                      </c:pt>
                      <c:pt idx="49">
                        <c:v>-648.83500522879285</c:v>
                      </c:pt>
                      <c:pt idx="50">
                        <c:v>-630.19176697729188</c:v>
                      </c:pt>
                      <c:pt idx="51">
                        <c:v>-609.23571912388809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2BA-4C53-B513-86D3E75D48FF}"/>
                  </c:ext>
                </c:extLst>
              </c15:ser>
            </c15:filteredScatterSeries>
            <c15:filteredScatterSeries>
              <c15:ser>
                <c:idx val="2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'10'!$H$1</c15:sqref>
                        </c15:formulaRef>
                      </c:ext>
                    </c:extLst>
                    <c:strCache>
                      <c:ptCount val="1"/>
                      <c:pt idx="0">
                        <c:v>Цикл 10 (09.09.2024)</c:v>
                      </c:pt>
                    </c:strCache>
                  </c:strRef>
                </c:tx>
                <c:spPr>
                  <a:ln>
                    <a:solidFill>
                      <a:srgbClr val="F68BF9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'10'!$T$3:$T$54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-640.86390040642164</c:v>
                      </c:pt>
                      <c:pt idx="2">
                        <c:v>-640.84601325564472</c:v>
                      </c:pt>
                      <c:pt idx="3">
                        <c:v>-644.93686649094184</c:v>
                      </c:pt>
                      <c:pt idx="4">
                        <c:v>-650.09092552533082</c:v>
                      </c:pt>
                      <c:pt idx="5">
                        <c:v>-652.67906204496592</c:v>
                      </c:pt>
                      <c:pt idx="6">
                        <c:v>-654.96945114973312</c:v>
                      </c:pt>
                      <c:pt idx="7">
                        <c:v>-656.88922504119284</c:v>
                      </c:pt>
                      <c:pt idx="8">
                        <c:v>-657.74224258838444</c:v>
                      </c:pt>
                      <c:pt idx="9">
                        <c:v>-658.45251688396445</c:v>
                      </c:pt>
                      <c:pt idx="10">
                        <c:v>-661.3453244096861</c:v>
                      </c:pt>
                      <c:pt idx="11">
                        <c:v>-664.80315064290744</c:v>
                      </c:pt>
                      <c:pt idx="12">
                        <c:v>-669.47687352032915</c:v>
                      </c:pt>
                      <c:pt idx="13">
                        <c:v>-676.29554908540808</c:v>
                      </c:pt>
                      <c:pt idx="14">
                        <c:v>-684.37920214275323</c:v>
                      </c:pt>
                      <c:pt idx="15">
                        <c:v>-692.6541866003007</c:v>
                      </c:pt>
                      <c:pt idx="16">
                        <c:v>-703.45866383022258</c:v>
                      </c:pt>
                      <c:pt idx="17">
                        <c:v>-711.70369757164462</c:v>
                      </c:pt>
                      <c:pt idx="18">
                        <c:v>-716.83206040461448</c:v>
                      </c:pt>
                      <c:pt idx="19">
                        <c:v>-718.3767292629268</c:v>
                      </c:pt>
                      <c:pt idx="20">
                        <c:v>-716.62525135813689</c:v>
                      </c:pt>
                      <c:pt idx="21">
                        <c:v>-711.64070492557266</c:v>
                      </c:pt>
                      <c:pt idx="22">
                        <c:v>-710.0320417261994</c:v>
                      </c:pt>
                      <c:pt idx="23">
                        <c:v>-707.20571977386339</c:v>
                      </c:pt>
                      <c:pt idx="24">
                        <c:v>-703.83320472584921</c:v>
                      </c:pt>
                      <c:pt idx="25">
                        <c:v>-700.56233035964556</c:v>
                      </c:pt>
                      <c:pt idx="26">
                        <c:v>-697.4163262998552</c:v>
                      </c:pt>
                      <c:pt idx="27">
                        <c:v>-694.17264471241958</c:v>
                      </c:pt>
                      <c:pt idx="28">
                        <c:v>-690.77873617424632</c:v>
                      </c:pt>
                      <c:pt idx="29">
                        <c:v>-688.58201032950592</c:v>
                      </c:pt>
                      <c:pt idx="30">
                        <c:v>-688.03078675667825</c:v>
                      </c:pt>
                      <c:pt idx="31">
                        <c:v>-688.54573609580348</c:v>
                      </c:pt>
                      <c:pt idx="32">
                        <c:v>-689.98132343760278</c:v>
                      </c:pt>
                      <c:pt idx="33">
                        <c:v>-693.38602161372137</c:v>
                      </c:pt>
                      <c:pt idx="34">
                        <c:v>-699.06105745538002</c:v>
                      </c:pt>
                      <c:pt idx="35">
                        <c:v>-704.94057844139559</c:v>
                      </c:pt>
                      <c:pt idx="36">
                        <c:v>-709.76125517016669</c:v>
                      </c:pt>
                      <c:pt idx="37">
                        <c:v>-711.86212514676572</c:v>
                      </c:pt>
                      <c:pt idx="38">
                        <c:v>-709.57775575272888</c:v>
                      </c:pt>
                      <c:pt idx="39">
                        <c:v>-703.60550864753839</c:v>
                      </c:pt>
                      <c:pt idx="40">
                        <c:v>-701.14884476394627</c:v>
                      </c:pt>
                      <c:pt idx="41">
                        <c:v>-697.99873466154247</c:v>
                      </c:pt>
                      <c:pt idx="42">
                        <c:v>-693.50850211576198</c:v>
                      </c:pt>
                      <c:pt idx="43">
                        <c:v>-688.55342310286414</c:v>
                      </c:pt>
                      <c:pt idx="44">
                        <c:v>-684.50768598842569</c:v>
                      </c:pt>
                      <c:pt idx="45">
                        <c:v>-679.69799340328029</c:v>
                      </c:pt>
                      <c:pt idx="46">
                        <c:v>-676.36849930334165</c:v>
                      </c:pt>
                      <c:pt idx="47">
                        <c:v>-671.23265185922082</c:v>
                      </c:pt>
                      <c:pt idx="48">
                        <c:v>-662.86540669226497</c:v>
                      </c:pt>
                      <c:pt idx="49">
                        <c:v>-648.81000522879287</c:v>
                      </c:pt>
                      <c:pt idx="50">
                        <c:v>-630.19176697729188</c:v>
                      </c:pt>
                      <c:pt idx="51">
                        <c:v>-609.23571912388809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AA9-4D9F-B78D-AA5EC259A423}"/>
                  </c:ext>
                </c:extLst>
              </c15:ser>
            </c15:filteredScatterSeries>
            <c15:filteredScatterSeries>
              <c15:ser>
                <c:idx val="3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'11'!$H$1</c15:sqref>
                        </c15:formulaRef>
                      </c:ext>
                    </c:extLst>
                    <c:strCache>
                      <c:ptCount val="1"/>
                      <c:pt idx="0">
                        <c:v>Цикл 11 (08.08.2024)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'11'!$T$3:$T$54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-609.23571912388809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AFD-45B0-800E-9C40FC183328}"/>
                  </c:ext>
                </c:extLst>
              </c15:ser>
            </c15:filteredScatterSeries>
            <c15:filteredScatterSeries>
              <c15:ser>
                <c:idx val="4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'12'!$H$1</c15:sqref>
                        </c15:formulaRef>
                      </c:ext>
                    </c:extLst>
                    <c:strCache>
                      <c:ptCount val="1"/>
                      <c:pt idx="0">
                        <c:v>Цикл 12 (09.08.2024)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'12'!$T$3:$T$54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-609.23571912388809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5D4-4A73-AAA0-6325AB0799C6}"/>
                  </c:ext>
                </c:extLst>
              </c15:ser>
            </c15:filteredScatterSeries>
            <c15:filteredScatterSeries>
              <c15:ser>
                <c:idx val="5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'13'!$H$1</c15:sqref>
                        </c15:formulaRef>
                      </c:ext>
                    </c:extLst>
                    <c:strCache>
                      <c:ptCount val="1"/>
                      <c:pt idx="0">
                        <c:v>Цикл 13 (10.08.2024)</c:v>
                      </c:pt>
                    </c:strCache>
                  </c:strRef>
                </c:tx>
                <c:spPr>
                  <a:ln>
                    <a:solidFill>
                      <a:schemeClr val="accent6">
                        <a:lumMod val="75000"/>
                      </a:schemeClr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'13'!$T$3:$T$54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-609.23571912388809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06D-4A27-9A36-69203EC3929E}"/>
                  </c:ext>
                </c:extLst>
              </c15:ser>
            </c15:filteredScatterSeries>
          </c:ext>
        </c:extLst>
      </c:scatterChart>
      <c:valAx>
        <c:axId val="1410380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038656"/>
        <c:crossesAt val="0"/>
        <c:crossBetween val="midCat"/>
      </c:valAx>
      <c:valAx>
        <c:axId val="141038656"/>
        <c:scaling>
          <c:orientation val="maxMin"/>
          <c:max val="6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038080"/>
        <c:crossesAt val="30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300154283880527E-2"/>
          <c:y val="0.89789756193989312"/>
          <c:w val="0.95243997492017374"/>
          <c:h val="0.102102428220212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431349262275604E-2"/>
          <c:y val="4.554224960634657E-2"/>
          <c:w val="0.83535455821672155"/>
          <c:h val="0.84990235650724122"/>
        </c:manualLayout>
      </c:layout>
      <c:scatterChart>
        <c:scatterStyle val="lineMarker"/>
        <c:varyColors val="0"/>
        <c:ser>
          <c:idx val="10"/>
          <c:order val="0"/>
          <c:tx>
            <c:strRef>
              <c:f>'21.10.24'!$B$1:$I$1</c:f>
              <c:strCache>
                <c:ptCount val="1"/>
                <c:pt idx="0">
                  <c:v>Цикл 1 (21.10.24)</c:v>
                </c:pt>
              </c:strCache>
            </c:strRef>
          </c:tx>
          <c:spPr>
            <a:ln w="25400"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'21.10.24'!$Q$3:$Q$125</c:f>
              <c:numCache>
                <c:formatCode>General</c:formatCode>
                <c:ptCount val="123"/>
                <c:pt idx="0">
                  <c:v>37.4459463265365</c:v>
                </c:pt>
                <c:pt idx="1">
                  <c:v>35.53149797467745</c:v>
                </c:pt>
                <c:pt idx="2">
                  <c:v>34.322244412873033</c:v>
                </c:pt>
                <c:pt idx="3">
                  <c:v>34.54900012841631</c:v>
                </c:pt>
                <c:pt idx="4">
                  <c:v>35.334619615888187</c:v>
                </c:pt>
                <c:pt idx="5">
                  <c:v>35.371343981106293</c:v>
                </c:pt>
                <c:pt idx="6">
                  <c:v>35.082395032648151</c:v>
                </c:pt>
                <c:pt idx="7">
                  <c:v>34.617584049460447</c:v>
                </c:pt>
                <c:pt idx="8">
                  <c:v>34.402454898333986</c:v>
                </c:pt>
                <c:pt idx="9">
                  <c:v>34.17362723141764</c:v>
                </c:pt>
                <c:pt idx="10">
                  <c:v>33.73632805534919</c:v>
                </c:pt>
                <c:pt idx="11">
                  <c:v>33.063528345636769</c:v>
                </c:pt>
                <c:pt idx="12">
                  <c:v>32.397523913503505</c:v>
                </c:pt>
                <c:pt idx="13">
                  <c:v>32.100219517085293</c:v>
                </c:pt>
                <c:pt idx="14">
                  <c:v>32.002896267867868</c:v>
                </c:pt>
                <c:pt idx="15">
                  <c:v>31.919509791179621</c:v>
                </c:pt>
                <c:pt idx="16">
                  <c:v>31.968717638406133</c:v>
                </c:pt>
                <c:pt idx="17">
                  <c:v>31.703407539118416</c:v>
                </c:pt>
                <c:pt idx="18">
                  <c:v>31.448884293227934</c:v>
                </c:pt>
                <c:pt idx="19">
                  <c:v>31.167697036057348</c:v>
                </c:pt>
                <c:pt idx="20">
                  <c:v>31.354711557940732</c:v>
                </c:pt>
                <c:pt idx="21">
                  <c:v>31.271566105205807</c:v>
                </c:pt>
                <c:pt idx="22">
                  <c:v>31.228660281699945</c:v>
                </c:pt>
                <c:pt idx="23">
                  <c:v>31.160665925850708</c:v>
                </c:pt>
                <c:pt idx="24">
                  <c:v>31.065038549944006</c:v>
                </c:pt>
                <c:pt idx="25">
                  <c:v>30.723257672612704</c:v>
                </c:pt>
                <c:pt idx="26">
                  <c:v>30.046131264689279</c:v>
                </c:pt>
                <c:pt idx="27">
                  <c:v>29.529453569767838</c:v>
                </c:pt>
                <c:pt idx="28">
                  <c:v>29.384375421881487</c:v>
                </c:pt>
                <c:pt idx="29">
                  <c:v>29.672473332918003</c:v>
                </c:pt>
                <c:pt idx="30">
                  <c:v>29.976692936304403</c:v>
                </c:pt>
                <c:pt idx="31">
                  <c:v>30.174981679258963</c:v>
                </c:pt>
                <c:pt idx="32">
                  <c:v>29.537451741202403</c:v>
                </c:pt>
                <c:pt idx="33">
                  <c:v>28.255243346194334</c:v>
                </c:pt>
                <c:pt idx="34">
                  <c:v>27.726920048327656</c:v>
                </c:pt>
                <c:pt idx="35">
                  <c:v>28.099013648955292</c:v>
                </c:pt>
                <c:pt idx="36">
                  <c:v>28.920166708654051</c:v>
                </c:pt>
                <c:pt idx="37">
                  <c:v>29.068396976544705</c:v>
                </c:pt>
                <c:pt idx="38">
                  <c:v>28.765396665414869</c:v>
                </c:pt>
                <c:pt idx="39">
                  <c:v>27.683538315460737</c:v>
                </c:pt>
                <c:pt idx="40">
                  <c:v>26.998740197377515</c:v>
                </c:pt>
                <c:pt idx="41">
                  <c:v>26.950986187707827</c:v>
                </c:pt>
                <c:pt idx="42">
                  <c:v>27.65723374432514</c:v>
                </c:pt>
                <c:pt idx="43">
                  <c:v>28.087137182359015</c:v>
                </c:pt>
                <c:pt idx="44">
                  <c:v>27.849338007170331</c:v>
                </c:pt>
                <c:pt idx="45">
                  <c:v>26.86213644739064</c:v>
                </c:pt>
                <c:pt idx="46">
                  <c:v>26.158066711285642</c:v>
                </c:pt>
                <c:pt idx="47">
                  <c:v>26.014323236610153</c:v>
                </c:pt>
                <c:pt idx="48">
                  <c:v>26.598695191307229</c:v>
                </c:pt>
                <c:pt idx="49">
                  <c:v>27.360376519198326</c:v>
                </c:pt>
                <c:pt idx="50">
                  <c:v>28.167411396412717</c:v>
                </c:pt>
                <c:pt idx="51">
                  <c:v>28.579061667735459</c:v>
                </c:pt>
                <c:pt idx="52">
                  <c:v>28.269780555453963</c:v>
                </c:pt>
                <c:pt idx="53">
                  <c:v>27.822431234587839</c:v>
                </c:pt>
                <c:pt idx="54">
                  <c:v>27.45130659338156</c:v>
                </c:pt>
                <c:pt idx="55">
                  <c:v>26.645311133438554</c:v>
                </c:pt>
                <c:pt idx="56">
                  <c:v>25.93907679582037</c:v>
                </c:pt>
                <c:pt idx="57">
                  <c:v>25.600317665628268</c:v>
                </c:pt>
                <c:pt idx="58">
                  <c:v>25.894598666797265</c:v>
                </c:pt>
                <c:pt idx="59">
                  <c:v>25.632920491244136</c:v>
                </c:pt>
                <c:pt idx="60">
                  <c:v>25.219496506117594</c:v>
                </c:pt>
                <c:pt idx="61">
                  <c:v>25.535345761520944</c:v>
                </c:pt>
                <c:pt idx="62">
                  <c:v>25.868280221833743</c:v>
                </c:pt>
                <c:pt idx="63">
                  <c:v>26.307989001860051</c:v>
                </c:pt>
                <c:pt idx="64">
                  <c:v>27.05650701440959</c:v>
                </c:pt>
                <c:pt idx="65">
                  <c:v>27.823541072023659</c:v>
                </c:pt>
                <c:pt idx="66">
                  <c:v>27.961936362860911</c:v>
                </c:pt>
                <c:pt idx="67">
                  <c:v>27.04895463161472</c:v>
                </c:pt>
                <c:pt idx="68">
                  <c:v>25.825868979040251</c:v>
                </c:pt>
                <c:pt idx="69">
                  <c:v>24.385098019232487</c:v>
                </c:pt>
                <c:pt idx="70">
                  <c:v>24.136901115323099</c:v>
                </c:pt>
                <c:pt idx="71">
                  <c:v>24.13084155284298</c:v>
                </c:pt>
                <c:pt idx="72">
                  <c:v>24.555505640841488</c:v>
                </c:pt>
                <c:pt idx="73">
                  <c:v>24.690881877096444</c:v>
                </c:pt>
                <c:pt idx="74">
                  <c:v>24.319777095068446</c:v>
                </c:pt>
                <c:pt idx="75">
                  <c:v>24.105551343534898</c:v>
                </c:pt>
                <c:pt idx="76">
                  <c:v>23.848796444867446</c:v>
                </c:pt>
                <c:pt idx="77">
                  <c:v>24.033335030415287</c:v>
                </c:pt>
                <c:pt idx="78">
                  <c:v>23.676370998340531</c:v>
                </c:pt>
                <c:pt idx="79">
                  <c:v>23.920405957597723</c:v>
                </c:pt>
                <c:pt idx="80">
                  <c:v>23.794507207881679</c:v>
                </c:pt>
                <c:pt idx="81">
                  <c:v>23.357631746225991</c:v>
                </c:pt>
                <c:pt idx="82">
                  <c:v>23.301400110081374</c:v>
                </c:pt>
                <c:pt idx="83">
                  <c:v>23.223230085241653</c:v>
                </c:pt>
                <c:pt idx="84">
                  <c:v>23.525007275259725</c:v>
                </c:pt>
                <c:pt idx="85">
                  <c:v>23.939507440950138</c:v>
                </c:pt>
                <c:pt idx="86">
                  <c:v>24.265169671972899</c:v>
                </c:pt>
                <c:pt idx="87">
                  <c:v>24.13331478304417</c:v>
                </c:pt>
                <c:pt idx="88">
                  <c:v>23.908044938341845</c:v>
                </c:pt>
                <c:pt idx="89">
                  <c:v>23.295081254697777</c:v>
                </c:pt>
                <c:pt idx="90">
                  <c:v>22.983249870422128</c:v>
                </c:pt>
                <c:pt idx="91">
                  <c:v>22.615607435568563</c:v>
                </c:pt>
                <c:pt idx="92">
                  <c:v>22.570912120958894</c:v>
                </c:pt>
                <c:pt idx="93">
                  <c:v>22.451709357865241</c:v>
                </c:pt>
                <c:pt idx="94">
                  <c:v>22.373694467234145</c:v>
                </c:pt>
                <c:pt idx="95">
                  <c:v>22.527909443976</c:v>
                </c:pt>
                <c:pt idx="96">
                  <c:v>22.261023750691379</c:v>
                </c:pt>
                <c:pt idx="97">
                  <c:v>22.499941795042304</c:v>
                </c:pt>
                <c:pt idx="98">
                  <c:v>22.275665901917279</c:v>
                </c:pt>
                <c:pt idx="99">
                  <c:v>22.45827515159209</c:v>
                </c:pt>
                <c:pt idx="100">
                  <c:v>22.85744952304205</c:v>
                </c:pt>
                <c:pt idx="101">
                  <c:v>23.204884233528219</c:v>
                </c:pt>
                <c:pt idx="102">
                  <c:v>23.491966189337091</c:v>
                </c:pt>
                <c:pt idx="103">
                  <c:v>23.457187437245437</c:v>
                </c:pt>
                <c:pt idx="104">
                  <c:v>23.321712225561868</c:v>
                </c:pt>
                <c:pt idx="105">
                  <c:v>22.653968845937925</c:v>
                </c:pt>
                <c:pt idx="106">
                  <c:v>22.306050976411711</c:v>
                </c:pt>
                <c:pt idx="107">
                  <c:v>22.363855347807885</c:v>
                </c:pt>
                <c:pt idx="108">
                  <c:v>22.716383854682675</c:v>
                </c:pt>
                <c:pt idx="109">
                  <c:v>23.155200711505927</c:v>
                </c:pt>
                <c:pt idx="110">
                  <c:v>23.968369452040477</c:v>
                </c:pt>
                <c:pt idx="111">
                  <c:v>24.405220530475674</c:v>
                </c:pt>
                <c:pt idx="112">
                  <c:v>24.71554472585062</c:v>
                </c:pt>
                <c:pt idx="113">
                  <c:v>24.20579583399055</c:v>
                </c:pt>
                <c:pt idx="114">
                  <c:v>23.663474319692227</c:v>
                </c:pt>
                <c:pt idx="115">
                  <c:v>22.783736449435992</c:v>
                </c:pt>
                <c:pt idx="116">
                  <c:v>22.220101063310416</c:v>
                </c:pt>
                <c:pt idx="117">
                  <c:v>22.13092045507215</c:v>
                </c:pt>
                <c:pt idx="118">
                  <c:v>22.417854156103051</c:v>
                </c:pt>
                <c:pt idx="119">
                  <c:v>22.794699851840377</c:v>
                </c:pt>
                <c:pt idx="120">
                  <c:v>0</c:v>
                </c:pt>
                <c:pt idx="121">
                  <c:v>11.376867950623975</c:v>
                </c:pt>
                <c:pt idx="122">
                  <c:v>0</c:v>
                </c:pt>
              </c:numCache>
            </c:numRef>
          </c:xVal>
          <c:yVal>
            <c:numRef>
              <c:f>'21.10.24'!$A$3:$A$125</c:f>
              <c:numCache>
                <c:formatCode>General</c:formatCode>
                <c:ptCount val="12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44A2-44AB-9743-5869D1C34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81056"/>
        <c:axId val="156182784"/>
        <c:extLst>
          <c:ext xmlns:c15="http://schemas.microsoft.com/office/drawing/2012/chart" uri="{02D57815-91ED-43cb-92C2-25804820EDAC}">
            <c15:filteredScatterSeries>
              <c15:ser>
                <c:idx val="11"/>
                <c:order val="1"/>
                <c:tx>
                  <c:strRef>
                    <c:extLst>
                      <c:ext uri="{02D57815-91ED-43cb-92C2-25804820EDAC}">
                        <c15:formulaRef>
                          <c15:sqref>'2'!$H$1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00CCFF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'2'!$U$3:$U$54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162-48FF-BE28-2B21C546FD24}"/>
                  </c:ext>
                </c:extLst>
              </c15:ser>
            </c15:filteredScatterSeries>
            <c15:filteredScatterSeries>
              <c15:ser>
                <c:idx val="1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008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'3'!$U$3:$U$54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F4E-4399-972D-745C09B22992}"/>
                  </c:ext>
                </c:extLst>
              </c15:ser>
            </c15:filteredScatterSeries>
            <c15:filteredScatterSeries>
              <c15:ser>
                <c:idx val="1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FFC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'4'!$U$3:$U$54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AF2-468D-BD51-B962D6B0ABD2}"/>
                  </c:ext>
                </c:extLst>
              </c15:ser>
            </c15:filteredScatterSeries>
            <c15:filteredScatterSeries>
              <c15:ser>
                <c:idx val="1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chemeClr val="tx2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'5'!$U$3:$U$54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C72-4DB9-954B-278F53AD1301}"/>
                  </c:ext>
                </c:extLst>
              </c15:ser>
            </c15:filteredScatterSeries>
            <c15:filteredScatterSeries>
              <c15:ser>
                <c:idx val="1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92D05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'6'!$U$3:$U$54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9AB-466C-98A8-6BD6E6545DD4}"/>
                  </c:ext>
                </c:extLst>
              </c15:ser>
            </c15:filteredScatterSeries>
            <c15:filteredScatterSeries>
              <c15:ser>
                <c:idx val="18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7030A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'7'!$U$3:$U$54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913-4A9E-887B-9C2F736EBCAE}"/>
                  </c:ext>
                </c:extLst>
              </c15:ser>
            </c15:filteredScatterSeries>
            <c15:filteredScatterSeries>
              <c15:ser>
                <c:idx val="1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mpd="sng">
                    <a:solidFill>
                      <a:srgbClr val="C00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'8'!$U$3:$U$54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D97-4EAF-8795-1965702A2C4B}"/>
                  </c:ext>
                </c:extLst>
              </c15:ser>
            </c15:filteredScatterSeries>
            <c15:filteredScatterSeries>
              <c15:ser>
                <c:idx val="1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'9'!$H$1</c15:sqref>
                        </c15:formulaRef>
                      </c:ext>
                    </c:extLst>
                    <c:strCache>
                      <c:ptCount val="1"/>
                      <c:pt idx="0">
                        <c:v>Цикл 9 (02.09.2024)</c:v>
                      </c:pt>
                    </c:strCache>
                  </c:strRef>
                </c:tx>
                <c:spPr>
                  <a:ln>
                    <a:solidFill>
                      <a:srgbClr val="0070C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'9'!$U$3:$U$54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-1021.5794502990846</c:v>
                      </c:pt>
                      <c:pt idx="2">
                        <c:v>-1028.1600918660747</c:v>
                      </c:pt>
                      <c:pt idx="3">
                        <c:v>-1035.5246572864085</c:v>
                      </c:pt>
                      <c:pt idx="4">
                        <c:v>-1038.9252946105044</c:v>
                      </c:pt>
                      <c:pt idx="5">
                        <c:v>-1037.3509047777418</c:v>
                      </c:pt>
                      <c:pt idx="6">
                        <c:v>-1032.3826438267211</c:v>
                      </c:pt>
                      <c:pt idx="7">
                        <c:v>-1024.655112800757</c:v>
                      </c:pt>
                      <c:pt idx="8">
                        <c:v>-1013.7685624711781</c:v>
                      </c:pt>
                      <c:pt idx="9">
                        <c:v>-999.79330725718125</c:v>
                      </c:pt>
                      <c:pt idx="10">
                        <c:v>-987.46388499832494</c:v>
                      </c:pt>
                      <c:pt idx="11">
                        <c:v>-978.36990487159471</c:v>
                      </c:pt>
                      <c:pt idx="12">
                        <c:v>-974.32089552539833</c:v>
                      </c:pt>
                      <c:pt idx="13">
                        <c:v>-974.23884988497252</c:v>
                      </c:pt>
                      <c:pt idx="14">
                        <c:v>-975.94314695363391</c:v>
                      </c:pt>
                      <c:pt idx="15">
                        <c:v>-978.43477748665146</c:v>
                      </c:pt>
                      <c:pt idx="16">
                        <c:v>-976.02727798090223</c:v>
                      </c:pt>
                      <c:pt idx="17">
                        <c:v>-973.66574407666462</c:v>
                      </c:pt>
                      <c:pt idx="18">
                        <c:v>-972.12579861568827</c:v>
                      </c:pt>
                      <c:pt idx="19">
                        <c:v>-970.97670202822042</c:v>
                      </c:pt>
                      <c:pt idx="20">
                        <c:v>-970.26603779259074</c:v>
                      </c:pt>
                      <c:pt idx="21">
                        <c:v>-969.59888762804098</c:v>
                      </c:pt>
                      <c:pt idx="22">
                        <c:v>-964.56169218101945</c:v>
                      </c:pt>
                      <c:pt idx="23">
                        <c:v>-962.10862979743706</c:v>
                      </c:pt>
                      <c:pt idx="24">
                        <c:v>-963.36590028794569</c:v>
                      </c:pt>
                      <c:pt idx="25">
                        <c:v>-967.07743685644323</c:v>
                      </c:pt>
                      <c:pt idx="26">
                        <c:v>-972.89795476955067</c:v>
                      </c:pt>
                      <c:pt idx="27">
                        <c:v>-980.73824478816573</c:v>
                      </c:pt>
                      <c:pt idx="28">
                        <c:v>-986.49391411003762</c:v>
                      </c:pt>
                      <c:pt idx="29">
                        <c:v>-990.66602373275282</c:v>
                      </c:pt>
                      <c:pt idx="30">
                        <c:v>-993.40426681979227</c:v>
                      </c:pt>
                      <c:pt idx="31">
                        <c:v>-995.41996930090534</c:v>
                      </c:pt>
                      <c:pt idx="32">
                        <c:v>-995.98234657538615</c:v>
                      </c:pt>
                      <c:pt idx="33">
                        <c:v>-995.82764314185727</c:v>
                      </c:pt>
                      <c:pt idx="34">
                        <c:v>-995.74799183807386</c:v>
                      </c:pt>
                      <c:pt idx="35">
                        <c:v>-995.58973065349426</c:v>
                      </c:pt>
                      <c:pt idx="36">
                        <c:v>-992.93433681823069</c:v>
                      </c:pt>
                      <c:pt idx="37">
                        <c:v>-988.35013410334761</c:v>
                      </c:pt>
                      <c:pt idx="38">
                        <c:v>-981.50110032368991</c:v>
                      </c:pt>
                      <c:pt idx="39">
                        <c:v>-974.32642237024299</c:v>
                      </c:pt>
                      <c:pt idx="40">
                        <c:v>-967.78325529763072</c:v>
                      </c:pt>
                      <c:pt idx="41">
                        <c:v>-962.98346067171803</c:v>
                      </c:pt>
                      <c:pt idx="42">
                        <c:v>-959.20484840944323</c:v>
                      </c:pt>
                      <c:pt idx="43">
                        <c:v>-954.7279237203594</c:v>
                      </c:pt>
                      <c:pt idx="44">
                        <c:v>-949.28736757095226</c:v>
                      </c:pt>
                      <c:pt idx="45">
                        <c:v>-947.38250241815444</c:v>
                      </c:pt>
                      <c:pt idx="46">
                        <c:v>-951.6911269870742</c:v>
                      </c:pt>
                      <c:pt idx="47">
                        <c:v>-953.93582457770253</c:v>
                      </c:pt>
                      <c:pt idx="48">
                        <c:v>-951.65794745316384</c:v>
                      </c:pt>
                      <c:pt idx="49">
                        <c:v>-943.61261345768162</c:v>
                      </c:pt>
                      <c:pt idx="50">
                        <c:v>-930.92852566861643</c:v>
                      </c:pt>
                      <c:pt idx="51">
                        <c:v>-915.46942750717574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A3B-4811-9708-163FE60D59C8}"/>
                  </c:ext>
                </c:extLst>
              </c15:ser>
            </c15:filteredScatterSeries>
            <c15:filteredScatterSeries>
              <c15:ser>
                <c:idx val="2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'10'!$H$1</c15:sqref>
                        </c15:formulaRef>
                      </c:ext>
                    </c:extLst>
                    <c:strCache>
                      <c:ptCount val="1"/>
                      <c:pt idx="0">
                        <c:v>Цикл 10 (09.09.2024)</c:v>
                      </c:pt>
                    </c:strCache>
                  </c:strRef>
                </c:tx>
                <c:spPr>
                  <a:ln>
                    <a:solidFill>
                      <a:srgbClr val="F68BF9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'10'!$U$3:$U$54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-1018.6794502990845</c:v>
                      </c:pt>
                      <c:pt idx="2">
                        <c:v>-1025.5100918660746</c:v>
                      </c:pt>
                      <c:pt idx="3">
                        <c:v>-1034.7496572864084</c:v>
                      </c:pt>
                      <c:pt idx="4">
                        <c:v>-1038.8752946105044</c:v>
                      </c:pt>
                      <c:pt idx="5">
                        <c:v>-1037.3134047777417</c:v>
                      </c:pt>
                      <c:pt idx="6">
                        <c:v>-1032.3451438267209</c:v>
                      </c:pt>
                      <c:pt idx="7">
                        <c:v>-1024.6301128007569</c:v>
                      </c:pt>
                      <c:pt idx="8">
                        <c:v>-1013.7435624711782</c:v>
                      </c:pt>
                      <c:pt idx="9">
                        <c:v>-999.79330725718125</c:v>
                      </c:pt>
                      <c:pt idx="10">
                        <c:v>-987.4513849983249</c:v>
                      </c:pt>
                      <c:pt idx="11">
                        <c:v>-978.34490487159474</c:v>
                      </c:pt>
                      <c:pt idx="12">
                        <c:v>-974.2833955253983</c:v>
                      </c:pt>
                      <c:pt idx="13">
                        <c:v>-974.18884988497257</c:v>
                      </c:pt>
                      <c:pt idx="14">
                        <c:v>-975.88064695363391</c:v>
                      </c:pt>
                      <c:pt idx="15">
                        <c:v>-978.35977748665141</c:v>
                      </c:pt>
                      <c:pt idx="16">
                        <c:v>-975.93977798090214</c:v>
                      </c:pt>
                      <c:pt idx="17">
                        <c:v>-973.55324407666455</c:v>
                      </c:pt>
                      <c:pt idx="18">
                        <c:v>-972.05079861568822</c:v>
                      </c:pt>
                      <c:pt idx="19">
                        <c:v>-970.95170202822032</c:v>
                      </c:pt>
                      <c:pt idx="20">
                        <c:v>-970.24103779259076</c:v>
                      </c:pt>
                      <c:pt idx="21">
                        <c:v>-969.62388762804096</c:v>
                      </c:pt>
                      <c:pt idx="22">
                        <c:v>-964.57419218101938</c:v>
                      </c:pt>
                      <c:pt idx="23">
                        <c:v>-961.74612979743711</c:v>
                      </c:pt>
                      <c:pt idx="24">
                        <c:v>-962.00340028794562</c:v>
                      </c:pt>
                      <c:pt idx="25">
                        <c:v>-964.51493685644323</c:v>
                      </c:pt>
                      <c:pt idx="26">
                        <c:v>-969.61045476955076</c:v>
                      </c:pt>
                      <c:pt idx="27">
                        <c:v>-977.16324478816568</c:v>
                      </c:pt>
                      <c:pt idx="28">
                        <c:v>-983.06891411003755</c:v>
                      </c:pt>
                      <c:pt idx="29">
                        <c:v>-987.65352373275277</c:v>
                      </c:pt>
                      <c:pt idx="30">
                        <c:v>-991.05426681979225</c:v>
                      </c:pt>
                      <c:pt idx="31">
                        <c:v>-993.81996930090543</c:v>
                      </c:pt>
                      <c:pt idx="32">
                        <c:v>-995.16984657538615</c:v>
                      </c:pt>
                      <c:pt idx="33">
                        <c:v>-995.7151431418572</c:v>
                      </c:pt>
                      <c:pt idx="34">
                        <c:v>-996.1979918380739</c:v>
                      </c:pt>
                      <c:pt idx="35">
                        <c:v>-996.4147306534943</c:v>
                      </c:pt>
                      <c:pt idx="36">
                        <c:v>-993.95933681823078</c:v>
                      </c:pt>
                      <c:pt idx="37">
                        <c:v>-989.37513410334759</c:v>
                      </c:pt>
                      <c:pt idx="38">
                        <c:v>-982.33860032368989</c:v>
                      </c:pt>
                      <c:pt idx="39">
                        <c:v>-974.88892237024299</c:v>
                      </c:pt>
                      <c:pt idx="40">
                        <c:v>-968.20825529763079</c:v>
                      </c:pt>
                      <c:pt idx="41">
                        <c:v>-963.14596067171806</c:v>
                      </c:pt>
                      <c:pt idx="42">
                        <c:v>-959.24234840944325</c:v>
                      </c:pt>
                      <c:pt idx="43">
                        <c:v>-954.77792372035935</c:v>
                      </c:pt>
                      <c:pt idx="44">
                        <c:v>-949.41236757095226</c:v>
                      </c:pt>
                      <c:pt idx="45">
                        <c:v>-947.38250241815444</c:v>
                      </c:pt>
                      <c:pt idx="46">
                        <c:v>-951.67862698707415</c:v>
                      </c:pt>
                      <c:pt idx="47">
                        <c:v>-953.91082457770244</c:v>
                      </c:pt>
                      <c:pt idx="48">
                        <c:v>-951.62044745316393</c:v>
                      </c:pt>
                      <c:pt idx="49">
                        <c:v>-943.57511345768171</c:v>
                      </c:pt>
                      <c:pt idx="50">
                        <c:v>-930.92852566861643</c:v>
                      </c:pt>
                      <c:pt idx="51">
                        <c:v>-915.46942750717574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DC0-49DF-AA24-5F75181B21E0}"/>
                  </c:ext>
                </c:extLst>
              </c15:ser>
            </c15:filteredScatterSeries>
            <c15:filteredScatterSeries>
              <c15:ser>
                <c:idx val="3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'11'!$H$1</c15:sqref>
                        </c15:formulaRef>
                      </c:ext>
                    </c:extLst>
                    <c:strCache>
                      <c:ptCount val="1"/>
                      <c:pt idx="0">
                        <c:v>Цикл 11 (08.08.2024)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'11'!$U$3:$U$54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-915.46942750717574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62F-434B-B76F-926001EEFB11}"/>
                  </c:ext>
                </c:extLst>
              </c15:ser>
            </c15:filteredScatterSeries>
            <c15:filteredScatterSeries>
              <c15:ser>
                <c:idx val="4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'12'!$H$1</c15:sqref>
                        </c15:formulaRef>
                      </c:ext>
                    </c:extLst>
                    <c:strCache>
                      <c:ptCount val="1"/>
                      <c:pt idx="0">
                        <c:v>Цикл 12 (09.08.2024)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'12'!$U$3:$U$54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-915.46942750717574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2C1-4D9F-9CAA-3D9156D1B70D}"/>
                  </c:ext>
                </c:extLst>
              </c15:ser>
            </c15:filteredScatterSeries>
            <c15:filteredScatterSeries>
              <c15:ser>
                <c:idx val="5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'13'!$H$1</c15:sqref>
                        </c15:formulaRef>
                      </c:ext>
                    </c:extLst>
                    <c:strCache>
                      <c:ptCount val="1"/>
                      <c:pt idx="0">
                        <c:v>Цикл 13 (10.08.2024)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'13'!$U$3:$U$54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-915.46942750717574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D15-4217-967C-60C02AA64AF1}"/>
                  </c:ext>
                </c:extLst>
              </c15:ser>
            </c15:filteredScatterSeries>
          </c:ext>
        </c:extLst>
      </c:scatterChart>
      <c:valAx>
        <c:axId val="1561810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182784"/>
        <c:crosses val="autoZero"/>
        <c:crossBetween val="midCat"/>
      </c:valAx>
      <c:valAx>
        <c:axId val="156182784"/>
        <c:scaling>
          <c:orientation val="maxMin"/>
          <c:max val="6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181056"/>
        <c:crossesAt val="20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4803149606299213" l="3.937007874015748E-2" r="3.937007874015748E-2" t="0" header="0.31496062992125984" footer="0.31496062992125984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975901206590105E-2"/>
          <c:y val="3.7687417893579198E-2"/>
          <c:w val="0.85498691329431586"/>
          <c:h val="0.85380458412164928"/>
        </c:manualLayout>
      </c:layout>
      <c:scatterChart>
        <c:scatterStyle val="lineMarker"/>
        <c:varyColors val="0"/>
        <c:ser>
          <c:idx val="9"/>
          <c:order val="0"/>
          <c:tx>
            <c:strRef>
              <c:f>'21.10.24'!$B$1:$I$1</c:f>
              <c:strCache>
                <c:ptCount val="1"/>
                <c:pt idx="0">
                  <c:v>Цикл 1 (21.10.24)</c:v>
                </c:pt>
              </c:strCache>
            </c:strRef>
          </c:tx>
          <c:spPr>
            <a:ln w="25400"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'21.10.24'!$R$3:$R$125</c:f>
              <c:numCache>
                <c:formatCode>General</c:formatCode>
                <c:ptCount val="123"/>
                <c:pt idx="0">
                  <c:v>37.52701727374523</c:v>
                </c:pt>
                <c:pt idx="1">
                  <c:v>35.536467691160269</c:v>
                </c:pt>
                <c:pt idx="2">
                  <c:v>34.326421301992625</c:v>
                </c:pt>
                <c:pt idx="3">
                  <c:v>34.550478050356183</c:v>
                </c:pt>
                <c:pt idx="4">
                  <c:v>35.368139347017646</c:v>
                </c:pt>
                <c:pt idx="5">
                  <c:v>35.43606610515441</c:v>
                </c:pt>
                <c:pt idx="6">
                  <c:v>35.167464187046555</c:v>
                </c:pt>
                <c:pt idx="7">
                  <c:v>34.702957941382628</c:v>
                </c:pt>
                <c:pt idx="8">
                  <c:v>34.505060669596318</c:v>
                </c:pt>
                <c:pt idx="9">
                  <c:v>34.297076259618919</c:v>
                </c:pt>
                <c:pt idx="10">
                  <c:v>33.842837660867829</c:v>
                </c:pt>
                <c:pt idx="11">
                  <c:v>33.141223901538559</c:v>
                </c:pt>
                <c:pt idx="12">
                  <c:v>32.448314744845874</c:v>
                </c:pt>
                <c:pt idx="13">
                  <c:v>32.144757940146249</c:v>
                </c:pt>
                <c:pt idx="14">
                  <c:v>32.059076949141762</c:v>
                </c:pt>
                <c:pt idx="15">
                  <c:v>32.009118302497818</c:v>
                </c:pt>
                <c:pt idx="16">
                  <c:v>32.091660152323414</c:v>
                </c:pt>
                <c:pt idx="17">
                  <c:v>31.832568339361568</c:v>
                </c:pt>
                <c:pt idx="18">
                  <c:v>31.577398401552802</c:v>
                </c:pt>
                <c:pt idx="19">
                  <c:v>31.308275536761158</c:v>
                </c:pt>
                <c:pt idx="20">
                  <c:v>31.505960847882079</c:v>
                </c:pt>
                <c:pt idx="21">
                  <c:v>31.482407830817888</c:v>
                </c:pt>
                <c:pt idx="22">
                  <c:v>31.50843577521135</c:v>
                </c:pt>
                <c:pt idx="23">
                  <c:v>31.493015607433016</c:v>
                </c:pt>
                <c:pt idx="24">
                  <c:v>31.463043123666825</c:v>
                </c:pt>
                <c:pt idx="25">
                  <c:v>31.149913555107634</c:v>
                </c:pt>
                <c:pt idx="26">
                  <c:v>30.453394010751182</c:v>
                </c:pt>
                <c:pt idx="27">
                  <c:v>29.930508790560868</c:v>
                </c:pt>
                <c:pt idx="28">
                  <c:v>29.831587895699005</c:v>
                </c:pt>
                <c:pt idx="29">
                  <c:v>30.249338882507708</c:v>
                </c:pt>
                <c:pt idx="30">
                  <c:v>30.688787968123599</c:v>
                </c:pt>
                <c:pt idx="31">
                  <c:v>31.001384633495601</c:v>
                </c:pt>
                <c:pt idx="32">
                  <c:v>30.349579005673142</c:v>
                </c:pt>
                <c:pt idx="33">
                  <c:v>28.902058042672721</c:v>
                </c:pt>
                <c:pt idx="34">
                  <c:v>28.283999473147816</c:v>
                </c:pt>
                <c:pt idx="35">
                  <c:v>28.768290115806661</c:v>
                </c:pt>
                <c:pt idx="36">
                  <c:v>29.789501196331997</c:v>
                </c:pt>
                <c:pt idx="37">
                  <c:v>30.011040157838636</c:v>
                </c:pt>
                <c:pt idx="38">
                  <c:v>29.667354371266956</c:v>
                </c:pt>
                <c:pt idx="39">
                  <c:v>28.50147144632713</c:v>
                </c:pt>
                <c:pt idx="40">
                  <c:v>27.801335641752022</c:v>
                </c:pt>
                <c:pt idx="41">
                  <c:v>27.856333939323484</c:v>
                </c:pt>
                <c:pt idx="42">
                  <c:v>28.778464906643634</c:v>
                </c:pt>
                <c:pt idx="43">
                  <c:v>29.515474272704395</c:v>
                </c:pt>
                <c:pt idx="44">
                  <c:v>29.356304613126198</c:v>
                </c:pt>
                <c:pt idx="45">
                  <c:v>28.252862991852389</c:v>
                </c:pt>
                <c:pt idx="46">
                  <c:v>27.492066945053207</c:v>
                </c:pt>
                <c:pt idx="47">
                  <c:v>27.412751302930189</c:v>
                </c:pt>
                <c:pt idx="48">
                  <c:v>28.196611533657613</c:v>
                </c:pt>
                <c:pt idx="49">
                  <c:v>29.256850151436154</c:v>
                </c:pt>
                <c:pt idx="50">
                  <c:v>30.479553785328278</c:v>
                </c:pt>
                <c:pt idx="51">
                  <c:v>31.121480300039</c:v>
                </c:pt>
                <c:pt idx="52">
                  <c:v>30.880957411961809</c:v>
                </c:pt>
                <c:pt idx="53">
                  <c:v>30.443757668105235</c:v>
                </c:pt>
                <c:pt idx="54">
                  <c:v>30.027595578967496</c:v>
                </c:pt>
                <c:pt idx="55">
                  <c:v>29.164548118384847</c:v>
                </c:pt>
                <c:pt idx="56">
                  <c:v>28.241207201144054</c:v>
                </c:pt>
                <c:pt idx="57">
                  <c:v>28.074619201437361</c:v>
                </c:pt>
                <c:pt idx="58">
                  <c:v>28.481027967262513</c:v>
                </c:pt>
                <c:pt idx="59">
                  <c:v>28.337481384130385</c:v>
                </c:pt>
                <c:pt idx="60">
                  <c:v>28.016859403665737</c:v>
                </c:pt>
                <c:pt idx="61">
                  <c:v>28.326430381554044</c:v>
                </c:pt>
                <c:pt idx="62">
                  <c:v>28.934698323718354</c:v>
                </c:pt>
                <c:pt idx="63">
                  <c:v>29.688116368282852</c:v>
                </c:pt>
                <c:pt idx="64">
                  <c:v>30.851329808381188</c:v>
                </c:pt>
                <c:pt idx="65">
                  <c:v>31.915245234012499</c:v>
                </c:pt>
                <c:pt idx="66">
                  <c:v>32.180586796879197</c:v>
                </c:pt>
                <c:pt idx="67">
                  <c:v>31.048259082841792</c:v>
                </c:pt>
                <c:pt idx="68">
                  <c:v>29.457815644538158</c:v>
                </c:pt>
                <c:pt idx="69">
                  <c:v>28.125223459113815</c:v>
                </c:pt>
                <c:pt idx="70">
                  <c:v>27.862661228310639</c:v>
                </c:pt>
                <c:pt idx="71">
                  <c:v>28.080731171198344</c:v>
                </c:pt>
                <c:pt idx="72">
                  <c:v>28.608781379146787</c:v>
                </c:pt>
                <c:pt idx="73">
                  <c:v>28.993950885259284</c:v>
                </c:pt>
                <c:pt idx="74">
                  <c:v>28.61868824510714</c:v>
                </c:pt>
                <c:pt idx="75">
                  <c:v>28.554654884898625</c:v>
                </c:pt>
                <c:pt idx="76">
                  <c:v>28.42395737820922</c:v>
                </c:pt>
                <c:pt idx="77">
                  <c:v>28.563571702473148</c:v>
                </c:pt>
                <c:pt idx="78">
                  <c:v>28.461270928984568</c:v>
                </c:pt>
                <c:pt idx="79">
                  <c:v>28.769519479128089</c:v>
                </c:pt>
                <c:pt idx="80">
                  <c:v>28.774095333040091</c:v>
                </c:pt>
                <c:pt idx="81">
                  <c:v>28.499787508347026</c:v>
                </c:pt>
                <c:pt idx="82">
                  <c:v>28.52337155085781</c:v>
                </c:pt>
                <c:pt idx="83">
                  <c:v>28.765992461304922</c:v>
                </c:pt>
                <c:pt idx="84">
                  <c:v>29.172360857590469</c:v>
                </c:pt>
                <c:pt idx="85">
                  <c:v>29.894390782042269</c:v>
                </c:pt>
                <c:pt idx="86">
                  <c:v>30.506423638364449</c:v>
                </c:pt>
                <c:pt idx="87">
                  <c:v>30.633290290444318</c:v>
                </c:pt>
                <c:pt idx="88">
                  <c:v>30.29677210949685</c:v>
                </c:pt>
                <c:pt idx="89">
                  <c:v>29.582255455171275</c:v>
                </c:pt>
                <c:pt idx="90">
                  <c:v>29.174454687450229</c:v>
                </c:pt>
                <c:pt idx="91">
                  <c:v>29.052625228412733</c:v>
                </c:pt>
                <c:pt idx="92">
                  <c:v>28.91498640481845</c:v>
                </c:pt>
                <c:pt idx="93">
                  <c:v>28.899440933525085</c:v>
                </c:pt>
                <c:pt idx="94">
                  <c:v>28.945790237402957</c:v>
                </c:pt>
                <c:pt idx="95">
                  <c:v>29.091043970489419</c:v>
                </c:pt>
                <c:pt idx="96">
                  <c:v>29.093908681926614</c:v>
                </c:pt>
                <c:pt idx="97">
                  <c:v>29.326477345636434</c:v>
                </c:pt>
                <c:pt idx="98">
                  <c:v>29.503649612928783</c:v>
                </c:pt>
                <c:pt idx="99">
                  <c:v>29.948315221940931</c:v>
                </c:pt>
                <c:pt idx="100">
                  <c:v>30.660211285014196</c:v>
                </c:pt>
                <c:pt idx="101">
                  <c:v>31.416464688285942</c:v>
                </c:pt>
                <c:pt idx="102">
                  <c:v>31.992354020181825</c:v>
                </c:pt>
                <c:pt idx="103">
                  <c:v>32.223202910363035</c:v>
                </c:pt>
                <c:pt idx="104">
                  <c:v>32.2977290889879</c:v>
                </c:pt>
                <c:pt idx="105">
                  <c:v>31.388430699355339</c:v>
                </c:pt>
                <c:pt idx="106">
                  <c:v>31.029053062166451</c:v>
                </c:pt>
                <c:pt idx="107">
                  <c:v>31.320363465345377</c:v>
                </c:pt>
                <c:pt idx="108">
                  <c:v>31.95852719161298</c:v>
                </c:pt>
                <c:pt idx="109">
                  <c:v>32.944802491621083</c:v>
                </c:pt>
                <c:pt idx="110">
                  <c:v>33.961170954460378</c:v>
                </c:pt>
                <c:pt idx="111">
                  <c:v>34.834665305966048</c:v>
                </c:pt>
                <c:pt idx="112">
                  <c:v>35.360574508358191</c:v>
                </c:pt>
                <c:pt idx="113">
                  <c:v>35.020712052448317</c:v>
                </c:pt>
                <c:pt idx="114">
                  <c:v>34.150656591710167</c:v>
                </c:pt>
                <c:pt idx="115">
                  <c:v>33.152142748993526</c:v>
                </c:pt>
                <c:pt idx="116">
                  <c:v>34.084768803661063</c:v>
                </c:pt>
                <c:pt idx="117">
                  <c:v>34.215937641441926</c:v>
                </c:pt>
                <c:pt idx="118">
                  <c:v>34.611409188429526</c:v>
                </c:pt>
                <c:pt idx="119">
                  <c:v>35.152766507593839</c:v>
                </c:pt>
                <c:pt idx="120">
                  <c:v>0</c:v>
                </c:pt>
                <c:pt idx="121">
                  <c:v>18.53453240502704</c:v>
                </c:pt>
                <c:pt idx="122">
                  <c:v>0</c:v>
                </c:pt>
              </c:numCache>
            </c:numRef>
          </c:xVal>
          <c:yVal>
            <c:numRef>
              <c:f>'21.10.24'!$A$3:$A$125</c:f>
              <c:numCache>
                <c:formatCode>General</c:formatCode>
                <c:ptCount val="12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552-47F9-A9B6-E58264451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87392"/>
        <c:axId val="156213248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1"/>
                <c:tx>
                  <c:strRef>
                    <c:extLst>
                      <c:ext uri="{02D57815-91ED-43cb-92C2-25804820EDAC}">
                        <c15:formulaRef>
                          <c15:sqref>'2'!$H$1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00CCFF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'2'!$V$3:$V$54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72F-4A3A-A09A-40A518D2BE34}"/>
                  </c:ext>
                </c:extLst>
              </c15:ser>
            </c15:filteredScatterSeries>
            <c15:filteredScatterSeries>
              <c15:ser>
                <c:idx val="7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ap="rnd">
                    <a:solidFill>
                      <a:srgbClr val="008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'3'!$V$3:$V$54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2C7-4D08-82C4-74B42CC14EF6}"/>
                  </c:ext>
                </c:extLst>
              </c15:ser>
            </c15:filteredScatterSeries>
            <c15:filteredScatterSeries>
              <c15:ser>
                <c:idx val="1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FFC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'4'!$V$3:$V$54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989-4510-A3E2-FF8FAD00102F}"/>
                  </c:ext>
                </c:extLst>
              </c15:ser>
            </c15:filteredScatterSeries>
            <c15:filteredScatterSeries>
              <c15:ser>
                <c:idx val="1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chemeClr val="tx2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'5'!$V$3:$V$54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43D-479E-A830-9A2F446D3A95}"/>
                  </c:ext>
                </c:extLst>
              </c15:ser>
            </c15:filteredScatterSeries>
            <c15:filteredScatterSeries>
              <c15:ser>
                <c:idx val="1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92D05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'6'!$V$3:$V$54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6BA-4103-B1E6-961F155C95B3}"/>
                  </c:ext>
                </c:extLst>
              </c15:ser>
            </c15:filteredScatterSeries>
            <c15:filteredScatterSeries>
              <c15:ser>
                <c:idx val="1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7030A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'7'!$V$3:$V$54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ED3-4C36-82EC-FB4879EF0539}"/>
                  </c:ext>
                </c:extLst>
              </c15:ser>
            </c15:filteredScatterSeries>
            <c15:filteredScatterSeries>
              <c15:ser>
                <c:idx val="16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C00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'8'!$V$3:$V$54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E0C-4577-93D7-7016EA861E36}"/>
                  </c:ext>
                </c:extLst>
              </c15:ser>
            </c15:filteredScatterSeries>
            <c15:filteredScatterSeries>
              <c15:ser>
                <c:idx val="0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'9'!$H$1</c15:sqref>
                        </c15:formulaRef>
                      </c:ext>
                    </c:extLst>
                    <c:strCache>
                      <c:ptCount val="1"/>
                      <c:pt idx="0">
                        <c:v>Цикл 9 (02.09.2024)</c:v>
                      </c:pt>
                    </c:strCache>
                  </c:strRef>
                </c:tx>
                <c:spPr>
                  <a:ln>
                    <a:solidFill>
                      <a:srgbClr val="0070C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'9'!$V$3:$V$54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1202.2841820491619</c:v>
                      </c:pt>
                      <c:pt idx="2">
                        <c:v>1211.1036593085253</c:v>
                      </c:pt>
                      <c:pt idx="3">
                        <c:v>1220.1718685380836</c:v>
                      </c:pt>
                      <c:pt idx="4">
                        <c:v>1225.5678212172434</c:v>
                      </c:pt>
                      <c:pt idx="5">
                        <c:v>1225.536624317032</c:v>
                      </c:pt>
                      <c:pt idx="6">
                        <c:v>1222.5795129239491</c:v>
                      </c:pt>
                      <c:pt idx="7">
                        <c:v>1217.1501136877912</c:v>
                      </c:pt>
                      <c:pt idx="8">
                        <c:v>1208.4636708139826</c:v>
                      </c:pt>
                      <c:pt idx="9">
                        <c:v>1197.1615428053542</c:v>
                      </c:pt>
                      <c:pt idx="10">
                        <c:v>1188.4915500751861</c:v>
                      </c:pt>
                      <c:pt idx="11">
                        <c:v>1182.8585206780535</c:v>
                      </c:pt>
                      <c:pt idx="12">
                        <c:v>1182.152170775988</c:v>
                      </c:pt>
                      <c:pt idx="13">
                        <c:v>1185.9880816898453</c:v>
                      </c:pt>
                      <c:pt idx="14">
                        <c:v>1192.0042525076917</c:v>
                      </c:pt>
                      <c:pt idx="15">
                        <c:v>1198.8145755205524</c:v>
                      </c:pt>
                      <c:pt idx="16">
                        <c:v>1203.1286351171277</c:v>
                      </c:pt>
                      <c:pt idx="17">
                        <c:v>1206.0460747108777</c:v>
                      </c:pt>
                      <c:pt idx="18">
                        <c:v>1207.8545497642235</c:v>
                      </c:pt>
                      <c:pt idx="19">
                        <c:v>1207.855438655241</c:v>
                      </c:pt>
                      <c:pt idx="20">
                        <c:v>1206.2130904209305</c:v>
                      </c:pt>
                      <c:pt idx="21">
                        <c:v>1202.7057512749664</c:v>
                      </c:pt>
                      <c:pt idx="22">
                        <c:v>1197.6497876039759</c:v>
                      </c:pt>
                      <c:pt idx="23">
                        <c:v>1194.0805276540434</c:v>
                      </c:pt>
                      <c:pt idx="24">
                        <c:v>1193.5215690533137</c:v>
                      </c:pt>
                      <c:pt idx="25">
                        <c:v>1195.1982832218816</c:v>
                      </c:pt>
                      <c:pt idx="26">
                        <c:v>1198.4973076581994</c:v>
                      </c:pt>
                      <c:pt idx="27">
                        <c:v>1203.2715168731643</c:v>
                      </c:pt>
                      <c:pt idx="28">
                        <c:v>1206.1124878984253</c:v>
                      </c:pt>
                      <c:pt idx="29">
                        <c:v>1208.2253889553942</c:v>
                      </c:pt>
                      <c:pt idx="30">
                        <c:v>1210.013948444793</c:v>
                      </c:pt>
                      <c:pt idx="31">
                        <c:v>1211.7063913548457</c:v>
                      </c:pt>
                      <c:pt idx="32">
                        <c:v>1212.7019448200822</c:v>
                      </c:pt>
                      <c:pt idx="33">
                        <c:v>1214.2202578499205</c:v>
                      </c:pt>
                      <c:pt idx="34">
                        <c:v>1217.0803467989476</c:v>
                      </c:pt>
                      <c:pt idx="35">
                        <c:v>1220.0379763372973</c:v>
                      </c:pt>
                      <c:pt idx="36">
                        <c:v>1220.4007674514928</c:v>
                      </c:pt>
                      <c:pt idx="37">
                        <c:v>1217.7542503481825</c:v>
                      </c:pt>
                      <c:pt idx="38">
                        <c:v>1210.8482154011231</c:v>
                      </c:pt>
                      <c:pt idx="39">
                        <c:v>1201.6010675850255</c:v>
                      </c:pt>
                      <c:pt idx="40">
                        <c:v>1195.0351313022479</c:v>
                      </c:pt>
                      <c:pt idx="41">
                        <c:v>1189.3954500296395</c:v>
                      </c:pt>
                      <c:pt idx="42">
                        <c:v>1183.7235219719003</c:v>
                      </c:pt>
                      <c:pt idx="43">
                        <c:v>1177.2003210565581</c:v>
                      </c:pt>
                      <c:pt idx="44">
                        <c:v>1170.3991583832478</c:v>
                      </c:pt>
                      <c:pt idx="45">
                        <c:v>1166.0076958923921</c:v>
                      </c:pt>
                      <c:pt idx="46">
                        <c:v>1167.6008774130298</c:v>
                      </c:pt>
                      <c:pt idx="47">
                        <c:v>1166.4895500336131</c:v>
                      </c:pt>
                      <c:pt idx="48">
                        <c:v>1159.7957830679318</c:v>
                      </c:pt>
                      <c:pt idx="49">
                        <c:v>1145.160088497099</c:v>
                      </c:pt>
                      <c:pt idx="50">
                        <c:v>1124.1750678028334</c:v>
                      </c:pt>
                      <c:pt idx="51">
                        <c:v>1099.660144843268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446-454F-A861-8E950F73E8FA}"/>
                  </c:ext>
                </c:extLst>
              </c15:ser>
            </c15:filteredScatterSeries>
            <c15:filteredScatterSeries>
              <c15:ser>
                <c:idx val="1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Лист1!$K$9</c15:sqref>
                        </c15:formulaRef>
                      </c:ext>
                    </c:extLst>
                    <c:strCache>
                      <c:ptCount val="1"/>
                      <c:pt idx="0">
                        <c:v>Полка под дорогой</c:v>
                      </c:pt>
                    </c:strCache>
                  </c:strRef>
                </c:tx>
                <c:marker>
                  <c:symbol val="none"/>
                </c:marker>
                <c:dPt>
                  <c:idx val="1"/>
                  <c:bubble3D val="0"/>
                  <c:spPr>
                    <a:ln>
                      <a:solidFill>
                        <a:srgbClr val="0070C0"/>
                      </a:solidFill>
                      <a:prstDash val="dash"/>
                    </a:ln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31CD-4FA6-9186-D4F9A581DE70}"/>
                    </c:ext>
                  </c:extLst>
                </c:dPt>
                <c:dLbls>
                  <c:dLbl>
                    <c:idx val="0"/>
                    <c:layout>
                      <c:manualLayout>
                        <c:x val="0.58878354994514959"/>
                        <c:y val="-1.702866547890609E-2"/>
                      </c:manualLayout>
                    </c:layout>
                    <c:tx>
                      <c:rich>
                        <a:bodyPr/>
                        <a:lstStyle/>
                        <a:p>
                          <a:fld id="{E80DEA2D-8CE4-4DE6-92CF-6D114813AC08}" type="CELLRANGE">
                            <a:rPr lang="en-US"/>
                            <a:pPr/>
                            <a:t>[ДИАПАЗОН ЯЧЕЕК]</a:t>
                          </a:fld>
                          <a:endParaRPr lang="ru-RU"/>
                        </a:p>
                      </c:rich>
                    </c:tx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6-31CD-4FA6-9186-D4F9A581DE70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53FCF1FF-CE91-46B7-A5D6-72CDCED585B9}" type="SERIESNAME">
                            <a:rPr lang="ru-RU"/>
                            <a:pPr/>
                            <a:t>[ИМЯ РЯДА]</a:t>
                          </a:fld>
                          <a:endParaRPr lang="ru-RU"/>
                        </a:p>
                      </c:rich>
                    </c:tx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5-31CD-4FA6-9186-D4F9A581DE7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Лист1!$M$4:$N$4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Лист1!$M$9:$N$9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2.5</c:v>
                      </c:pt>
                      <c:pt idx="1">
                        <c:v>2.5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Лист1!$L$9</c15:f>
                      <c15:dlblRangeCache>
                        <c:ptCount val="1"/>
                        <c:pt idx="0">
                          <c:v>280.00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01-31CD-4FA6-9186-D4F9A581DE70}"/>
                  </c:ext>
                </c:extLst>
              </c15:ser>
            </c15:filteredScatterSeries>
            <c15:filteredScatterSeries>
              <c15:ser>
                <c:idx val="2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Лист1!$K$10</c15:sqref>
                        </c15:formulaRef>
                      </c:ext>
                    </c:extLst>
                    <c:strCache>
                      <c:ptCount val="1"/>
                      <c:pt idx="0">
                        <c:v>Верхний уровень габиона</c:v>
                      </c:pt>
                    </c:strCache>
                  </c:strRef>
                </c:tx>
                <c:spPr>
                  <a:ln>
                    <a:solidFill>
                      <a:srgbClr val="0070C0"/>
                    </a:solidFill>
                    <a:prstDash val="dash"/>
                  </a:ln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0.60025335935966551"/>
                        <c:y val="-1.4190554565755116E-2"/>
                      </c:manualLayout>
                    </c:layout>
                    <c:tx>
                      <c:rich>
                        <a:bodyPr/>
                        <a:lstStyle/>
                        <a:p>
                          <a:fld id="{7627485B-2CFD-470D-973E-462134733CE6}" type="CELLRANGE">
                            <a:rPr lang="en-US"/>
                            <a:pPr/>
                            <a:t>[ДИАПАЗОН ЯЧЕЕК]</a:t>
                          </a:fld>
                          <a:endParaRPr lang="ru-RU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8-31CD-4FA6-9186-D4F9A581DE70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9254E4CF-1FD4-4D15-8BC5-B75DD713972C}" type="SERIESNAME">
                            <a:rPr lang="ru-RU"/>
                            <a:pPr/>
                            <a:t>[ИМЯ РЯДА]</a:t>
                          </a:fld>
                          <a:endParaRPr lang="ru-RU"/>
                        </a:p>
                      </c:rich>
                    </c:tx>
                    <c:dLblPos val="r"/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5-4F5B-4B73-A9A8-67D94A2D896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r"/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Лист1!$M$4:$N$4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Лист1!$M$10:$N$10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10.5</c:v>
                      </c:pt>
                      <c:pt idx="1">
                        <c:v>10.5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Лист1!$L$10</c15:f>
                      <c15:dlblRangeCache>
                        <c:ptCount val="1"/>
                        <c:pt idx="0">
                          <c:v>272.00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02-31CD-4FA6-9186-D4F9A581DE70}"/>
                  </c:ext>
                </c:extLst>
              </c15:ser>
            </c15:filteredScatterSeries>
            <c15:filteredScatterSeries>
              <c15:ser>
                <c:idx val="3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Лист1!$K$11</c15:sqref>
                        </c15:formulaRef>
                      </c:ext>
                    </c:extLst>
                    <c:strCache>
                      <c:ptCount val="1"/>
                      <c:pt idx="0">
                        <c:v>Полка под габионом</c:v>
                      </c:pt>
                    </c:strCache>
                  </c:strRef>
                </c:tx>
                <c:marker>
                  <c:symbol val="none"/>
                </c:marker>
                <c:dPt>
                  <c:idx val="1"/>
                  <c:bubble3D val="0"/>
                  <c:spPr>
                    <a:ln>
                      <a:solidFill>
                        <a:srgbClr val="0070C0"/>
                      </a:solidFill>
                      <a:prstDash val="dash"/>
                    </a:ln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C-31CD-4FA6-9186-D4F9A581DE70}"/>
                    </c:ext>
                  </c:extLst>
                </c:dPt>
                <c:dLbls>
                  <c:dLbl>
                    <c:idx val="0"/>
                    <c:layout>
                      <c:manualLayout>
                        <c:x val="0.60025335935966551"/>
                        <c:y val="-1.5609610022330569E-2"/>
                      </c:manualLayout>
                    </c:layout>
                    <c:tx>
                      <c:rich>
                        <a:bodyPr/>
                        <a:lstStyle/>
                        <a:p>
                          <a:fld id="{B66F3766-469E-4596-811C-EF4671F17640}" type="CELLRANGE">
                            <a:rPr lang="en-US"/>
                            <a:pPr/>
                            <a:t>[ДИАПАЗОН ЯЧЕЕК]</a:t>
                          </a:fld>
                          <a:endParaRPr lang="ru-RU"/>
                        </a:p>
                      </c:rich>
                    </c:tx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9-31CD-4FA6-9186-D4F9A581DE70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757C71FD-6E92-4D0C-A5F1-8521F2E62266}" type="SERIESNAME">
                            <a:rPr lang="ru-RU"/>
                            <a:pPr/>
                            <a:t>[ИМЯ РЯДА]</a:t>
                          </a:fld>
                          <a:endParaRPr lang="ru-RU"/>
                        </a:p>
                      </c:rich>
                    </c:tx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C-31CD-4FA6-9186-D4F9A581DE7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Лист1!$M$4:$N$4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Лист1!$M$11:$N$11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13.5</c:v>
                      </c:pt>
                      <c:pt idx="1">
                        <c:v>13.5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Лист1!$L$11</c15:f>
                      <c15:dlblRangeCache>
                        <c:ptCount val="1"/>
                        <c:pt idx="0">
                          <c:v>269.00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03-31CD-4FA6-9186-D4F9A581DE70}"/>
                  </c:ext>
                </c:extLst>
              </c15:ser>
            </c15:filteredScatterSeries>
            <c15:filteredScatterSeries>
              <c15:ser>
                <c:idx val="4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Лист1!$K$12</c15:sqref>
                        </c15:formulaRef>
                      </c:ext>
                    </c:extLst>
                    <c:strCache>
                      <c:ptCount val="1"/>
                      <c:pt idx="0">
                        <c:v>Дно котлована</c:v>
                      </c:pt>
                    </c:strCache>
                  </c:strRef>
                </c:tx>
                <c:spPr>
                  <a:ln>
                    <a:solidFill>
                      <a:srgbClr val="0070C0"/>
                    </a:solidFill>
                    <a:prstDash val="dash"/>
                  </a:ln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0.58496028014031098"/>
                        <c:y val="-2.1285831848632596E-2"/>
                      </c:manualLayout>
                    </c:layout>
                    <c:tx>
                      <c:rich>
                        <a:bodyPr/>
                        <a:lstStyle/>
                        <a:p>
                          <a:fld id="{46B1A12D-D39C-4967-97AC-0F87FE9F4477}" type="CELLRANGE">
                            <a:rPr lang="en-US"/>
                            <a:pPr/>
                            <a:t>[ДИАПАЗОН ЯЧЕЕК]</a:t>
                          </a:fld>
                          <a:endParaRPr lang="ru-RU"/>
                        </a:p>
                      </c:rich>
                    </c:tx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B-31CD-4FA6-9186-D4F9A581DE70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1CADC971-5770-4818-AC49-034E032E1A85}" type="SERIESNAME">
                            <a:rPr lang="ru-RU"/>
                            <a:pPr/>
                            <a:t>[ИМЯ РЯДА]</a:t>
                          </a:fld>
                          <a:endParaRPr lang="ru-RU"/>
                        </a:p>
                      </c:rich>
                    </c:tx>
                    <c:showLegendKey val="0"/>
                    <c:showVal val="0"/>
                    <c:showCatName val="0"/>
                    <c:showSerName val="1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6-4F5B-4B73-A9A8-67D94A2D896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Лист1!$M$4:$N$4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Лист1!$M$12:$N$12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19.5</c:v>
                      </c:pt>
                      <c:pt idx="1">
                        <c:v>19.5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Лист1!$L$12</c15:f>
                      <c15:dlblRangeCache>
                        <c:ptCount val="1"/>
                        <c:pt idx="0">
                          <c:v>263.00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04-31CD-4FA6-9186-D4F9A581DE70}"/>
                  </c:ext>
                </c:extLst>
              </c15:ser>
            </c15:filteredScatterSeries>
            <c15:filteredScatterSeries>
              <c15:ser>
                <c:idx val="5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'10'!$H$1</c15:sqref>
                        </c15:formulaRef>
                      </c:ext>
                    </c:extLst>
                    <c:strCache>
                      <c:ptCount val="1"/>
                      <c:pt idx="0">
                        <c:v>Цикл 10 (09.09.2024)</c:v>
                      </c:pt>
                    </c:strCache>
                  </c:strRef>
                </c:tx>
                <c:spPr>
                  <a:ln>
                    <a:solidFill>
                      <a:srgbClr val="F68BF9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'10'!$V$3:$V$54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1203.5008771520595</c:v>
                      </c:pt>
                      <c:pt idx="2">
                        <c:v>1209.2785292168296</c:v>
                      </c:pt>
                      <c:pt idx="3">
                        <c:v>1219.2827461313043</c:v>
                      </c:pt>
                      <c:pt idx="4">
                        <c:v>1225.5121742367326</c:v>
                      </c:pt>
                      <c:pt idx="5">
                        <c:v>1225.5647913364219</c:v>
                      </c:pt>
                      <c:pt idx="6">
                        <c:v>1222.5880246109054</c:v>
                      </c:pt>
                      <c:pt idx="7">
                        <c:v>1217.1155746408435</c:v>
                      </c:pt>
                      <c:pt idx="8">
                        <c:v>1208.4290910669738</c:v>
                      </c:pt>
                      <c:pt idx="9">
                        <c:v>1197.1409166121923</c:v>
                      </c:pt>
                      <c:pt idx="10">
                        <c:v>1188.4602962882955</c:v>
                      </c:pt>
                      <c:pt idx="11">
                        <c:v>1182.8448681010314</c:v>
                      </c:pt>
                      <c:pt idx="12">
                        <c:v>1182.1283428524393</c:v>
                      </c:pt>
                      <c:pt idx="13">
                        <c:v>1185.9256237019838</c:v>
                      </c:pt>
                      <c:pt idx="14">
                        <c:v>1191.9387272105032</c:v>
                      </c:pt>
                      <c:pt idx="15">
                        <c:v>1198.7316949253716</c:v>
                      </c:pt>
                      <c:pt idx="16">
                        <c:v>1203.0430341277133</c:v>
                      </c:pt>
                      <c:pt idx="17">
                        <c:v>1205.9552529797068</c:v>
                      </c:pt>
                      <c:pt idx="18">
                        <c:v>1207.7793498455428</c:v>
                      </c:pt>
                      <c:pt idx="19">
                        <c:v>1207.8130371949121</c:v>
                      </c:pt>
                      <c:pt idx="20">
                        <c:v>1206.2004071881904</c:v>
                      </c:pt>
                      <c:pt idx="21">
                        <c:v>1202.7480934783816</c:v>
                      </c:pt>
                      <c:pt idx="22">
                        <c:v>1197.7265432892191</c:v>
                      </c:pt>
                      <c:pt idx="23">
                        <c:v>1193.7736587231336</c:v>
                      </c:pt>
                      <c:pt idx="24">
                        <c:v>1191.9864605943428</c:v>
                      </c:pt>
                      <c:pt idx="25">
                        <c:v>1192.0891921908049</c:v>
                      </c:pt>
                      <c:pt idx="26">
                        <c:v>1194.3759735476935</c:v>
                      </c:pt>
                      <c:pt idx="27">
                        <c:v>1198.6340841274171</c:v>
                      </c:pt>
                      <c:pt idx="28">
                        <c:v>1201.4989605655003</c:v>
                      </c:pt>
                      <c:pt idx="29">
                        <c:v>1203.9952939655318</c:v>
                      </c:pt>
                      <c:pt idx="30">
                        <c:v>1206.4720980224656</c:v>
                      </c:pt>
                      <c:pt idx="31">
                        <c:v>1209.0381971124668</c:v>
                      </c:pt>
                      <c:pt idx="32">
                        <c:v>1210.9654207389999</c:v>
                      </c:pt>
                      <c:pt idx="33">
                        <c:v>1213.3560158713983</c:v>
                      </c:pt>
                      <c:pt idx="34">
                        <c:v>1217.0032050051657</c:v>
                      </c:pt>
                      <c:pt idx="35">
                        <c:v>1220.5668906686619</c:v>
                      </c:pt>
                      <c:pt idx="36">
                        <c:v>1221.3583432346411</c:v>
                      </c:pt>
                      <c:pt idx="37">
                        <c:v>1218.8563661073795</c:v>
                      </c:pt>
                      <c:pt idx="38">
                        <c:v>1211.8125750894753</c:v>
                      </c:pt>
                      <c:pt idx="39">
                        <c:v>1202.2766415261401</c:v>
                      </c:pt>
                      <c:pt idx="40">
                        <c:v>1195.4233259144221</c:v>
                      </c:pt>
                      <c:pt idx="41">
                        <c:v>1189.4756723646606</c:v>
                      </c:pt>
                      <c:pt idx="42">
                        <c:v>1183.6806687147136</c:v>
                      </c:pt>
                      <c:pt idx="43">
                        <c:v>1177.1604394008627</c:v>
                      </c:pt>
                      <c:pt idx="44">
                        <c:v>1170.4420600242927</c:v>
                      </c:pt>
                      <c:pt idx="45">
                        <c:v>1165.9858353018401</c:v>
                      </c:pt>
                      <c:pt idx="46">
                        <c:v>1167.5472392643721</c:v>
                      </c:pt>
                      <c:pt idx="47">
                        <c:v>1166.4043613466447</c:v>
                      </c:pt>
                      <c:pt idx="48">
                        <c:v>1159.7292888429877</c:v>
                      </c:pt>
                      <c:pt idx="49">
                        <c:v>1145.1150237516156</c:v>
                      </c:pt>
                      <c:pt idx="50">
                        <c:v>1124.1750678028334</c:v>
                      </c:pt>
                      <c:pt idx="51">
                        <c:v>1099.660144843268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940-4650-B8B2-499E1DC501FF}"/>
                  </c:ext>
                </c:extLst>
              </c15:ser>
            </c15:filteredScatterSeries>
            <c15:filteredScatterSeries>
              <c15:ser>
                <c:idx val="6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'12'!$H$1</c15:sqref>
                        </c15:formulaRef>
                      </c:ext>
                    </c:extLst>
                    <c:strCache>
                      <c:ptCount val="1"/>
                      <c:pt idx="0">
                        <c:v>Цикл 12 (09.08.2024)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'12'!$V$3:$V$54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1099.660144843268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371-423B-8346-C9D5ADA299FB}"/>
                  </c:ext>
                </c:extLst>
              </c15:ser>
            </c15:filteredScatterSeries>
            <c15:filteredScatterSeries>
              <c15:ser>
                <c:idx val="8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'13'!$H$1</c15:sqref>
                        </c15:formulaRef>
                      </c:ext>
                    </c:extLst>
                    <c:strCache>
                      <c:ptCount val="1"/>
                      <c:pt idx="0">
                        <c:v>Цикл 13 (10.08.2024)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'13'!$V$3:$V$54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1099.660144843268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62-4E7E-85BC-F5D8DE541791}"/>
                  </c:ext>
                </c:extLst>
              </c15:ser>
            </c15:filteredScatterSeries>
          </c:ext>
        </c:extLst>
      </c:scatterChart>
      <c:valAx>
        <c:axId val="1561873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213248"/>
        <c:crosses val="autoZero"/>
        <c:crossBetween val="midCat"/>
      </c:valAx>
      <c:valAx>
        <c:axId val="156213248"/>
        <c:scaling>
          <c:orientation val="maxMin"/>
          <c:max val="6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187392"/>
        <c:crossesAt val="0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1437906445584611E-2"/>
          <c:y val="0.8986029007951738"/>
          <c:w val="0.94446761598613205"/>
          <c:h val="0.10139709920482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39603627124907E-2"/>
          <c:y val="3.3408193541024762E-2"/>
          <c:w val="0.83752191648874552"/>
          <c:h val="0.85348585282386336"/>
        </c:manualLayout>
      </c:layout>
      <c:scatterChart>
        <c:scatterStyle val="lineMarker"/>
        <c:varyColors val="0"/>
        <c:ser>
          <c:idx val="8"/>
          <c:order val="0"/>
          <c:tx>
            <c:strRef>
              <c:f>'21.10.24'!$T$2</c:f>
              <c:strCache>
                <c:ptCount val="1"/>
                <c:pt idx="0">
                  <c:v>Аз откл</c:v>
                </c:pt>
              </c:strCache>
            </c:strRef>
          </c:tx>
          <c:spPr>
            <a:ln w="25400"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'21.10.24'!$T$3:$T$125</c:f>
              <c:numCache>
                <c:formatCode>General</c:formatCode>
                <c:ptCount val="123"/>
                <c:pt idx="0">
                  <c:v>93.766833693277732</c:v>
                </c:pt>
                <c:pt idx="1">
                  <c:v>90.958233544311355</c:v>
                </c:pt>
                <c:pt idx="2">
                  <c:v>89.106171407315827</c:v>
                </c:pt>
                <c:pt idx="3">
                  <c:v>90.529953660339146</c:v>
                </c:pt>
                <c:pt idx="4">
                  <c:v>92.494687165320599</c:v>
                </c:pt>
                <c:pt idx="5">
                  <c:v>93.463437723130568</c:v>
                </c:pt>
                <c:pt idx="6">
                  <c:v>93.986031676411116</c:v>
                </c:pt>
                <c:pt idx="7">
                  <c:v>94.019814372522887</c:v>
                </c:pt>
                <c:pt idx="8">
                  <c:v>94.419669615506464</c:v>
                </c:pt>
                <c:pt idx="9">
                  <c:v>94.862764877646214</c:v>
                </c:pt>
                <c:pt idx="10">
                  <c:v>94.546870645804006</c:v>
                </c:pt>
                <c:pt idx="11">
                  <c:v>93.924066244617592</c:v>
                </c:pt>
                <c:pt idx="12">
                  <c:v>93.20620202263818</c:v>
                </c:pt>
                <c:pt idx="13">
                  <c:v>93.016477749982812</c:v>
                </c:pt>
                <c:pt idx="14">
                  <c:v>93.392493828055322</c:v>
                </c:pt>
                <c:pt idx="15">
                  <c:v>94.288217193805153</c:v>
                </c:pt>
                <c:pt idx="16">
                  <c:v>95.016852446748359</c:v>
                </c:pt>
                <c:pt idx="17">
                  <c:v>95.163142471330659</c:v>
                </c:pt>
                <c:pt idx="18">
                  <c:v>95.170972904470247</c:v>
                </c:pt>
                <c:pt idx="19">
                  <c:v>95.431629616165566</c:v>
                </c:pt>
                <c:pt idx="20">
                  <c:v>95.61644916830501</c:v>
                </c:pt>
                <c:pt idx="21">
                  <c:v>96.634750811664063</c:v>
                </c:pt>
                <c:pt idx="22">
                  <c:v>97.64101274113996</c:v>
                </c:pt>
                <c:pt idx="23">
                  <c:v>98.331262357099803</c:v>
                </c:pt>
                <c:pt idx="24">
                  <c:v>99.123052619386456</c:v>
                </c:pt>
                <c:pt idx="25">
                  <c:v>99.49390827527418</c:v>
                </c:pt>
                <c:pt idx="26">
                  <c:v>99.380852545242846</c:v>
                </c:pt>
                <c:pt idx="27">
                  <c:v>99.390069551237474</c:v>
                </c:pt>
                <c:pt idx="28">
                  <c:v>99.933457716024591</c:v>
                </c:pt>
                <c:pt idx="29">
                  <c:v>101.20752182503382</c:v>
                </c:pt>
                <c:pt idx="30">
                  <c:v>102.36687887061514</c:v>
                </c:pt>
                <c:pt idx="31">
                  <c:v>103.25905318626648</c:v>
                </c:pt>
                <c:pt idx="32">
                  <c:v>103.284541515193</c:v>
                </c:pt>
                <c:pt idx="33">
                  <c:v>102.14441142191632</c:v>
                </c:pt>
                <c:pt idx="34">
                  <c:v>101.39045798409025</c:v>
                </c:pt>
                <c:pt idx="35">
                  <c:v>102.38308810706597</c:v>
                </c:pt>
                <c:pt idx="36">
                  <c:v>103.8759050153888</c:v>
                </c:pt>
                <c:pt idx="37">
                  <c:v>104.39839674145296</c:v>
                </c:pt>
                <c:pt idx="38">
                  <c:v>104.16438720148001</c:v>
                </c:pt>
                <c:pt idx="39">
                  <c:v>103.75963805140614</c:v>
                </c:pt>
                <c:pt idx="40">
                  <c:v>103.80077645835613</c:v>
                </c:pt>
                <c:pt idx="41">
                  <c:v>104.64760675940349</c:v>
                </c:pt>
                <c:pt idx="42">
                  <c:v>106.04617840230182</c:v>
                </c:pt>
                <c:pt idx="43">
                  <c:v>107.89761854839828</c:v>
                </c:pt>
                <c:pt idx="44">
                  <c:v>108.43802140738042</c:v>
                </c:pt>
                <c:pt idx="45">
                  <c:v>108.05198877773654</c:v>
                </c:pt>
                <c:pt idx="46">
                  <c:v>107.92189095760735</c:v>
                </c:pt>
                <c:pt idx="47">
                  <c:v>108.37998477497621</c:v>
                </c:pt>
                <c:pt idx="48">
                  <c:v>109.38156361321127</c:v>
                </c:pt>
                <c:pt idx="49">
                  <c:v>110.74300196348186</c:v>
                </c:pt>
                <c:pt idx="50">
                  <c:v>112.46079053639947</c:v>
                </c:pt>
                <c:pt idx="51">
                  <c:v>113.32023517021067</c:v>
                </c:pt>
                <c:pt idx="52">
                  <c:v>113.73117071127287</c:v>
                </c:pt>
                <c:pt idx="53">
                  <c:v>113.95055891344165</c:v>
                </c:pt>
                <c:pt idx="54">
                  <c:v>113.90725867290453</c:v>
                </c:pt>
                <c:pt idx="55">
                  <c:v>113.98951331311818</c:v>
                </c:pt>
                <c:pt idx="56">
                  <c:v>113.29465366050268</c:v>
                </c:pt>
                <c:pt idx="57">
                  <c:v>114.23535987283117</c:v>
                </c:pt>
                <c:pt idx="58">
                  <c:v>114.60666999102756</c:v>
                </c:pt>
                <c:pt idx="59">
                  <c:v>115.23606268434072</c:v>
                </c:pt>
                <c:pt idx="60">
                  <c:v>115.8216431051159</c:v>
                </c:pt>
                <c:pt idx="61">
                  <c:v>115.6484105504026</c:v>
                </c:pt>
                <c:pt idx="62">
                  <c:v>116.61681296104476</c:v>
                </c:pt>
                <c:pt idx="63">
                  <c:v>117.60718896129779</c:v>
                </c:pt>
                <c:pt idx="64">
                  <c:v>118.71785621855851</c:v>
                </c:pt>
                <c:pt idx="65">
                  <c:v>119.3321323579039</c:v>
                </c:pt>
                <c:pt idx="66">
                  <c:v>119.66812954942148</c:v>
                </c:pt>
                <c:pt idx="67">
                  <c:v>119.40269704572268</c:v>
                </c:pt>
                <c:pt idx="68">
                  <c:v>118.75237021569723</c:v>
                </c:pt>
                <c:pt idx="69">
                  <c:v>119.88596641044663</c:v>
                </c:pt>
                <c:pt idx="70">
                  <c:v>119.97066869233024</c:v>
                </c:pt>
                <c:pt idx="71">
                  <c:v>120.75765663180488</c:v>
                </c:pt>
                <c:pt idx="72">
                  <c:v>120.8714632784848</c:v>
                </c:pt>
                <c:pt idx="73">
                  <c:v>121.61525938015126</c:v>
                </c:pt>
                <c:pt idx="74">
                  <c:v>121.81153619569686</c:v>
                </c:pt>
                <c:pt idx="75">
                  <c:v>122.41475568334508</c:v>
                </c:pt>
                <c:pt idx="76">
                  <c:v>122.96126658508464</c:v>
                </c:pt>
                <c:pt idx="77">
                  <c:v>122.71194840406569</c:v>
                </c:pt>
                <c:pt idx="78">
                  <c:v>123.70762100202415</c:v>
                </c:pt>
                <c:pt idx="79">
                  <c:v>123.7520620342242</c:v>
                </c:pt>
                <c:pt idx="80">
                  <c:v>124.21412556376261</c:v>
                </c:pt>
                <c:pt idx="81">
                  <c:v>124.95801408626988</c:v>
                </c:pt>
                <c:pt idx="82">
                  <c:v>125.22204361468854</c:v>
                </c:pt>
                <c:pt idx="83">
                  <c:v>126.16553344807465</c:v>
                </c:pt>
                <c:pt idx="84">
                  <c:v>126.2529418685457</c:v>
                </c:pt>
                <c:pt idx="85">
                  <c:v>126.79318145073566</c:v>
                </c:pt>
                <c:pt idx="86">
                  <c:v>127.30583045644188</c:v>
                </c:pt>
                <c:pt idx="87">
                  <c:v>128.0183681527148</c:v>
                </c:pt>
                <c:pt idx="88">
                  <c:v>127.89586138756273</c:v>
                </c:pt>
                <c:pt idx="89">
                  <c:v>128.05047684740538</c:v>
                </c:pt>
                <c:pt idx="90">
                  <c:v>128.02083848788618</c:v>
                </c:pt>
                <c:pt idx="91">
                  <c:v>128.88240683405277</c:v>
                </c:pt>
                <c:pt idx="92">
                  <c:v>128.68485659124536</c:v>
                </c:pt>
                <c:pt idx="93">
                  <c:v>129.02322642996293</c:v>
                </c:pt>
                <c:pt idx="94">
                  <c:v>129.38031637131769</c:v>
                </c:pt>
                <c:pt idx="95">
                  <c:v>129.24994090338734</c:v>
                </c:pt>
                <c:pt idx="96">
                  <c:v>130.08021349536486</c:v>
                </c:pt>
                <c:pt idx="97">
                  <c:v>129.89485126971459</c:v>
                </c:pt>
                <c:pt idx="98">
                  <c:v>130.97341464630159</c:v>
                </c:pt>
                <c:pt idx="99">
                  <c:v>131.41818660229492</c:v>
                </c:pt>
                <c:pt idx="100">
                  <c:v>131.79720224444975</c:v>
                </c:pt>
                <c:pt idx="101">
                  <c:v>132.38585792008584</c:v>
                </c:pt>
                <c:pt idx="102">
                  <c:v>132.75195102505404</c:v>
                </c:pt>
                <c:pt idx="103">
                  <c:v>133.28439463888259</c:v>
                </c:pt>
                <c:pt idx="104">
                  <c:v>133.77309201193867</c:v>
                </c:pt>
                <c:pt idx="105">
                  <c:v>133.80251078388</c:v>
                </c:pt>
                <c:pt idx="106">
                  <c:v>134.0382162359117</c:v>
                </c:pt>
                <c:pt idx="107">
                  <c:v>134.43577909688526</c:v>
                </c:pt>
                <c:pt idx="108">
                  <c:v>134.69928749941516</c:v>
                </c:pt>
                <c:pt idx="109">
                  <c:v>135.34402184756334</c:v>
                </c:pt>
                <c:pt idx="110">
                  <c:v>135.10918246267033</c:v>
                </c:pt>
                <c:pt idx="111">
                  <c:v>135.52471355891214</c:v>
                </c:pt>
                <c:pt idx="112">
                  <c:v>135.65656267102679</c:v>
                </c:pt>
                <c:pt idx="113">
                  <c:v>136.2760035039866</c:v>
                </c:pt>
                <c:pt idx="114">
                  <c:v>136.13876326228686</c:v>
                </c:pt>
                <c:pt idx="115">
                  <c:v>136.58736040734263</c:v>
                </c:pt>
                <c:pt idx="116">
                  <c:v>139.31445997877242</c:v>
                </c:pt>
                <c:pt idx="117">
                  <c:v>139.69911802813823</c:v>
                </c:pt>
                <c:pt idx="118">
                  <c:v>139.63148812218802</c:v>
                </c:pt>
                <c:pt idx="119">
                  <c:v>139.57539871872217</c:v>
                </c:pt>
                <c:pt idx="120">
                  <c:v>0</c:v>
                </c:pt>
                <c:pt idx="121">
                  <c:v>142.13376568773941</c:v>
                </c:pt>
                <c:pt idx="122">
                  <c:v>0</c:v>
                </c:pt>
              </c:numCache>
            </c:numRef>
          </c:xVal>
          <c:yVal>
            <c:numRef>
              <c:f>'21.10.24'!$A$3:$A$125</c:f>
              <c:numCache>
                <c:formatCode>General</c:formatCode>
                <c:ptCount val="12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254C-4B63-81C0-F5B02DA9A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15552"/>
        <c:axId val="156216128"/>
        <c:extLst>
          <c:ext xmlns:c15="http://schemas.microsoft.com/office/drawing/2012/chart" uri="{02D57815-91ED-43cb-92C2-25804820EDAC}">
            <c15:filteredScatterSeries>
              <c15:ser>
                <c:idx val="9"/>
                <c:order val="1"/>
                <c:tx>
                  <c:strRef>
                    <c:extLst>
                      <c:ext uri="{02D57815-91ED-43cb-92C2-25804820EDAC}">
                        <c15:formulaRef>
                          <c15:sqref>'2'!$H$1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00CCFF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'2'!$X$3:$X$54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70A-495A-89DF-BA4F37DC2F13}"/>
                  </c:ext>
                </c:extLst>
              </c15:ser>
            </c15:filteredScatterSeries>
            <c15:filteredScatterSeries>
              <c15:ser>
                <c:idx val="1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008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'3'!$X$3:$X$54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46D-4C4D-8970-F7C2F5DBAD1E}"/>
                  </c:ext>
                </c:extLst>
              </c15:ser>
            </c15:filteredScatterSeries>
            <c15:filteredScatterSeries>
              <c15:ser>
                <c:idx val="1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FFC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'4'!$X$3:$X$54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075-4746-A4FB-F9CFF80D387A}"/>
                  </c:ext>
                </c:extLst>
              </c15:ser>
            </c15:filteredScatterSeries>
            <c15:filteredScatterSeries>
              <c15:ser>
                <c:idx val="1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chemeClr val="tx2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'5'!$X$3:$X$54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615-46CD-89B9-8157B126309B}"/>
                  </c:ext>
                </c:extLst>
              </c15:ser>
            </c15:filteredScatterSeries>
            <c15:filteredScatterSeries>
              <c15:ser>
                <c:idx val="1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92D05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'6'!$X$3:$X$54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CCC-46D9-9F27-56F5E44E314E}"/>
                  </c:ext>
                </c:extLst>
              </c15:ser>
            </c15:filteredScatterSeries>
            <c15:filteredScatterSeries>
              <c15:ser>
                <c:idx val="1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7030A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'7'!$X$3:$X$54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1BD-4236-8242-7805AA1999CB}"/>
                  </c:ext>
                </c:extLst>
              </c15:ser>
            </c15:filteredScatterSeries>
            <c15:filteredScatterSeries>
              <c15:ser>
                <c:idx val="15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>
                    <a:solidFill>
                      <a:srgbClr val="C00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'8'!$X$3:$X$54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12F-4D84-90FB-865A45418552}"/>
                  </c:ext>
                </c:extLst>
              </c15:ser>
            </c15:filteredScatterSeries>
            <c15:filteredScatterSeries>
              <c15:ser>
                <c:idx val="0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'9'!$H$1</c15:sqref>
                        </c15:formulaRef>
                      </c:ext>
                    </c:extLst>
                    <c:strCache>
                      <c:ptCount val="1"/>
                      <c:pt idx="0">
                        <c:v>Цикл 9 (02.09.2024)</c:v>
                      </c:pt>
                    </c:strCache>
                  </c:strRef>
                </c:tx>
                <c:spPr>
                  <a:ln>
                    <a:solidFill>
                      <a:srgbClr val="0070C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'9'!$X$3:$X$54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238.17892644124507</c:v>
                      </c:pt>
                      <c:pt idx="2">
                        <c:v>238.09707928844387</c:v>
                      </c:pt>
                      <c:pt idx="3">
                        <c:v>238.06742866686363</c:v>
                      </c:pt>
                      <c:pt idx="4">
                        <c:v>237.96339232480969</c:v>
                      </c:pt>
                      <c:pt idx="5">
                        <c:v>237.8272244713915</c:v>
                      </c:pt>
                      <c:pt idx="6">
                        <c:v>237.61090118381188</c:v>
                      </c:pt>
                      <c:pt idx="7">
                        <c:v>237.33575735435483</c:v>
                      </c:pt>
                      <c:pt idx="8">
                        <c:v>237.0231325774522</c:v>
                      </c:pt>
                      <c:pt idx="9">
                        <c:v>236.63005474410886</c:v>
                      </c:pt>
                      <c:pt idx="10">
                        <c:v>236.18664491967263</c:v>
                      </c:pt>
                      <c:pt idx="11">
                        <c:v>235.80436080362816</c:v>
                      </c:pt>
                      <c:pt idx="12">
                        <c:v>235.50670349087858</c:v>
                      </c:pt>
                      <c:pt idx="13">
                        <c:v>235.23096619002962</c:v>
                      </c:pt>
                      <c:pt idx="14">
                        <c:v>234.95899381322735</c:v>
                      </c:pt>
                      <c:pt idx="15">
                        <c:v>234.70307181374432</c:v>
                      </c:pt>
                      <c:pt idx="16">
                        <c:v>234.21735834952204</c:v>
                      </c:pt>
                      <c:pt idx="17">
                        <c:v>233.83495901540002</c:v>
                      </c:pt>
                      <c:pt idx="18">
                        <c:v>233.59449778264681</c:v>
                      </c:pt>
                      <c:pt idx="19">
                        <c:v>233.50269724712297</c:v>
                      </c:pt>
                      <c:pt idx="20">
                        <c:v>233.55140851251906</c:v>
                      </c:pt>
                      <c:pt idx="21">
                        <c:v>233.72449462905996</c:v>
                      </c:pt>
                      <c:pt idx="22">
                        <c:v>233.64684939810701</c:v>
                      </c:pt>
                      <c:pt idx="23">
                        <c:v>233.68098662356738</c:v>
                      </c:pt>
                      <c:pt idx="24">
                        <c:v>233.81962302484618</c:v>
                      </c:pt>
                      <c:pt idx="25">
                        <c:v>234.01155945345727</c:v>
                      </c:pt>
                      <c:pt idx="26">
                        <c:v>234.26871950676477</c:v>
                      </c:pt>
                      <c:pt idx="27">
                        <c:v>234.59327544425145</c:v>
                      </c:pt>
                      <c:pt idx="28">
                        <c:v>234.87632291242397</c:v>
                      </c:pt>
                      <c:pt idx="29">
                        <c:v>235.07826594852801</c:v>
                      </c:pt>
                      <c:pt idx="30">
                        <c:v>235.18359798631451</c:v>
                      </c:pt>
                      <c:pt idx="31">
                        <c:v>235.23549539472833</c:v>
                      </c:pt>
                      <c:pt idx="32">
                        <c:v>235.21433292437305</c:v>
                      </c:pt>
                      <c:pt idx="33">
                        <c:v>235.09856670090591</c:v>
                      </c:pt>
                      <c:pt idx="34">
                        <c:v>234.89951287055698</c:v>
                      </c:pt>
                      <c:pt idx="35">
                        <c:v>234.68950756163841</c:v>
                      </c:pt>
                      <c:pt idx="36">
                        <c:v>234.45048131667596</c:v>
                      </c:pt>
                      <c:pt idx="37">
                        <c:v>234.25422553823472</c:v>
                      </c:pt>
                      <c:pt idx="38">
                        <c:v>234.15358747305268</c:v>
                      </c:pt>
                      <c:pt idx="39">
                        <c:v>234.1797298586722</c:v>
                      </c:pt>
                      <c:pt idx="40">
                        <c:v>234.07997539844004</c:v>
                      </c:pt>
                      <c:pt idx="41">
                        <c:v>234.06088238146219</c:v>
                      </c:pt>
                      <c:pt idx="42">
                        <c:v>234.12803442491503</c:v>
                      </c:pt>
                      <c:pt idx="43">
                        <c:v>234.19528552571131</c:v>
                      </c:pt>
                      <c:pt idx="44">
                        <c:v>234.20158645987857</c:v>
                      </c:pt>
                      <c:pt idx="45">
                        <c:v>234.34101762616018</c:v>
                      </c:pt>
                      <c:pt idx="46">
                        <c:v>234.59552730260265</c:v>
                      </c:pt>
                      <c:pt idx="47">
                        <c:v>234.86351814658275</c:v>
                      </c:pt>
                      <c:pt idx="48">
                        <c:v>235.13880997358075</c:v>
                      </c:pt>
                      <c:pt idx="49">
                        <c:v>235.48729910618209</c:v>
                      </c:pt>
                      <c:pt idx="50">
                        <c:v>235.90397680883245</c:v>
                      </c:pt>
                      <c:pt idx="51">
                        <c:v>236.35663315793096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1F5-42ED-BBBE-3705126C407B}"/>
                  </c:ext>
                </c:extLst>
              </c15:ser>
            </c15:filteredScatterSeries>
            <c15:filteredScatterSeries>
              <c15:ser>
                <c:idx val="1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'10'!$H$1</c15:sqref>
                        </c15:formulaRef>
                      </c:ext>
                    </c:extLst>
                    <c:strCache>
                      <c:ptCount val="1"/>
                      <c:pt idx="0">
                        <c:v>Цикл 10 (09.09.2024)</c:v>
                      </c:pt>
                    </c:strCache>
                  </c:strRef>
                </c:tx>
                <c:spPr>
                  <a:ln>
                    <a:solidFill>
                      <a:srgbClr val="F68BF9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'10'!$X$3:$X$54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237.82549191685914</c:v>
                      </c:pt>
                      <c:pt idx="2">
                        <c:v>237.99854599248283</c:v>
                      </c:pt>
                      <c:pt idx="3">
                        <c:v>238.06561385747818</c:v>
                      </c:pt>
                      <c:pt idx="4">
                        <c:v>237.96314311911146</c:v>
                      </c:pt>
                      <c:pt idx="5">
                        <c:v>237.82183914050762</c:v>
                      </c:pt>
                      <c:pt idx="6">
                        <c:v>237.6069917737972</c:v>
                      </c:pt>
                      <c:pt idx="7">
                        <c:v>237.33611292720866</c:v>
                      </c:pt>
                      <c:pt idx="8">
                        <c:v>237.02348176558723</c:v>
                      </c:pt>
                      <c:pt idx="9">
                        <c:v>236.6315536214471</c:v>
                      </c:pt>
                      <c:pt idx="10">
                        <c:v>236.18781164910837</c:v>
                      </c:pt>
                      <c:pt idx="11">
                        <c:v>235.80317939897867</c:v>
                      </c:pt>
                      <c:pt idx="12">
                        <c:v>235.5051748472649</c:v>
                      </c:pt>
                      <c:pt idx="13">
                        <c:v>235.23107688379218</c:v>
                      </c:pt>
                      <c:pt idx="14">
                        <c:v>234.95825274525629</c:v>
                      </c:pt>
                      <c:pt idx="15">
                        <c:v>234.70246337137146</c:v>
                      </c:pt>
                      <c:pt idx="16">
                        <c:v>234.21588760715346</c:v>
                      </c:pt>
                      <c:pt idx="17">
                        <c:v>233.83180488761536</c:v>
                      </c:pt>
                      <c:pt idx="18">
                        <c:v>233.59334068539874</c:v>
                      </c:pt>
                      <c:pt idx="19">
                        <c:v>233.50342190703699</c:v>
                      </c:pt>
                      <c:pt idx="20">
                        <c:v>233.55022538451161</c:v>
                      </c:pt>
                      <c:pt idx="21">
                        <c:v>233.72375910374979</c:v>
                      </c:pt>
                      <c:pt idx="22">
                        <c:v>233.64286956068199</c:v>
                      </c:pt>
                      <c:pt idx="23">
                        <c:v>233.67164869231726</c:v>
                      </c:pt>
                      <c:pt idx="24">
                        <c:v>233.80957493999634</c:v>
                      </c:pt>
                      <c:pt idx="25">
                        <c:v>234.00772976725645</c:v>
                      </c:pt>
                      <c:pt idx="26">
                        <c:v>234.27348862348603</c:v>
                      </c:pt>
                      <c:pt idx="27">
                        <c:v>234.61017452869586</c:v>
                      </c:pt>
                      <c:pt idx="28">
                        <c:v>234.90521508542486</c:v>
                      </c:pt>
                      <c:pt idx="29">
                        <c:v>235.11618281539234</c:v>
                      </c:pt>
                      <c:pt idx="30">
                        <c:v>235.23002244851295</c:v>
                      </c:pt>
                      <c:pt idx="31">
                        <c:v>235.28472087777996</c:v>
                      </c:pt>
                      <c:pt idx="32">
                        <c:v>235.26526113331039</c:v>
                      </c:pt>
                      <c:pt idx="33">
                        <c:v>235.14780947793753</c:v>
                      </c:pt>
                      <c:pt idx="34">
                        <c:v>234.9415461967755</c:v>
                      </c:pt>
                      <c:pt idx="35">
                        <c:v>234.72146863066507</c:v>
                      </c:pt>
                      <c:pt idx="36">
                        <c:v>234.47032717454181</c:v>
                      </c:pt>
                      <c:pt idx="37">
                        <c:v>234.26472810336298</c:v>
                      </c:pt>
                      <c:pt idx="38">
                        <c:v>234.15809286844186</c:v>
                      </c:pt>
                      <c:pt idx="39">
                        <c:v>234.18092739692474</c:v>
                      </c:pt>
                      <c:pt idx="40">
                        <c:v>234.08901442010716</c:v>
                      </c:pt>
                      <c:pt idx="41">
                        <c:v>234.06888897185476</c:v>
                      </c:pt>
                      <c:pt idx="42">
                        <c:v>234.13400104521389</c:v>
                      </c:pt>
                      <c:pt idx="43">
                        <c:v>234.20213700525829</c:v>
                      </c:pt>
                      <c:pt idx="44">
                        <c:v>234.20913611688925</c:v>
                      </c:pt>
                      <c:pt idx="45">
                        <c:v>234.3425148425344</c:v>
                      </c:pt>
                      <c:pt idx="46">
                        <c:v>234.59817185016288</c:v>
                      </c:pt>
                      <c:pt idx="47">
                        <c:v>234.86733060469587</c:v>
                      </c:pt>
                      <c:pt idx="48">
                        <c:v>235.14028465024472</c:v>
                      </c:pt>
                      <c:pt idx="49">
                        <c:v>235.48726673012357</c:v>
                      </c:pt>
                      <c:pt idx="50">
                        <c:v>235.90397680883245</c:v>
                      </c:pt>
                      <c:pt idx="51">
                        <c:v>236.35663315793096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BF0-4889-955E-479C9727A6F5}"/>
                  </c:ext>
                </c:extLst>
              </c15:ser>
            </c15:filteredScatterSeries>
            <c15:filteredScatterSeries>
              <c15:ser>
                <c:idx val="2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'12'!$H$1</c15:sqref>
                        </c15:formulaRef>
                      </c:ext>
                    </c:extLst>
                    <c:strCache>
                      <c:ptCount val="1"/>
                      <c:pt idx="0">
                        <c:v>Цикл 12 (09.08.2024)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'12'!$X$3:$X$54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236.35663315793096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8C2-45CC-9F15-3C847DA1133B}"/>
                  </c:ext>
                </c:extLst>
              </c15:ser>
            </c15:filteredScatterSeries>
            <c15:filteredScatterSeries>
              <c15:ser>
                <c:idx val="3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'13'!$H$1</c15:sqref>
                        </c15:formulaRef>
                      </c:ext>
                    </c:extLst>
                    <c:strCache>
                      <c:ptCount val="1"/>
                      <c:pt idx="0">
                        <c:v>Цикл 13 (10.08.2024)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'13'!$X$3:$X$54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236.35663315793096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'13'!$A$3:$A$54</c15:sqref>
                        </c15:formulaRef>
                      </c:ext>
                    </c:extLst>
                    <c:numCache>
                      <c:formatCode>General</c:formatCode>
                      <c:ptCount val="52"/>
                      <c:pt idx="0">
                        <c:v>-0.5</c:v>
                      </c:pt>
                      <c:pt idx="1">
                        <c:v>0</c:v>
                      </c:pt>
                      <c:pt idx="2">
                        <c:v>0.5</c:v>
                      </c:pt>
                      <c:pt idx="3">
                        <c:v>1</c:v>
                      </c:pt>
                      <c:pt idx="4">
                        <c:v>1.5</c:v>
                      </c:pt>
                      <c:pt idx="5">
                        <c:v>2</c:v>
                      </c:pt>
                      <c:pt idx="6">
                        <c:v>2.5</c:v>
                      </c:pt>
                      <c:pt idx="7">
                        <c:v>3</c:v>
                      </c:pt>
                      <c:pt idx="8">
                        <c:v>3.5</c:v>
                      </c:pt>
                      <c:pt idx="9">
                        <c:v>4</c:v>
                      </c:pt>
                      <c:pt idx="10">
                        <c:v>4.5</c:v>
                      </c:pt>
                      <c:pt idx="11">
                        <c:v>5</c:v>
                      </c:pt>
                      <c:pt idx="12">
                        <c:v>5.5</c:v>
                      </c:pt>
                      <c:pt idx="13">
                        <c:v>6</c:v>
                      </c:pt>
                      <c:pt idx="14">
                        <c:v>6.5</c:v>
                      </c:pt>
                      <c:pt idx="15">
                        <c:v>7</c:v>
                      </c:pt>
                      <c:pt idx="16">
                        <c:v>7.5</c:v>
                      </c:pt>
                      <c:pt idx="17">
                        <c:v>8</c:v>
                      </c:pt>
                      <c:pt idx="18">
                        <c:v>8.5</c:v>
                      </c:pt>
                      <c:pt idx="19">
                        <c:v>9</c:v>
                      </c:pt>
                      <c:pt idx="20">
                        <c:v>9.5</c:v>
                      </c:pt>
                      <c:pt idx="21">
                        <c:v>10</c:v>
                      </c:pt>
                      <c:pt idx="22">
                        <c:v>10.5</c:v>
                      </c:pt>
                      <c:pt idx="23">
                        <c:v>11</c:v>
                      </c:pt>
                      <c:pt idx="24">
                        <c:v>11.5</c:v>
                      </c:pt>
                      <c:pt idx="25">
                        <c:v>12</c:v>
                      </c:pt>
                      <c:pt idx="26">
                        <c:v>12.5</c:v>
                      </c:pt>
                      <c:pt idx="27">
                        <c:v>13</c:v>
                      </c:pt>
                      <c:pt idx="28">
                        <c:v>13.5</c:v>
                      </c:pt>
                      <c:pt idx="29">
                        <c:v>14</c:v>
                      </c:pt>
                      <c:pt idx="30">
                        <c:v>14.5</c:v>
                      </c:pt>
                      <c:pt idx="31">
                        <c:v>15</c:v>
                      </c:pt>
                      <c:pt idx="32">
                        <c:v>15.5</c:v>
                      </c:pt>
                      <c:pt idx="33">
                        <c:v>16</c:v>
                      </c:pt>
                      <c:pt idx="34">
                        <c:v>16.5</c:v>
                      </c:pt>
                      <c:pt idx="35">
                        <c:v>17</c:v>
                      </c:pt>
                      <c:pt idx="36">
                        <c:v>17.5</c:v>
                      </c:pt>
                      <c:pt idx="37">
                        <c:v>18</c:v>
                      </c:pt>
                      <c:pt idx="38">
                        <c:v>18.5</c:v>
                      </c:pt>
                      <c:pt idx="39">
                        <c:v>19</c:v>
                      </c:pt>
                      <c:pt idx="40">
                        <c:v>19.5</c:v>
                      </c:pt>
                      <c:pt idx="41">
                        <c:v>20</c:v>
                      </c:pt>
                      <c:pt idx="42">
                        <c:v>20.5</c:v>
                      </c:pt>
                      <c:pt idx="43">
                        <c:v>21</c:v>
                      </c:pt>
                      <c:pt idx="44">
                        <c:v>21.5</c:v>
                      </c:pt>
                      <c:pt idx="45">
                        <c:v>22</c:v>
                      </c:pt>
                      <c:pt idx="46">
                        <c:v>22.5</c:v>
                      </c:pt>
                      <c:pt idx="47">
                        <c:v>23</c:v>
                      </c:pt>
                      <c:pt idx="48">
                        <c:v>23.5</c:v>
                      </c:pt>
                      <c:pt idx="49">
                        <c:v>24</c:v>
                      </c:pt>
                      <c:pt idx="50">
                        <c:v>24.5</c:v>
                      </c:pt>
                      <c:pt idx="51">
                        <c:v>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063-4270-9157-66298B74AD01}"/>
                  </c:ext>
                </c:extLst>
              </c15:ser>
            </c15:filteredScatterSeries>
          </c:ext>
        </c:extLst>
      </c:scatterChart>
      <c:valAx>
        <c:axId val="156215552"/>
        <c:scaling>
          <c:orientation val="minMax"/>
          <c:max val="36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216128"/>
        <c:crosses val="autoZero"/>
        <c:crossBetween val="midCat"/>
        <c:majorUnit val="90"/>
      </c:valAx>
      <c:valAx>
        <c:axId val="156216128"/>
        <c:scaling>
          <c:orientation val="maxMin"/>
          <c:max val="6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21555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Профиль скважины, вид сверху, мм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2.5829216832545954E-2"/>
          <c:y val="7.3516944743140591E-2"/>
          <c:w val="0.93908919416846215"/>
          <c:h val="0.71708707667048222"/>
        </c:manualLayout>
      </c:layout>
      <c:scatterChart>
        <c:scatterStyle val="lineMarker"/>
        <c:varyColors val="0"/>
        <c:ser>
          <c:idx val="4"/>
          <c:order val="0"/>
          <c:tx>
            <c:strRef>
              <c:f>'"0" цикл 24.06'!$B$1:$I$1</c:f>
              <c:strCache>
                <c:ptCount val="1"/>
                <c:pt idx="0">
                  <c:v>Нулевой цикл (24.06)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>
              <a:outerShdw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'"0" цикл 24.06'!$N$3:$N$125</c:f>
              <c:numCache>
                <c:formatCode>General</c:formatCode>
                <c:ptCount val="123"/>
                <c:pt idx="0">
                  <c:v>586.70140040642161</c:v>
                </c:pt>
                <c:pt idx="1">
                  <c:v>592.22101325564472</c:v>
                </c:pt>
                <c:pt idx="2">
                  <c:v>599.68686649094184</c:v>
                </c:pt>
                <c:pt idx="3">
                  <c:v>605.49092552533079</c:v>
                </c:pt>
                <c:pt idx="4">
                  <c:v>608.75406204496585</c:v>
                </c:pt>
                <c:pt idx="5">
                  <c:v>610.65695114973312</c:v>
                </c:pt>
                <c:pt idx="6">
                  <c:v>610.85172504119282</c:v>
                </c:pt>
                <c:pt idx="7">
                  <c:v>608.97974258838451</c:v>
                </c:pt>
                <c:pt idx="8">
                  <c:v>605.07751688396445</c:v>
                </c:pt>
                <c:pt idx="9">
                  <c:v>602.0953244096861</c:v>
                </c:pt>
                <c:pt idx="10">
                  <c:v>600.54065064290739</c:v>
                </c:pt>
                <c:pt idx="11">
                  <c:v>601.43937352032913</c:v>
                </c:pt>
                <c:pt idx="12">
                  <c:v>604.27054908540811</c:v>
                </c:pt>
                <c:pt idx="13">
                  <c:v>607.99170214275318</c:v>
                </c:pt>
                <c:pt idx="14">
                  <c:v>612.0291866003007</c:v>
                </c:pt>
                <c:pt idx="15">
                  <c:v>615.04616383022255</c:v>
                </c:pt>
                <c:pt idx="16">
                  <c:v>617.76619757164462</c:v>
                </c:pt>
                <c:pt idx="17">
                  <c:v>620.70706040461448</c:v>
                </c:pt>
                <c:pt idx="18">
                  <c:v>623.61422926292676</c:v>
                </c:pt>
                <c:pt idx="19">
                  <c:v>626.63775135813694</c:v>
                </c:pt>
                <c:pt idx="20">
                  <c:v>629.05320492557269</c:v>
                </c:pt>
                <c:pt idx="21">
                  <c:v>629.8445417261994</c:v>
                </c:pt>
                <c:pt idx="22">
                  <c:v>631.34321977386344</c:v>
                </c:pt>
                <c:pt idx="23">
                  <c:v>633.74570472584924</c:v>
                </c:pt>
                <c:pt idx="24">
                  <c:v>637.12483035964556</c:v>
                </c:pt>
                <c:pt idx="25">
                  <c:v>641.61632629985513</c:v>
                </c:pt>
                <c:pt idx="26">
                  <c:v>647.18514471241951</c:v>
                </c:pt>
                <c:pt idx="27">
                  <c:v>650.91623617424636</c:v>
                </c:pt>
                <c:pt idx="28">
                  <c:v>653.83201032950592</c:v>
                </c:pt>
                <c:pt idx="29">
                  <c:v>655.81828675667828</c:v>
                </c:pt>
                <c:pt idx="30">
                  <c:v>656.93323609580352</c:v>
                </c:pt>
                <c:pt idx="31">
                  <c:v>657.19382343760276</c:v>
                </c:pt>
                <c:pt idx="32">
                  <c:v>657.59852161372135</c:v>
                </c:pt>
                <c:pt idx="33">
                  <c:v>659.17355745537998</c:v>
                </c:pt>
                <c:pt idx="34">
                  <c:v>660.94057844139559</c:v>
                </c:pt>
                <c:pt idx="35">
                  <c:v>661.84875517016667</c:v>
                </c:pt>
                <c:pt idx="36">
                  <c:v>661.54962514676572</c:v>
                </c:pt>
                <c:pt idx="37">
                  <c:v>659.21525575272892</c:v>
                </c:pt>
                <c:pt idx="38">
                  <c:v>655.68050864753843</c:v>
                </c:pt>
                <c:pt idx="39">
                  <c:v>655.01134476394634</c:v>
                </c:pt>
                <c:pt idx="40">
                  <c:v>654.43623466154247</c:v>
                </c:pt>
                <c:pt idx="41">
                  <c:v>653.25850211576198</c:v>
                </c:pt>
                <c:pt idx="42">
                  <c:v>651.07842310286412</c:v>
                </c:pt>
                <c:pt idx="43">
                  <c:v>648.43268598842565</c:v>
                </c:pt>
                <c:pt idx="44">
                  <c:v>646.53549340328027</c:v>
                </c:pt>
                <c:pt idx="45">
                  <c:v>647.2934993033416</c:v>
                </c:pt>
                <c:pt idx="46">
                  <c:v>646.85765185922082</c:v>
                </c:pt>
                <c:pt idx="47">
                  <c:v>643.30290669226497</c:v>
                </c:pt>
                <c:pt idx="48">
                  <c:v>635.2225052287929</c:v>
                </c:pt>
                <c:pt idx="49">
                  <c:v>623.2917669772919</c:v>
                </c:pt>
                <c:pt idx="50">
                  <c:v>609.23571912388809</c:v>
                </c:pt>
                <c:pt idx="51">
                  <c:v>599.31429471981278</c:v>
                </c:pt>
                <c:pt idx="52">
                  <c:v>592.503963926766</c:v>
                </c:pt>
                <c:pt idx="53">
                  <c:v>588.99163889754993</c:v>
                </c:pt>
                <c:pt idx="54">
                  <c:v>588.62887709248548</c:v>
                </c:pt>
                <c:pt idx="55">
                  <c:v>591.14492827530501</c:v>
                </c:pt>
                <c:pt idx="56">
                  <c:v>595.06121314674499</c:v>
                </c:pt>
                <c:pt idx="57">
                  <c:v>597.78561014662785</c:v>
                </c:pt>
                <c:pt idx="58">
                  <c:v>598.87437961054593</c:v>
                </c:pt>
                <c:pt idx="59">
                  <c:v>599.11084747469192</c:v>
                </c:pt>
                <c:pt idx="60">
                  <c:v>598.29199753333273</c:v>
                </c:pt>
                <c:pt idx="61">
                  <c:v>594.84051514573491</c:v>
                </c:pt>
                <c:pt idx="62">
                  <c:v>590.54936073078989</c:v>
                </c:pt>
                <c:pt idx="63">
                  <c:v>585.90527605288082</c:v>
                </c:pt>
                <c:pt idx="64">
                  <c:v>580.74864675082199</c:v>
                </c:pt>
                <c:pt idx="65">
                  <c:v>573.99212532360673</c:v>
                </c:pt>
                <c:pt idx="66">
                  <c:v>565.63541739902905</c:v>
                </c:pt>
                <c:pt idx="67">
                  <c:v>556.59558924059149</c:v>
                </c:pt>
                <c:pt idx="68">
                  <c:v>547.72141956967278</c:v>
                </c:pt>
                <c:pt idx="69">
                  <c:v>539.78474692203213</c:v>
                </c:pt>
                <c:pt idx="70">
                  <c:v>532.43959905154827</c:v>
                </c:pt>
                <c:pt idx="71">
                  <c:v>525.35707165226438</c:v>
                </c:pt>
                <c:pt idx="72">
                  <c:v>518.94170824744367</c:v>
                </c:pt>
                <c:pt idx="73">
                  <c:v>513.44403188583453</c:v>
                </c:pt>
                <c:pt idx="74">
                  <c:v>508.42811247330638</c:v>
                </c:pt>
                <c:pt idx="75">
                  <c:v>496.51869996091625</c:v>
                </c:pt>
                <c:pt idx="76">
                  <c:v>484.55270158615309</c:v>
                </c:pt>
                <c:pt idx="77">
                  <c:v>472.34230737089075</c:v>
                </c:pt>
                <c:pt idx="78">
                  <c:v>460.61525504293081</c:v>
                </c:pt>
                <c:pt idx="79">
                  <c:v>448.62926384121283</c:v>
                </c:pt>
                <c:pt idx="80">
                  <c:v>437.49110609899873</c:v>
                </c:pt>
                <c:pt idx="81">
                  <c:v>429.22892378599528</c:v>
                </c:pt>
                <c:pt idx="82">
                  <c:v>421.5100269898748</c:v>
                </c:pt>
                <c:pt idx="83">
                  <c:v>415.26166850453171</c:v>
                </c:pt>
                <c:pt idx="84">
                  <c:v>409.45300405073618</c:v>
                </c:pt>
                <c:pt idx="85">
                  <c:v>404.91908864125139</c:v>
                </c:pt>
                <c:pt idx="86">
                  <c:v>400.58127264680382</c:v>
                </c:pt>
                <c:pt idx="87">
                  <c:v>393.25006166843667</c:v>
                </c:pt>
                <c:pt idx="88">
                  <c:v>383.11681629627111</c:v>
                </c:pt>
                <c:pt idx="89">
                  <c:v>370.51469207546438</c:v>
                </c:pt>
                <c:pt idx="90">
                  <c:v>355.3644021479173</c:v>
                </c:pt>
                <c:pt idx="91">
                  <c:v>338.65816623918863</c:v>
                </c:pt>
                <c:pt idx="92">
                  <c:v>320.75612722218807</c:v>
                </c:pt>
                <c:pt idx="93">
                  <c:v>304.77345238326512</c:v>
                </c:pt>
                <c:pt idx="94">
                  <c:v>288.78496275425857</c:v>
                </c:pt>
                <c:pt idx="95">
                  <c:v>272.91579789585023</c:v>
                </c:pt>
                <c:pt idx="96">
                  <c:v>257.72480236870479</c:v>
                </c:pt>
                <c:pt idx="97">
                  <c:v>243.50216646206573</c:v>
                </c:pt>
                <c:pt idx="98">
                  <c:v>230.97989008180349</c:v>
                </c:pt>
                <c:pt idx="99">
                  <c:v>219.87663028974816</c:v>
                </c:pt>
                <c:pt idx="100">
                  <c:v>210.33559134963633</c:v>
                </c:pt>
                <c:pt idx="101">
                  <c:v>201.22680980358012</c:v>
                </c:pt>
                <c:pt idx="102">
                  <c:v>191.8517898382818</c:v>
                </c:pt>
                <c:pt idx="103">
                  <c:v>182.10789410664788</c:v>
                </c:pt>
                <c:pt idx="104">
                  <c:v>171.61790176241863</c:v>
                </c:pt>
                <c:pt idx="105">
                  <c:v>163.86204234960056</c:v>
                </c:pt>
                <c:pt idx="106">
                  <c:v>154.97502714273671</c:v>
                </c:pt>
                <c:pt idx="107">
                  <c:v>145.80625992586047</c:v>
                </c:pt>
                <c:pt idx="108">
                  <c:v>137.02358457146258</c:v>
                </c:pt>
                <c:pt idx="109">
                  <c:v>128.48764236802307</c:v>
                </c:pt>
                <c:pt idx="110">
                  <c:v>120.00405245817215</c:v>
                </c:pt>
                <c:pt idx="111">
                  <c:v>109.79470708892302</c:v>
                </c:pt>
                <c:pt idx="112">
                  <c:v>98.448495685982792</c:v>
                </c:pt>
                <c:pt idx="113">
                  <c:v>86.420701362630098</c:v>
                </c:pt>
                <c:pt idx="114">
                  <c:v>73.636345948710172</c:v>
                </c:pt>
                <c:pt idx="115">
                  <c:v>60.592822907679462</c:v>
                </c:pt>
                <c:pt idx="116">
                  <c:v>47.462305625343667</c:v>
                </c:pt>
                <c:pt idx="117">
                  <c:v>35.644497102008529</c:v>
                </c:pt>
                <c:pt idx="118">
                  <c:v>23.995720788542815</c:v>
                </c:pt>
                <c:pt idx="119">
                  <c:v>12.468842366032957</c:v>
                </c:pt>
                <c:pt idx="120">
                  <c:v>0</c:v>
                </c:pt>
              </c:numCache>
            </c:numRef>
          </c:xVal>
          <c:yVal>
            <c:numRef>
              <c:f>'"0" цикл 24.06'!$M$3:$M$125</c:f>
              <c:numCache>
                <c:formatCode>General</c:formatCode>
                <c:ptCount val="123"/>
                <c:pt idx="0">
                  <c:v>-712.54381060609796</c:v>
                </c:pt>
                <c:pt idx="1">
                  <c:v>-717.02391388332524</c:v>
                </c:pt>
                <c:pt idx="2">
                  <c:v>-723.65015330232075</c:v>
                </c:pt>
                <c:pt idx="3">
                  <c:v>-728.23921397302684</c:v>
                </c:pt>
                <c:pt idx="4">
                  <c:v>-730.48425738308151</c:v>
                </c:pt>
                <c:pt idx="5">
                  <c:v>-731.23341544351172</c:v>
                </c:pt>
                <c:pt idx="6">
                  <c:v>-730.28536285817825</c:v>
                </c:pt>
                <c:pt idx="7">
                  <c:v>-727.37080071652099</c:v>
                </c:pt>
                <c:pt idx="8">
                  <c:v>-722.71447502260787</c:v>
                </c:pt>
                <c:pt idx="9">
                  <c:v>-718.50500876126296</c:v>
                </c:pt>
                <c:pt idx="10">
                  <c:v>-715.93405313949756</c:v>
                </c:pt>
                <c:pt idx="11">
                  <c:v>-715.83369670818195</c:v>
                </c:pt>
                <c:pt idx="12">
                  <c:v>-717.62459461686205</c:v>
                </c:pt>
                <c:pt idx="13">
                  <c:v>-720.28075507894062</c:v>
                </c:pt>
                <c:pt idx="14">
                  <c:v>-723.46959544846288</c:v>
                </c:pt>
                <c:pt idx="15">
                  <c:v>-725.2781889418668</c:v>
                </c:pt>
                <c:pt idx="16">
                  <c:v>-727.05320930343976</c:v>
                </c:pt>
                <c:pt idx="17">
                  <c:v>-728.78229385076406</c:v>
                </c:pt>
                <c:pt idx="18">
                  <c:v>-730.7236041558549</c:v>
                </c:pt>
                <c:pt idx="19">
                  <c:v>-732.6147366134727</c:v>
                </c:pt>
                <c:pt idx="20">
                  <c:v>-734.19377214810561</c:v>
                </c:pt>
                <c:pt idx="21">
                  <c:v>-733.77901409148183</c:v>
                </c:pt>
                <c:pt idx="22">
                  <c:v>-734.11886845577089</c:v>
                </c:pt>
                <c:pt idx="23">
                  <c:v>-735.52397785760479</c:v>
                </c:pt>
                <c:pt idx="24">
                  <c:v>-737.89046580312493</c:v>
                </c:pt>
                <c:pt idx="25">
                  <c:v>-741.37115751315275</c:v>
                </c:pt>
                <c:pt idx="26">
                  <c:v>-745.71236707554965</c:v>
                </c:pt>
                <c:pt idx="27">
                  <c:v>-748.38973783448887</c:v>
                </c:pt>
                <c:pt idx="28">
                  <c:v>-750.37201458028881</c:v>
                </c:pt>
                <c:pt idx="29">
                  <c:v>-751.26128360604082</c:v>
                </c:pt>
                <c:pt idx="30">
                  <c:v>-751.43678615499846</c:v>
                </c:pt>
                <c:pt idx="31">
                  <c:v>-750.72701916422716</c:v>
                </c:pt>
                <c:pt idx="32">
                  <c:v>-750.26656743567526</c:v>
                </c:pt>
                <c:pt idx="33">
                  <c:v>-750.50812584289167</c:v>
                </c:pt>
                <c:pt idx="34">
                  <c:v>-751.24055784968243</c:v>
                </c:pt>
                <c:pt idx="35">
                  <c:v>-751.18322863201649</c:v>
                </c:pt>
                <c:pt idx="36">
                  <c:v>-749.88489905303766</c:v>
                </c:pt>
                <c:pt idx="37">
                  <c:v>-746.66139521799391</c:v>
                </c:pt>
                <c:pt idx="38">
                  <c:v>-742.09548343040331</c:v>
                </c:pt>
                <c:pt idx="39">
                  <c:v>-740.24349940326942</c:v>
                </c:pt>
                <c:pt idx="40">
                  <c:v>-738.49902211443327</c:v>
                </c:pt>
                <c:pt idx="41">
                  <c:v>-736.28076439345341</c:v>
                </c:pt>
                <c:pt idx="42">
                  <c:v>-733.2659687854092</c:v>
                </c:pt>
                <c:pt idx="43">
                  <c:v>-729.42579737213407</c:v>
                </c:pt>
                <c:pt idx="44">
                  <c:v>-726.55644335001659</c:v>
                </c:pt>
                <c:pt idx="45">
                  <c:v>-726.16071422412551</c:v>
                </c:pt>
                <c:pt idx="46">
                  <c:v>-724.76687669622447</c:v>
                </c:pt>
                <c:pt idx="47">
                  <c:v>-720.11115699313757</c:v>
                </c:pt>
                <c:pt idx="48">
                  <c:v>-711.09411136267192</c:v>
                </c:pt>
                <c:pt idx="49">
                  <c:v>-698.34101623281481</c:v>
                </c:pt>
                <c:pt idx="50">
                  <c:v>-683.31260140869267</c:v>
                </c:pt>
                <c:pt idx="51">
                  <c:v>-672.15881231056369</c:v>
                </c:pt>
                <c:pt idx="52">
                  <c:v>-664.34514587408353</c:v>
                </c:pt>
                <c:pt idx="53">
                  <c:v>-659.8489231914059</c:v>
                </c:pt>
                <c:pt idx="54">
                  <c:v>-658.52865586857274</c:v>
                </c:pt>
                <c:pt idx="55">
                  <c:v>-659.95352134879931</c:v>
                </c:pt>
                <c:pt idx="56">
                  <c:v>-663.11666711160058</c:v>
                </c:pt>
                <c:pt idx="57">
                  <c:v>-664.6826127415801</c:v>
                </c:pt>
                <c:pt idx="58">
                  <c:v>-664.64152478215215</c:v>
                </c:pt>
                <c:pt idx="59">
                  <c:v>-664.06241496954351</c:v>
                </c:pt>
                <c:pt idx="60">
                  <c:v>-661.81119024753798</c:v>
                </c:pt>
                <c:pt idx="61">
                  <c:v>-657.57021222211426</c:v>
                </c:pt>
                <c:pt idx="62">
                  <c:v>-652.23336335816441</c:v>
                </c:pt>
                <c:pt idx="63">
                  <c:v>-646.51159597950209</c:v>
                </c:pt>
                <c:pt idx="64">
                  <c:v>-640.30226196694196</c:v>
                </c:pt>
                <c:pt idx="65">
                  <c:v>-632.60202827857427</c:v>
                </c:pt>
                <c:pt idx="66">
                  <c:v>-623.26518070617283</c:v>
                </c:pt>
                <c:pt idx="67">
                  <c:v>-613.16404766447886</c:v>
                </c:pt>
                <c:pt idx="68">
                  <c:v>-603.5144304592078</c:v>
                </c:pt>
                <c:pt idx="69">
                  <c:v>-594.19515432406945</c:v>
                </c:pt>
                <c:pt idx="70">
                  <c:v>-585.67266374270844</c:v>
                </c:pt>
                <c:pt idx="71">
                  <c:v>-577.63273896133808</c:v>
                </c:pt>
                <c:pt idx="72">
                  <c:v>-570.2165736251203</c:v>
                </c:pt>
                <c:pt idx="73">
                  <c:v>-563.67795668480892</c:v>
                </c:pt>
                <c:pt idx="74">
                  <c:v>-557.87062537868508</c:v>
                </c:pt>
                <c:pt idx="75">
                  <c:v>-544.58865667696523</c:v>
                </c:pt>
                <c:pt idx="76">
                  <c:v>-531.89420500516565</c:v>
                </c:pt>
                <c:pt idx="77">
                  <c:v>-518.46175538090688</c:v>
                </c:pt>
                <c:pt idx="78">
                  <c:v>-505.3857609053988</c:v>
                </c:pt>
                <c:pt idx="79">
                  <c:v>-492.63581603949518</c:v>
                </c:pt>
                <c:pt idx="80">
                  <c:v>-480.30280091204156</c:v>
                </c:pt>
                <c:pt idx="81">
                  <c:v>-470.89033570015317</c:v>
                </c:pt>
                <c:pt idx="82">
                  <c:v>-462.28459058430599</c:v>
                </c:pt>
                <c:pt idx="83">
                  <c:v>-454.61683557656033</c:v>
                </c:pt>
                <c:pt idx="84">
                  <c:v>-448.07397687952113</c:v>
                </c:pt>
                <c:pt idx="85">
                  <c:v>-442.32445574386355</c:v>
                </c:pt>
                <c:pt idx="86">
                  <c:v>-436.85053382276539</c:v>
                </c:pt>
                <c:pt idx="87">
                  <c:v>-428.37130660825432</c:v>
                </c:pt>
                <c:pt idx="88">
                  <c:v>-417.4529583816273</c:v>
                </c:pt>
                <c:pt idx="89">
                  <c:v>-403.65545827253709</c:v>
                </c:pt>
                <c:pt idx="90">
                  <c:v>-387.58762120381533</c:v>
                </c:pt>
                <c:pt idx="91">
                  <c:v>-369.64173474946716</c:v>
                </c:pt>
                <c:pt idx="92">
                  <c:v>-350.8767021926476</c:v>
                </c:pt>
                <c:pt idx="93">
                  <c:v>-333.78901472392528</c:v>
                </c:pt>
                <c:pt idx="94">
                  <c:v>-316.67189205833824</c:v>
                </c:pt>
                <c:pt idx="95">
                  <c:v>-300.08836716280075</c:v>
                </c:pt>
                <c:pt idx="96">
                  <c:v>-283.80526435318052</c:v>
                </c:pt>
                <c:pt idx="97">
                  <c:v>-268.34520251418087</c:v>
                </c:pt>
                <c:pt idx="98">
                  <c:v>-254.36063655984503</c:v>
                </c:pt>
                <c:pt idx="99">
                  <c:v>-242.36313434524257</c:v>
                </c:pt>
                <c:pt idx="100">
                  <c:v>-231.49992059125668</c:v>
                </c:pt>
                <c:pt idx="101">
                  <c:v>-221.28415278082596</c:v>
                </c:pt>
                <c:pt idx="102">
                  <c:v>-211.05626716143848</c:v>
                </c:pt>
                <c:pt idx="103">
                  <c:v>-200.01928938885573</c:v>
                </c:pt>
                <c:pt idx="104">
                  <c:v>-188.56681021525026</c:v>
                </c:pt>
                <c:pt idx="105">
                  <c:v>-179.45378725380701</c:v>
                </c:pt>
                <c:pt idx="106">
                  <c:v>-169.62700426074542</c:v>
                </c:pt>
                <c:pt idx="107">
                  <c:v>-159.43486619504012</c:v>
                </c:pt>
                <c:pt idx="108">
                  <c:v>-149.62480604883146</c:v>
                </c:pt>
                <c:pt idx="109">
                  <c:v>-139.95531519237568</c:v>
                </c:pt>
                <c:pt idx="110">
                  <c:v>-130.69772095214913</c:v>
                </c:pt>
                <c:pt idx="111">
                  <c:v>-119.3189142489589</c:v>
                </c:pt>
                <c:pt idx="112">
                  <c:v>-107.01764478083179</c:v>
                </c:pt>
                <c:pt idx="113">
                  <c:v>-93.656679501808526</c:v>
                </c:pt>
                <c:pt idx="114">
                  <c:v>-80.028679195566852</c:v>
                </c:pt>
                <c:pt idx="115">
                  <c:v>-65.879584148542705</c:v>
                </c:pt>
                <c:pt idx="116">
                  <c:v>-51.541367349033528</c:v>
                </c:pt>
                <c:pt idx="117">
                  <c:v>-38.716664433110829</c:v>
                </c:pt>
                <c:pt idx="118">
                  <c:v>-26.071042054992294</c:v>
                </c:pt>
                <c:pt idx="119">
                  <c:v>-13.486607919908982</c:v>
                </c:pt>
                <c:pt idx="1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DAB7-486D-B8F3-F6A4686F746D}"/>
            </c:ext>
          </c:extLst>
        </c:ser>
        <c:ser>
          <c:idx val="5"/>
          <c:order val="1"/>
          <c:tx>
            <c:strRef>
              <c:f>'21.10.24'!$B$1:$I$1</c:f>
              <c:strCache>
                <c:ptCount val="1"/>
                <c:pt idx="0">
                  <c:v>Цикл 1 (21.10.24)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>
              <a:outerShdw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'21.10.24'!$N$3:$N$125</c:f>
              <c:numCache>
                <c:formatCode>General</c:formatCode>
                <c:ptCount val="123"/>
                <c:pt idx="0">
                  <c:v>624.14734673295811</c:v>
                </c:pt>
                <c:pt idx="1">
                  <c:v>627.75251123032217</c:v>
                </c:pt>
                <c:pt idx="2">
                  <c:v>634.00911090381487</c:v>
                </c:pt>
                <c:pt idx="3">
                  <c:v>640.0399256537471</c:v>
                </c:pt>
                <c:pt idx="4">
                  <c:v>644.08868166085404</c:v>
                </c:pt>
                <c:pt idx="5">
                  <c:v>646.02829513083941</c:v>
                </c:pt>
                <c:pt idx="6">
                  <c:v>645.93412007384097</c:v>
                </c:pt>
                <c:pt idx="7">
                  <c:v>643.59732663784496</c:v>
                </c:pt>
                <c:pt idx="8">
                  <c:v>639.47997178229843</c:v>
                </c:pt>
                <c:pt idx="9">
                  <c:v>636.26895164110374</c:v>
                </c:pt>
                <c:pt idx="10">
                  <c:v>634.27697869825658</c:v>
                </c:pt>
                <c:pt idx="11">
                  <c:v>634.5029018659659</c:v>
                </c:pt>
                <c:pt idx="12">
                  <c:v>636.66807299891161</c:v>
                </c:pt>
                <c:pt idx="13">
                  <c:v>640.09192165983848</c:v>
                </c:pt>
                <c:pt idx="14">
                  <c:v>644.03208286816857</c:v>
                </c:pt>
                <c:pt idx="15">
                  <c:v>646.96567362140217</c:v>
                </c:pt>
                <c:pt idx="16">
                  <c:v>649.73491521005076</c:v>
                </c:pt>
                <c:pt idx="17">
                  <c:v>652.4104679437329</c:v>
                </c:pt>
                <c:pt idx="18">
                  <c:v>655.06311355615469</c:v>
                </c:pt>
                <c:pt idx="19">
                  <c:v>657.80544839419429</c:v>
                </c:pt>
                <c:pt idx="20">
                  <c:v>660.40791648351342</c:v>
                </c:pt>
                <c:pt idx="21">
                  <c:v>661.1161078314052</c:v>
                </c:pt>
                <c:pt idx="22">
                  <c:v>662.57188005556338</c:v>
                </c:pt>
                <c:pt idx="23">
                  <c:v>664.90637065169994</c:v>
                </c:pt>
                <c:pt idx="24">
                  <c:v>668.18986890958956</c:v>
                </c:pt>
                <c:pt idx="25">
                  <c:v>672.33958397246784</c:v>
                </c:pt>
                <c:pt idx="26">
                  <c:v>677.23127597710879</c:v>
                </c:pt>
                <c:pt idx="27">
                  <c:v>680.4456897440142</c:v>
                </c:pt>
                <c:pt idx="28">
                  <c:v>683.21638575138741</c:v>
                </c:pt>
                <c:pt idx="29">
                  <c:v>685.49076008959628</c:v>
                </c:pt>
                <c:pt idx="30">
                  <c:v>686.90992903210793</c:v>
                </c:pt>
                <c:pt idx="31">
                  <c:v>687.36880511686172</c:v>
                </c:pt>
                <c:pt idx="32">
                  <c:v>687.13597335492375</c:v>
                </c:pt>
                <c:pt idx="33">
                  <c:v>687.42880080157431</c:v>
                </c:pt>
                <c:pt idx="34">
                  <c:v>688.66749848972324</c:v>
                </c:pt>
                <c:pt idx="35">
                  <c:v>689.94776881912196</c:v>
                </c:pt>
                <c:pt idx="36">
                  <c:v>690.46979185541977</c:v>
                </c:pt>
                <c:pt idx="37">
                  <c:v>688.28365272927363</c:v>
                </c:pt>
                <c:pt idx="38">
                  <c:v>684.4459053129533</c:v>
                </c:pt>
                <c:pt idx="39">
                  <c:v>682.69488307940708</c:v>
                </c:pt>
                <c:pt idx="40">
                  <c:v>681.43497485891999</c:v>
                </c:pt>
                <c:pt idx="41">
                  <c:v>680.20948830346981</c:v>
                </c:pt>
                <c:pt idx="42">
                  <c:v>678.73565684718926</c:v>
                </c:pt>
                <c:pt idx="43">
                  <c:v>676.51982317078466</c:v>
                </c:pt>
                <c:pt idx="44">
                  <c:v>674.3848314104506</c:v>
                </c:pt>
                <c:pt idx="45">
                  <c:v>674.15563575073224</c:v>
                </c:pt>
                <c:pt idx="46">
                  <c:v>673.01571857050646</c:v>
                </c:pt>
                <c:pt idx="47">
                  <c:v>669.31722992887512</c:v>
                </c:pt>
                <c:pt idx="48">
                  <c:v>661.82120042010013</c:v>
                </c:pt>
                <c:pt idx="49">
                  <c:v>650.65214349649023</c:v>
                </c:pt>
                <c:pt idx="50">
                  <c:v>637.40313052030081</c:v>
                </c:pt>
                <c:pt idx="51">
                  <c:v>627.89335638754824</c:v>
                </c:pt>
                <c:pt idx="52">
                  <c:v>620.77374448221997</c:v>
                </c:pt>
                <c:pt idx="53">
                  <c:v>616.81407013213777</c:v>
                </c:pt>
                <c:pt idx="54">
                  <c:v>616.08018368586704</c:v>
                </c:pt>
                <c:pt idx="55">
                  <c:v>617.79023940874356</c:v>
                </c:pt>
                <c:pt idx="56">
                  <c:v>621.00028994256536</c:v>
                </c:pt>
                <c:pt idx="57">
                  <c:v>623.38592781225611</c:v>
                </c:pt>
                <c:pt idx="58">
                  <c:v>624.76897827734319</c:v>
                </c:pt>
                <c:pt idx="59">
                  <c:v>624.74376796593606</c:v>
                </c:pt>
                <c:pt idx="60">
                  <c:v>623.51149403945033</c:v>
                </c:pt>
                <c:pt idx="61">
                  <c:v>620.37586090725586</c:v>
                </c:pt>
                <c:pt idx="62">
                  <c:v>616.41764095262363</c:v>
                </c:pt>
                <c:pt idx="63">
                  <c:v>612.21326505474087</c:v>
                </c:pt>
                <c:pt idx="64">
                  <c:v>607.80515376523158</c:v>
                </c:pt>
                <c:pt idx="65">
                  <c:v>601.81566639563039</c:v>
                </c:pt>
                <c:pt idx="66">
                  <c:v>593.59735376188996</c:v>
                </c:pt>
                <c:pt idx="67">
                  <c:v>583.64454387220621</c:v>
                </c:pt>
                <c:pt idx="68">
                  <c:v>573.54728854871303</c:v>
                </c:pt>
                <c:pt idx="69">
                  <c:v>564.16984494126461</c:v>
                </c:pt>
                <c:pt idx="70">
                  <c:v>556.57650016687137</c:v>
                </c:pt>
                <c:pt idx="71">
                  <c:v>549.48791320510736</c:v>
                </c:pt>
                <c:pt idx="72">
                  <c:v>543.49721388828516</c:v>
                </c:pt>
                <c:pt idx="73">
                  <c:v>538.13491376293098</c:v>
                </c:pt>
                <c:pt idx="74">
                  <c:v>532.74788956837483</c:v>
                </c:pt>
                <c:pt idx="75">
                  <c:v>520.62425130445115</c:v>
                </c:pt>
                <c:pt idx="76">
                  <c:v>508.40149803102054</c:v>
                </c:pt>
                <c:pt idx="77">
                  <c:v>496.37564240130604</c:v>
                </c:pt>
                <c:pt idx="78">
                  <c:v>484.29162604127134</c:v>
                </c:pt>
                <c:pt idx="79">
                  <c:v>472.54966979881056</c:v>
                </c:pt>
                <c:pt idx="80">
                  <c:v>461.28561330688041</c:v>
                </c:pt>
                <c:pt idx="81">
                  <c:v>452.58655553222127</c:v>
                </c:pt>
                <c:pt idx="82">
                  <c:v>444.81142709995618</c:v>
                </c:pt>
                <c:pt idx="83">
                  <c:v>438.48489858977337</c:v>
                </c:pt>
                <c:pt idx="84">
                  <c:v>432.97801132599591</c:v>
                </c:pt>
                <c:pt idx="85">
                  <c:v>428.85859608220153</c:v>
                </c:pt>
                <c:pt idx="86">
                  <c:v>424.84644231877672</c:v>
                </c:pt>
                <c:pt idx="87">
                  <c:v>417.38337645148084</c:v>
                </c:pt>
                <c:pt idx="88">
                  <c:v>407.02486123461296</c:v>
                </c:pt>
                <c:pt idx="89">
                  <c:v>393.80977333016216</c:v>
                </c:pt>
                <c:pt idx="90">
                  <c:v>378.34765201833943</c:v>
                </c:pt>
                <c:pt idx="91">
                  <c:v>361.27377367475719</c:v>
                </c:pt>
                <c:pt idx="92">
                  <c:v>343.32703934314696</c:v>
                </c:pt>
                <c:pt idx="93">
                  <c:v>327.22516174113036</c:v>
                </c:pt>
                <c:pt idx="94">
                  <c:v>311.15865722149272</c:v>
                </c:pt>
                <c:pt idx="95">
                  <c:v>295.44370733982623</c:v>
                </c:pt>
                <c:pt idx="96">
                  <c:v>279.98582611939617</c:v>
                </c:pt>
                <c:pt idx="97">
                  <c:v>266.00210825710803</c:v>
                </c:pt>
                <c:pt idx="98">
                  <c:v>253.25555598372077</c:v>
                </c:pt>
                <c:pt idx="99">
                  <c:v>242.33490544134025</c:v>
                </c:pt>
                <c:pt idx="100">
                  <c:v>233.19304087267838</c:v>
                </c:pt>
                <c:pt idx="101">
                  <c:v>224.43169403710834</c:v>
                </c:pt>
                <c:pt idx="102">
                  <c:v>215.34375602761889</c:v>
                </c:pt>
                <c:pt idx="103">
                  <c:v>205.56508154389331</c:v>
                </c:pt>
                <c:pt idx="104">
                  <c:v>194.93961398798049</c:v>
                </c:pt>
                <c:pt idx="105">
                  <c:v>186.51601119553848</c:v>
                </c:pt>
                <c:pt idx="106">
                  <c:v>177.28107811914842</c:v>
                </c:pt>
                <c:pt idx="107">
                  <c:v>168.17011527366836</c:v>
                </c:pt>
                <c:pt idx="108">
                  <c:v>159.73996842614525</c:v>
                </c:pt>
                <c:pt idx="109">
                  <c:v>151.642843079529</c:v>
                </c:pt>
                <c:pt idx="110">
                  <c:v>143.97242191021263</c:v>
                </c:pt>
                <c:pt idx="111">
                  <c:v>134.19992761939869</c:v>
                </c:pt>
                <c:pt idx="112">
                  <c:v>123.16404041183341</c:v>
                </c:pt>
                <c:pt idx="113">
                  <c:v>110.62649719662065</c:v>
                </c:pt>
                <c:pt idx="114">
                  <c:v>97.299820268402399</c:v>
                </c:pt>
                <c:pt idx="115">
                  <c:v>83.376559357115454</c:v>
                </c:pt>
                <c:pt idx="116">
                  <c:v>69.682406688654083</c:v>
                </c:pt>
                <c:pt idx="117">
                  <c:v>57.775417557080679</c:v>
                </c:pt>
                <c:pt idx="118">
                  <c:v>46.413574944645866</c:v>
                </c:pt>
                <c:pt idx="119">
                  <c:v>35.263542217873336</c:v>
                </c:pt>
                <c:pt idx="120">
                  <c:v>23.655115726361537</c:v>
                </c:pt>
                <c:pt idx="121">
                  <c:v>11.376867950623975</c:v>
                </c:pt>
                <c:pt idx="122">
                  <c:v>0</c:v>
                </c:pt>
              </c:numCache>
            </c:numRef>
          </c:xVal>
          <c:yVal>
            <c:numRef>
              <c:f>'21.10.24'!$M$3:$M$125</c:f>
              <c:numCache>
                <c:formatCode>General</c:formatCode>
                <c:ptCount val="123"/>
                <c:pt idx="0">
                  <c:v>-715.0091968180576</c:v>
                </c:pt>
                <c:pt idx="1">
                  <c:v>-717.61820980319169</c:v>
                </c:pt>
                <c:pt idx="2">
                  <c:v>-723.11467420384997</c:v>
                </c:pt>
                <c:pt idx="3">
                  <c:v>-728.55878186070333</c:v>
                </c:pt>
                <c:pt idx="4">
                  <c:v>-732.02371750615953</c:v>
                </c:pt>
                <c:pt idx="5">
                  <c:v>-733.37416437300556</c:v>
                </c:pt>
                <c:pt idx="6">
                  <c:v>-732.72996837245375</c:v>
                </c:pt>
                <c:pt idx="7">
                  <c:v>-729.80352849823294</c:v>
                </c:pt>
                <c:pt idx="8">
                  <c:v>-725.37348024648736</c:v>
                </c:pt>
                <c:pt idx="9">
                  <c:v>-721.41235150098703</c:v>
                </c:pt>
                <c:pt idx="10">
                  <c:v>-718.61693037890177</c:v>
                </c:pt>
                <c:pt idx="11">
                  <c:v>-718.10169473048813</c:v>
                </c:pt>
                <c:pt idx="12">
                  <c:v>-719.43941528418725</c:v>
                </c:pt>
                <c:pt idx="13">
                  <c:v>-721.97231352768893</c:v>
                </c:pt>
                <c:pt idx="14">
                  <c:v>-725.3667104420997</c:v>
                </c:pt>
                <c:pt idx="15">
                  <c:v>-727.6716277219673</c:v>
                </c:pt>
                <c:pt idx="16">
                  <c:v>-729.85958488202562</c:v>
                </c:pt>
                <c:pt idx="17">
                  <c:v>-731.64696791402048</c:v>
                </c:pt>
                <c:pt idx="18">
                  <c:v>-733.56961303172841</c:v>
                </c:pt>
                <c:pt idx="19">
                  <c:v>-735.57831191271839</c:v>
                </c:pt>
                <c:pt idx="20">
                  <c:v>-737.27721698572088</c:v>
                </c:pt>
                <c:pt idx="21">
                  <c:v>-737.41647971381929</c:v>
                </c:pt>
                <c:pt idx="22">
                  <c:v>-738.30841521058755</c:v>
                </c:pt>
                <c:pt idx="23">
                  <c:v>-740.08719285446239</c:v>
                </c:pt>
                <c:pt idx="24">
                  <c:v>-742.87909913222529</c:v>
                </c:pt>
                <c:pt idx="25">
                  <c:v>-746.50910968040023</c:v>
                </c:pt>
                <c:pt idx="26">
                  <c:v>-750.67615623294921</c:v>
                </c:pt>
                <c:pt idx="27">
                  <c:v>-753.27304904029654</c:v>
                </c:pt>
                <c:pt idx="28">
                  <c:v>-755.51809245035088</c:v>
                </c:pt>
                <c:pt idx="29">
                  <c:v>-757.14063978984723</c:v>
                </c:pt>
                <c:pt idx="30">
                  <c:v>-758.00942546922874</c:v>
                </c:pt>
                <c:pt idx="31">
                  <c:v>-757.83731661583374</c:v>
                </c:pt>
                <c:pt idx="32">
                  <c:v>-757.24051111609992</c:v>
                </c:pt>
                <c:pt idx="33">
                  <c:v>-756.58843689984951</c:v>
                </c:pt>
                <c:pt idx="34">
                  <c:v>-756.82648040828201</c:v>
                </c:pt>
                <c:pt idx="35">
                  <c:v>-757.35250315525207</c:v>
                </c:pt>
                <c:pt idx="36">
                  <c:v>-757.02901124909977</c:v>
                </c:pt>
                <c:pt idx="37">
                  <c:v>-754.12402401550287</c:v>
                </c:pt>
                <c:pt idx="38">
                  <c:v>-749.35522654374222</c:v>
                </c:pt>
                <c:pt idx="39">
                  <c:v>-747.02255397910949</c:v>
                </c:pt>
                <c:pt idx="40">
                  <c:v>-745.13093671127956</c:v>
                </c:pt>
                <c:pt idx="41">
                  <c:v>-743.32488847307377</c:v>
                </c:pt>
                <c:pt idx="42">
                  <c:v>-741.22068210486214</c:v>
                </c:pt>
                <c:pt idx="43">
                  <c:v>-738.49640630660042</c:v>
                </c:pt>
                <c:pt idx="44">
                  <c:v>-735.8412154582071</c:v>
                </c:pt>
                <c:pt idx="45">
                  <c:v>-734.91570666947632</c:v>
                </c:pt>
                <c:pt idx="46">
                  <c:v>-733.22674021990008</c:v>
                </c:pt>
                <c:pt idx="47">
                  <c:v>-728.75487844500458</c:v>
                </c:pt>
                <c:pt idx="48">
                  <c:v>-720.45137143706995</c:v>
                </c:pt>
                <c:pt idx="49">
                  <c:v>-708.70311435584426</c:v>
                </c:pt>
                <c:pt idx="50">
                  <c:v>-694.95734847241022</c:v>
                </c:pt>
                <c:pt idx="51">
                  <c:v>-684.47886792153759</c:v>
                </c:pt>
                <c:pt idx="52">
                  <c:v>-676.77305953752182</c:v>
                </c:pt>
                <c:pt idx="53">
                  <c:v>-672.207511345032</c:v>
                </c:pt>
                <c:pt idx="54">
                  <c:v>-670.69756143029826</c:v>
                </c:pt>
                <c:pt idx="55">
                  <c:v>-671.81093512887128</c:v>
                </c:pt>
                <c:pt idx="56">
                  <c:v>-674.28492924849922</c:v>
                </c:pt>
                <c:pt idx="57">
                  <c:v>-676.20684715105983</c:v>
                </c:pt>
                <c:pt idx="58">
                  <c:v>-676.5006442249055</c:v>
                </c:pt>
                <c:pt idx="59">
                  <c:v>-676.14406379267575</c:v>
                </c:pt>
                <c:pt idx="60">
                  <c:v>-674.01452613665845</c:v>
                </c:pt>
                <c:pt idx="61">
                  <c:v>-669.83123889203887</c:v>
                </c:pt>
                <c:pt idx="62">
                  <c:v>-665.19672887215324</c:v>
                </c:pt>
                <c:pt idx="63">
                  <c:v>-660.26928358224677</c:v>
                </c:pt>
                <c:pt idx="64">
                  <c:v>-655.12622834320962</c:v>
                </c:pt>
                <c:pt idx="65">
                  <c:v>-648.23639556863657</c:v>
                </c:pt>
                <c:pt idx="66">
                  <c:v>-639.1937801873197</c:v>
                </c:pt>
                <c:pt idx="67">
                  <c:v>-628.40702786561133</c:v>
                </c:pt>
                <c:pt idx="68">
                  <c:v>-617.6843773195543</c:v>
                </c:pt>
                <c:pt idx="69">
                  <c:v>-608.20926111749407</c:v>
                </c:pt>
                <c:pt idx="70">
                  <c:v>-599.59163982835207</c:v>
                </c:pt>
                <c:pt idx="71">
                  <c:v>-591.99344747661326</c:v>
                </c:pt>
                <c:pt idx="72">
                  <c:v>-584.89613474670762</c:v>
                </c:pt>
                <c:pt idx="73">
                  <c:v>-578.87695468033803</c:v>
                </c:pt>
                <c:pt idx="74">
                  <c:v>-572.95630597045215</c:v>
                </c:pt>
                <c:pt idx="75">
                  <c:v>-559.89521442258092</c:v>
                </c:pt>
                <c:pt idx="76">
                  <c:v>-547.35888286050852</c:v>
                </c:pt>
                <c:pt idx="77">
                  <c:v>-533.89796073449486</c:v>
                </c:pt>
                <c:pt idx="78">
                  <c:v>-521.18048784960399</c:v>
                </c:pt>
                <c:pt idx="79">
                  <c:v>-508.6201655690711</c:v>
                </c:pt>
                <c:pt idx="80">
                  <c:v>-496.4821083437256</c:v>
                </c:pt>
                <c:pt idx="81">
                  <c:v>-487.22003034606217</c:v>
                </c:pt>
                <c:pt idx="82">
                  <c:v>-478.7353497624772</c:v>
                </c:pt>
                <c:pt idx="83">
                  <c:v>-471.59222678535957</c:v>
                </c:pt>
                <c:pt idx="84">
                  <c:v>-465.32508324127235</c:v>
                </c:pt>
                <c:pt idx="85">
                  <c:v>-460.22905246409567</c:v>
                </c:pt>
                <c:pt idx="86">
                  <c:v>-455.33954201665529</c:v>
                </c:pt>
                <c:pt idx="87">
                  <c:v>-447.2387810444668</c:v>
                </c:pt>
                <c:pt idx="88">
                  <c:v>-436.0620902120221</c:v>
                </c:pt>
                <c:pt idx="89">
                  <c:v>-421.8886430506289</c:v>
                </c:pt>
                <c:pt idx="90">
                  <c:v>-405.55756921998466</c:v>
                </c:pt>
                <c:pt idx="91">
                  <c:v>-387.87876666211292</c:v>
                </c:pt>
                <c:pt idx="92">
                  <c:v>-368.94962018667354</c:v>
                </c:pt>
                <c:pt idx="93">
                  <c:v>-351.98512510994601</c:v>
                </c:pt>
                <c:pt idx="94">
                  <c:v>-335.03698308328524</c:v>
                </c:pt>
                <c:pt idx="95">
                  <c:v>-318.49440246041348</c:v>
                </c:pt>
                <c:pt idx="96">
                  <c:v>-302.53765192026441</c:v>
                </c:pt>
                <c:pt idx="97">
                  <c:v>-287.15463878228405</c:v>
                </c:pt>
                <c:pt idx="98">
                  <c:v>-273.70643840698057</c:v>
                </c:pt>
                <c:pt idx="99">
                  <c:v>-262.17544016380191</c:v>
                </c:pt>
                <c:pt idx="100">
                  <c:v>-251.93483085147795</c:v>
                </c:pt>
                <c:pt idx="101">
                  <c:v>-242.46262300931204</c:v>
                </c:pt>
                <c:pt idx="102">
                  <c:v>-232.77350087827469</c:v>
                </c:pt>
                <c:pt idx="103">
                  <c:v>-222.11216523914655</c:v>
                </c:pt>
                <c:pt idx="104">
                  <c:v>-210.91051275475192</c:v>
                </c:pt>
                <c:pt idx="105">
                  <c:v>-201.18006805139191</c:v>
                </c:pt>
                <c:pt idx="106">
                  <c:v>-191.19647861160672</c:v>
                </c:pt>
                <c:pt idx="107">
                  <c:v>-181.36254599896981</c:v>
                </c:pt>
                <c:pt idx="108">
                  <c:v>-172.10398229761287</c:v>
                </c:pt>
                <c:pt idx="109">
                  <c:v>-163.39026113261198</c:v>
                </c:pt>
                <c:pt idx="110">
                  <c:v>-154.75761285565892</c:v>
                </c:pt>
                <c:pt idx="111">
                  <c:v>-144.17528401281467</c:v>
                </c:pt>
                <c:pt idx="112">
                  <c:v>-132.30622082745072</c:v>
                </c:pt>
                <c:pt idx="113">
                  <c:v>-118.96536814234588</c:v>
                </c:pt>
                <c:pt idx="114">
                  <c:v>-104.65198784339449</c:v>
                </c:pt>
                <c:pt idx="115">
                  <c:v>-89.962065795006922</c:v>
                </c:pt>
                <c:pt idx="116">
                  <c:v>-77.387809524607675</c:v>
                </c:pt>
                <c:pt idx="117">
                  <c:v>-64.811735777989568</c:v>
                </c:pt>
                <c:pt idx="118">
                  <c:v>-52.441280223135507</c:v>
                </c:pt>
                <c:pt idx="119">
                  <c:v>-40.247001261598108</c:v>
                </c:pt>
                <c:pt idx="120">
                  <c:v>-27.776826072613215</c:v>
                </c:pt>
                <c:pt idx="121">
                  <c:v>-14.632011724539538</c:v>
                </c:pt>
                <c:pt idx="1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DAB7-486D-B8F3-F6A4686F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19008"/>
        <c:axId val="156219584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2"/>
                <c:tx>
                  <c:strRef>
                    <c:extLst>
                      <c:ext uri="{02D57815-91ED-43cb-92C2-25804820EDAC}">
                        <c15:formulaRef>
                          <c15:sqref>'3'!$H$1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95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'3'!$U$3:$U$54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'3'!$T$3:$T$54</c15:sqref>
                        </c15:formulaRef>
                      </c:ext>
                    </c:extLst>
                    <c:numCache>
                      <c:formatCode>General</c:formatCode>
                      <c:ptCount val="52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3E-DAB7-486D-B8F3-F6A4686F746D}"/>
                  </c:ext>
                </c:extLst>
              </c15:ser>
            </c15:filteredScatterSeries>
          </c:ext>
        </c:extLst>
      </c:scatterChart>
      <c:valAx>
        <c:axId val="156219008"/>
        <c:scaling>
          <c:orientation val="minMax"/>
          <c:max val="150"/>
          <c:min val="-15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219584"/>
        <c:crossesAt val="0"/>
        <c:crossBetween val="midCat"/>
      </c:valAx>
      <c:valAx>
        <c:axId val="156219584"/>
        <c:scaling>
          <c:orientation val="minMax"/>
          <c:max val="150"/>
          <c:min val="-15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219008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Изменение профиля скважины относительно "нулевого цикла", вид сверху, мм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2.5829216832545954E-2"/>
          <c:y val="7.3516944743140591E-2"/>
          <c:w val="0.93908919416846215"/>
          <c:h val="0.7329773106639027"/>
        </c:manualLayout>
      </c:layout>
      <c:scatterChart>
        <c:scatterStyle val="lineMarker"/>
        <c:varyColors val="0"/>
        <c:ser>
          <c:idx val="8"/>
          <c:order val="0"/>
          <c:tx>
            <c:strRef>
              <c:f>'21.10.24'!$B$1:$I$1</c:f>
              <c:strCache>
                <c:ptCount val="1"/>
                <c:pt idx="0">
                  <c:v>Цикл 1 (21.10.24)</c:v>
                </c:pt>
              </c:strCache>
            </c:strRef>
          </c:tx>
          <c:spPr>
            <a:ln w="25400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'21.10.24'!$Q$3:$Q$125</c:f>
              <c:numCache>
                <c:formatCode>General</c:formatCode>
                <c:ptCount val="123"/>
                <c:pt idx="0">
                  <c:v>37.4459463265365</c:v>
                </c:pt>
                <c:pt idx="1">
                  <c:v>35.53149797467745</c:v>
                </c:pt>
                <c:pt idx="2">
                  <c:v>34.322244412873033</c:v>
                </c:pt>
                <c:pt idx="3">
                  <c:v>34.54900012841631</c:v>
                </c:pt>
                <c:pt idx="4">
                  <c:v>35.334619615888187</c:v>
                </c:pt>
                <c:pt idx="5">
                  <c:v>35.371343981106293</c:v>
                </c:pt>
                <c:pt idx="6">
                  <c:v>35.082395032648151</c:v>
                </c:pt>
                <c:pt idx="7">
                  <c:v>34.617584049460447</c:v>
                </c:pt>
                <c:pt idx="8">
                  <c:v>34.402454898333986</c:v>
                </c:pt>
                <c:pt idx="9">
                  <c:v>34.17362723141764</c:v>
                </c:pt>
                <c:pt idx="10">
                  <c:v>33.73632805534919</c:v>
                </c:pt>
                <c:pt idx="11">
                  <c:v>33.063528345636769</c:v>
                </c:pt>
                <c:pt idx="12">
                  <c:v>32.397523913503505</c:v>
                </c:pt>
                <c:pt idx="13">
                  <c:v>32.100219517085293</c:v>
                </c:pt>
                <c:pt idx="14">
                  <c:v>32.002896267867868</c:v>
                </c:pt>
                <c:pt idx="15">
                  <c:v>31.919509791179621</c:v>
                </c:pt>
                <c:pt idx="16">
                  <c:v>31.968717638406133</c:v>
                </c:pt>
                <c:pt idx="17">
                  <c:v>31.703407539118416</c:v>
                </c:pt>
                <c:pt idx="18">
                  <c:v>31.448884293227934</c:v>
                </c:pt>
                <c:pt idx="19">
                  <c:v>31.167697036057348</c:v>
                </c:pt>
                <c:pt idx="20">
                  <c:v>31.354711557940732</c:v>
                </c:pt>
                <c:pt idx="21">
                  <c:v>31.271566105205807</c:v>
                </c:pt>
                <c:pt idx="22">
                  <c:v>31.228660281699945</c:v>
                </c:pt>
                <c:pt idx="23">
                  <c:v>31.160665925850708</c:v>
                </c:pt>
                <c:pt idx="24">
                  <c:v>31.065038549944006</c:v>
                </c:pt>
                <c:pt idx="25">
                  <c:v>30.723257672612704</c:v>
                </c:pt>
                <c:pt idx="26">
                  <c:v>30.046131264689279</c:v>
                </c:pt>
                <c:pt idx="27">
                  <c:v>29.529453569767838</c:v>
                </c:pt>
                <c:pt idx="28">
                  <c:v>29.384375421881487</c:v>
                </c:pt>
                <c:pt idx="29">
                  <c:v>29.672473332918003</c:v>
                </c:pt>
                <c:pt idx="30">
                  <c:v>29.976692936304403</c:v>
                </c:pt>
                <c:pt idx="31">
                  <c:v>30.174981679258963</c:v>
                </c:pt>
                <c:pt idx="32">
                  <c:v>29.537451741202403</c:v>
                </c:pt>
                <c:pt idx="33">
                  <c:v>28.255243346194334</c:v>
                </c:pt>
                <c:pt idx="34">
                  <c:v>27.726920048327656</c:v>
                </c:pt>
                <c:pt idx="35">
                  <c:v>28.099013648955292</c:v>
                </c:pt>
                <c:pt idx="36">
                  <c:v>28.920166708654051</c:v>
                </c:pt>
                <c:pt idx="37">
                  <c:v>29.068396976544705</c:v>
                </c:pt>
                <c:pt idx="38">
                  <c:v>28.765396665414869</c:v>
                </c:pt>
                <c:pt idx="39">
                  <c:v>27.683538315460737</c:v>
                </c:pt>
                <c:pt idx="40">
                  <c:v>26.998740197377515</c:v>
                </c:pt>
                <c:pt idx="41">
                  <c:v>26.950986187707827</c:v>
                </c:pt>
                <c:pt idx="42">
                  <c:v>27.65723374432514</c:v>
                </c:pt>
                <c:pt idx="43">
                  <c:v>28.087137182359015</c:v>
                </c:pt>
                <c:pt idx="44">
                  <c:v>27.849338007170331</c:v>
                </c:pt>
                <c:pt idx="45">
                  <c:v>26.86213644739064</c:v>
                </c:pt>
                <c:pt idx="46">
                  <c:v>26.158066711285642</c:v>
                </c:pt>
                <c:pt idx="47">
                  <c:v>26.014323236610153</c:v>
                </c:pt>
                <c:pt idx="48">
                  <c:v>26.598695191307229</c:v>
                </c:pt>
                <c:pt idx="49">
                  <c:v>27.360376519198326</c:v>
                </c:pt>
                <c:pt idx="50">
                  <c:v>28.167411396412717</c:v>
                </c:pt>
                <c:pt idx="51">
                  <c:v>28.579061667735459</c:v>
                </c:pt>
                <c:pt idx="52">
                  <c:v>28.269780555453963</c:v>
                </c:pt>
                <c:pt idx="53">
                  <c:v>27.822431234587839</c:v>
                </c:pt>
                <c:pt idx="54">
                  <c:v>27.45130659338156</c:v>
                </c:pt>
                <c:pt idx="55">
                  <c:v>26.645311133438554</c:v>
                </c:pt>
                <c:pt idx="56">
                  <c:v>25.93907679582037</c:v>
                </c:pt>
                <c:pt idx="57">
                  <c:v>25.600317665628268</c:v>
                </c:pt>
                <c:pt idx="58">
                  <c:v>25.894598666797265</c:v>
                </c:pt>
                <c:pt idx="59">
                  <c:v>25.632920491244136</c:v>
                </c:pt>
                <c:pt idx="60">
                  <c:v>25.219496506117594</c:v>
                </c:pt>
                <c:pt idx="61">
                  <c:v>25.535345761520944</c:v>
                </c:pt>
                <c:pt idx="62">
                  <c:v>25.868280221833743</c:v>
                </c:pt>
                <c:pt idx="63">
                  <c:v>26.307989001860051</c:v>
                </c:pt>
                <c:pt idx="64">
                  <c:v>27.05650701440959</c:v>
                </c:pt>
                <c:pt idx="65">
                  <c:v>27.823541072023659</c:v>
                </c:pt>
                <c:pt idx="66">
                  <c:v>27.961936362860911</c:v>
                </c:pt>
                <c:pt idx="67">
                  <c:v>27.04895463161472</c:v>
                </c:pt>
                <c:pt idx="68">
                  <c:v>25.825868979040251</c:v>
                </c:pt>
                <c:pt idx="69">
                  <c:v>24.385098019232487</c:v>
                </c:pt>
                <c:pt idx="70">
                  <c:v>24.136901115323099</c:v>
                </c:pt>
                <c:pt idx="71">
                  <c:v>24.13084155284298</c:v>
                </c:pt>
                <c:pt idx="72">
                  <c:v>24.555505640841488</c:v>
                </c:pt>
                <c:pt idx="73">
                  <c:v>24.690881877096444</c:v>
                </c:pt>
                <c:pt idx="74">
                  <c:v>24.319777095068446</c:v>
                </c:pt>
                <c:pt idx="75">
                  <c:v>24.105551343534898</c:v>
                </c:pt>
                <c:pt idx="76">
                  <c:v>23.848796444867446</c:v>
                </c:pt>
                <c:pt idx="77">
                  <c:v>24.033335030415287</c:v>
                </c:pt>
                <c:pt idx="78">
                  <c:v>23.676370998340531</c:v>
                </c:pt>
                <c:pt idx="79">
                  <c:v>23.920405957597723</c:v>
                </c:pt>
                <c:pt idx="80">
                  <c:v>23.794507207881679</c:v>
                </c:pt>
                <c:pt idx="81">
                  <c:v>23.357631746225991</c:v>
                </c:pt>
                <c:pt idx="82">
                  <c:v>23.301400110081374</c:v>
                </c:pt>
                <c:pt idx="83">
                  <c:v>23.223230085241653</c:v>
                </c:pt>
                <c:pt idx="84">
                  <c:v>23.525007275259725</c:v>
                </c:pt>
                <c:pt idx="85">
                  <c:v>23.939507440950138</c:v>
                </c:pt>
                <c:pt idx="86">
                  <c:v>24.265169671972899</c:v>
                </c:pt>
                <c:pt idx="87">
                  <c:v>24.13331478304417</c:v>
                </c:pt>
                <c:pt idx="88">
                  <c:v>23.908044938341845</c:v>
                </c:pt>
                <c:pt idx="89">
                  <c:v>23.295081254697777</c:v>
                </c:pt>
                <c:pt idx="90">
                  <c:v>22.983249870422128</c:v>
                </c:pt>
                <c:pt idx="91">
                  <c:v>22.615607435568563</c:v>
                </c:pt>
                <c:pt idx="92">
                  <c:v>22.570912120958894</c:v>
                </c:pt>
                <c:pt idx="93">
                  <c:v>22.451709357865241</c:v>
                </c:pt>
                <c:pt idx="94">
                  <c:v>22.373694467234145</c:v>
                </c:pt>
                <c:pt idx="95">
                  <c:v>22.527909443976</c:v>
                </c:pt>
                <c:pt idx="96">
                  <c:v>22.261023750691379</c:v>
                </c:pt>
                <c:pt idx="97">
                  <c:v>22.499941795042304</c:v>
                </c:pt>
                <c:pt idx="98">
                  <c:v>22.275665901917279</c:v>
                </c:pt>
                <c:pt idx="99">
                  <c:v>22.45827515159209</c:v>
                </c:pt>
                <c:pt idx="100">
                  <c:v>22.85744952304205</c:v>
                </c:pt>
                <c:pt idx="101">
                  <c:v>23.204884233528219</c:v>
                </c:pt>
                <c:pt idx="102">
                  <c:v>23.491966189337091</c:v>
                </c:pt>
                <c:pt idx="103">
                  <c:v>23.457187437245437</c:v>
                </c:pt>
                <c:pt idx="104">
                  <c:v>23.321712225561868</c:v>
                </c:pt>
                <c:pt idx="105">
                  <c:v>22.653968845937925</c:v>
                </c:pt>
                <c:pt idx="106">
                  <c:v>22.306050976411711</c:v>
                </c:pt>
                <c:pt idx="107">
                  <c:v>22.363855347807885</c:v>
                </c:pt>
                <c:pt idx="108">
                  <c:v>22.716383854682675</c:v>
                </c:pt>
                <c:pt idx="109">
                  <c:v>23.155200711505927</c:v>
                </c:pt>
                <c:pt idx="110">
                  <c:v>23.968369452040477</c:v>
                </c:pt>
                <c:pt idx="111">
                  <c:v>24.405220530475674</c:v>
                </c:pt>
                <c:pt idx="112">
                  <c:v>24.71554472585062</c:v>
                </c:pt>
                <c:pt idx="113">
                  <c:v>24.20579583399055</c:v>
                </c:pt>
                <c:pt idx="114">
                  <c:v>23.663474319692227</c:v>
                </c:pt>
                <c:pt idx="115">
                  <c:v>22.783736449435992</c:v>
                </c:pt>
                <c:pt idx="116">
                  <c:v>22.220101063310416</c:v>
                </c:pt>
                <c:pt idx="117">
                  <c:v>22.13092045507215</c:v>
                </c:pt>
                <c:pt idx="118">
                  <c:v>22.417854156103051</c:v>
                </c:pt>
                <c:pt idx="119">
                  <c:v>22.794699851840377</c:v>
                </c:pt>
                <c:pt idx="120">
                  <c:v>0</c:v>
                </c:pt>
                <c:pt idx="121">
                  <c:v>11.376867950623975</c:v>
                </c:pt>
                <c:pt idx="122">
                  <c:v>0</c:v>
                </c:pt>
              </c:numCache>
            </c:numRef>
          </c:xVal>
          <c:yVal>
            <c:numRef>
              <c:f>'21.10.24'!$P$3:$P$125</c:f>
              <c:numCache>
                <c:formatCode>General</c:formatCode>
                <c:ptCount val="123"/>
                <c:pt idx="0">
                  <c:v>-2.4653862119596397</c:v>
                </c:pt>
                <c:pt idx="1">
                  <c:v>-0.59429591986645391</c:v>
                </c:pt>
                <c:pt idx="2">
                  <c:v>0.53547909847077335</c:v>
                </c:pt>
                <c:pt idx="3">
                  <c:v>-0.31956788767649869</c:v>
                </c:pt>
                <c:pt idx="4">
                  <c:v>-1.5394601230780154</c:v>
                </c:pt>
                <c:pt idx="5">
                  <c:v>-2.1407489294938387</c:v>
                </c:pt>
                <c:pt idx="6">
                  <c:v>-2.4446055142755085</c:v>
                </c:pt>
                <c:pt idx="7">
                  <c:v>-2.4327277817119466</c:v>
                </c:pt>
                <c:pt idx="8">
                  <c:v>-2.6590052238794897</c:v>
                </c:pt>
                <c:pt idx="9">
                  <c:v>-2.9073427397240721</c:v>
                </c:pt>
                <c:pt idx="10">
                  <c:v>-2.6828772394042062</c:v>
                </c:pt>
                <c:pt idx="11">
                  <c:v>-2.2679980223061875</c:v>
                </c:pt>
                <c:pt idx="12">
                  <c:v>-1.8148206673251934</c:v>
                </c:pt>
                <c:pt idx="13">
                  <c:v>-1.6915584487483102</c:v>
                </c:pt>
                <c:pt idx="14">
                  <c:v>-1.8971149936368192</c:v>
                </c:pt>
                <c:pt idx="15">
                  <c:v>-2.3934387801004959</c:v>
                </c:pt>
                <c:pt idx="16">
                  <c:v>-2.8063755785858575</c:v>
                </c:pt>
                <c:pt idx="17">
                  <c:v>-2.864674063256416</c:v>
                </c:pt>
                <c:pt idx="18">
                  <c:v>-2.8460088758735083</c:v>
                </c:pt>
                <c:pt idx="19">
                  <c:v>-2.9635752992456901</c:v>
                </c:pt>
                <c:pt idx="20">
                  <c:v>-3.083444837615275</c:v>
                </c:pt>
                <c:pt idx="21">
                  <c:v>-3.6374656223374586</c:v>
                </c:pt>
                <c:pt idx="22">
                  <c:v>-4.1895467548166607</c:v>
                </c:pt>
                <c:pt idx="23">
                  <c:v>-4.5632149968575959</c:v>
                </c:pt>
                <c:pt idx="24">
                  <c:v>-4.9886333291003666</c:v>
                </c:pt>
                <c:pt idx="25">
                  <c:v>-5.1379521672474766</c:v>
                </c:pt>
                <c:pt idx="26">
                  <c:v>-4.9637891573995603</c:v>
                </c:pt>
                <c:pt idx="27">
                  <c:v>-4.8833112058076722</c:v>
                </c:pt>
                <c:pt idx="28">
                  <c:v>-5.1460778700620722</c:v>
                </c:pt>
                <c:pt idx="29">
                  <c:v>-5.8793561838064079</c:v>
                </c:pt>
                <c:pt idx="30">
                  <c:v>-6.5726393142302868</c:v>
                </c:pt>
                <c:pt idx="31">
                  <c:v>-7.1102974516065842</c:v>
                </c:pt>
                <c:pt idx="32">
                  <c:v>-6.9739436804246679</c:v>
                </c:pt>
                <c:pt idx="33">
                  <c:v>-6.0803110569578394</c:v>
                </c:pt>
                <c:pt idx="34">
                  <c:v>-5.5859225585995773</c:v>
                </c:pt>
                <c:pt idx="35">
                  <c:v>-6.1692745232355719</c:v>
                </c:pt>
                <c:pt idx="36">
                  <c:v>-7.1441121960621103</c:v>
                </c:pt>
                <c:pt idx="37">
                  <c:v>-7.4626287975089554</c:v>
                </c:pt>
                <c:pt idx="38">
                  <c:v>-7.2597431133389136</c:v>
                </c:pt>
                <c:pt idx="39">
                  <c:v>-6.779054575840064</c:v>
                </c:pt>
                <c:pt idx="40">
                  <c:v>-6.6319145968462863</c:v>
                </c:pt>
                <c:pt idx="41">
                  <c:v>-7.0441240796203601</c:v>
                </c:pt>
                <c:pt idx="42">
                  <c:v>-7.9547133194529351</c:v>
                </c:pt>
                <c:pt idx="43">
                  <c:v>-9.0706089344663496</c:v>
                </c:pt>
                <c:pt idx="44">
                  <c:v>-9.2847721081905092</c:v>
                </c:pt>
                <c:pt idx="45">
                  <c:v>-8.7549924453508083</c:v>
                </c:pt>
                <c:pt idx="46">
                  <c:v>-8.4598635236756081</c:v>
                </c:pt>
                <c:pt idx="47">
                  <c:v>-8.6437214518670089</c:v>
                </c:pt>
                <c:pt idx="48">
                  <c:v>-9.3572600743980274</c:v>
                </c:pt>
                <c:pt idx="49">
                  <c:v>-10.362098123029455</c:v>
                </c:pt>
                <c:pt idx="50">
                  <c:v>-11.644747063717546</c:v>
                </c:pt>
                <c:pt idx="51">
                  <c:v>-12.320055610973895</c:v>
                </c:pt>
                <c:pt idx="52">
                  <c:v>-12.427913663438289</c:v>
                </c:pt>
                <c:pt idx="53">
                  <c:v>-12.358588153626101</c:v>
                </c:pt>
                <c:pt idx="54">
                  <c:v>-12.168905561725524</c:v>
                </c:pt>
                <c:pt idx="55">
                  <c:v>-11.857413780071965</c:v>
                </c:pt>
                <c:pt idx="56">
                  <c:v>-11.168262136898647</c:v>
                </c:pt>
                <c:pt idx="57">
                  <c:v>-11.524234409479732</c:v>
                </c:pt>
                <c:pt idx="58">
                  <c:v>-11.859119442753354</c:v>
                </c:pt>
                <c:pt idx="59">
                  <c:v>-12.081648823132241</c:v>
                </c:pt>
                <c:pt idx="60">
                  <c:v>-12.203335889120467</c:v>
                </c:pt>
                <c:pt idx="61">
                  <c:v>-12.261026669924604</c:v>
                </c:pt>
                <c:pt idx="62">
                  <c:v>-12.963365513988833</c:v>
                </c:pt>
                <c:pt idx="63">
                  <c:v>-13.757687602744681</c:v>
                </c:pt>
                <c:pt idx="64">
                  <c:v>-14.823966376267663</c:v>
                </c:pt>
                <c:pt idx="65">
                  <c:v>-15.634367290062301</c:v>
                </c:pt>
                <c:pt idx="66">
                  <c:v>-15.928599481146875</c:v>
                </c:pt>
                <c:pt idx="67">
                  <c:v>-15.242980201132468</c:v>
                </c:pt>
                <c:pt idx="68">
                  <c:v>-14.169946860346499</c:v>
                </c:pt>
                <c:pt idx="69">
                  <c:v>-14.014106793424617</c:v>
                </c:pt>
                <c:pt idx="70">
                  <c:v>-13.918976085643635</c:v>
                </c:pt>
                <c:pt idx="71">
                  <c:v>-14.360708515275178</c:v>
                </c:pt>
                <c:pt idx="72">
                  <c:v>-14.679561121587312</c:v>
                </c:pt>
                <c:pt idx="73">
                  <c:v>-15.198997995529112</c:v>
                </c:pt>
                <c:pt idx="74">
                  <c:v>-15.085680591767073</c:v>
                </c:pt>
                <c:pt idx="75">
                  <c:v>-15.306557745615692</c:v>
                </c:pt>
                <c:pt idx="76">
                  <c:v>-15.46467785534287</c:v>
                </c:pt>
                <c:pt idx="77">
                  <c:v>-15.43620535358798</c:v>
                </c:pt>
                <c:pt idx="78">
                  <c:v>-15.794726944205195</c:v>
                </c:pt>
                <c:pt idx="79">
                  <c:v>-15.984349529575923</c:v>
                </c:pt>
                <c:pt idx="80">
                  <c:v>-16.179307431684038</c:v>
                </c:pt>
                <c:pt idx="81">
                  <c:v>-16.329694645909001</c:v>
                </c:pt>
                <c:pt idx="82">
                  <c:v>-16.450759178171211</c:v>
                </c:pt>
                <c:pt idx="83">
                  <c:v>-16.975391208799238</c:v>
                </c:pt>
                <c:pt idx="84">
                  <c:v>-17.251106361751226</c:v>
                </c:pt>
                <c:pt idx="85">
                  <c:v>-17.904596720232121</c:v>
                </c:pt>
                <c:pt idx="86">
                  <c:v>-18.489008193889902</c:v>
                </c:pt>
                <c:pt idx="87">
                  <c:v>-18.86747443621249</c:v>
                </c:pt>
                <c:pt idx="88">
                  <c:v>-18.609131830394801</c:v>
                </c:pt>
                <c:pt idx="89">
                  <c:v>-18.233184778091811</c:v>
                </c:pt>
                <c:pt idx="90">
                  <c:v>-17.969948016169326</c:v>
                </c:pt>
                <c:pt idx="91">
                  <c:v>-18.237031912645762</c:v>
                </c:pt>
                <c:pt idx="92">
                  <c:v>-18.072917994025943</c:v>
                </c:pt>
                <c:pt idx="93">
                  <c:v>-18.196110386020734</c:v>
                </c:pt>
                <c:pt idx="94">
                  <c:v>-18.365091024946992</c:v>
                </c:pt>
                <c:pt idx="95">
                  <c:v>-18.406035297612732</c:v>
                </c:pt>
                <c:pt idx="96">
                  <c:v>-18.73238756708389</c:v>
                </c:pt>
                <c:pt idx="97">
                  <c:v>-18.809436268103184</c:v>
                </c:pt>
                <c:pt idx="98">
                  <c:v>-19.345801847135533</c:v>
                </c:pt>
                <c:pt idx="99">
                  <c:v>-19.812305818559338</c:v>
                </c:pt>
                <c:pt idx="100">
                  <c:v>-20.434910260221272</c:v>
                </c:pt>
                <c:pt idx="101">
                  <c:v>-21.178470228486077</c:v>
                </c:pt>
                <c:pt idx="102">
                  <c:v>-21.717233716836205</c:v>
                </c:pt>
                <c:pt idx="103">
                  <c:v>-22.092875850290824</c:v>
                </c:pt>
                <c:pt idx="104">
                  <c:v>-22.343702539501663</c:v>
                </c:pt>
                <c:pt idx="105">
                  <c:v>-21.726280797584906</c:v>
                </c:pt>
                <c:pt idx="106">
                  <c:v>-21.569474350861299</c:v>
                </c:pt>
                <c:pt idx="107">
                  <c:v>-21.927679803929692</c:v>
                </c:pt>
                <c:pt idx="108">
                  <c:v>-22.479176248781414</c:v>
                </c:pt>
                <c:pt idx="109">
                  <c:v>-23.434945940236304</c:v>
                </c:pt>
                <c:pt idx="110">
                  <c:v>-24.059891903509794</c:v>
                </c:pt>
                <c:pt idx="111">
                  <c:v>-24.856369763855767</c:v>
                </c:pt>
                <c:pt idx="112">
                  <c:v>-25.288576046618928</c:v>
                </c:pt>
                <c:pt idx="113">
                  <c:v>-25.308688640537355</c:v>
                </c:pt>
                <c:pt idx="114">
                  <c:v>-24.623308647827642</c:v>
                </c:pt>
                <c:pt idx="115">
                  <c:v>-24.082481646464217</c:v>
                </c:pt>
                <c:pt idx="116">
                  <c:v>-25.846442175574147</c:v>
                </c:pt>
                <c:pt idx="117">
                  <c:v>-26.09507134487874</c:v>
                </c:pt>
                <c:pt idx="118">
                  <c:v>-26.370238168143214</c:v>
                </c:pt>
                <c:pt idx="119">
                  <c:v>-26.760393341689124</c:v>
                </c:pt>
                <c:pt idx="120">
                  <c:v>0</c:v>
                </c:pt>
                <c:pt idx="121">
                  <c:v>-14.632011724539538</c:v>
                </c:pt>
                <c:pt idx="122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479E-47B7-B6A1-BB23C1FCA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19008"/>
        <c:axId val="156219584"/>
        <c:extLst/>
      </c:scatterChart>
      <c:valAx>
        <c:axId val="156219008"/>
        <c:scaling>
          <c:orientation val="minMax"/>
          <c:max val="30"/>
          <c:min val="-3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219584"/>
        <c:crossesAt val="0"/>
        <c:crossBetween val="midCat"/>
      </c:valAx>
      <c:valAx>
        <c:axId val="156219584"/>
        <c:scaling>
          <c:orientation val="minMax"/>
          <c:max val="3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219008"/>
        <c:crossesAt val="0"/>
        <c:crossBetween val="midCat"/>
      </c:valAx>
      <c:spPr>
        <a:noFill/>
        <a:ln w="1905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701797883620701E-2"/>
          <c:y val="3.4857468903343604E-2"/>
          <c:w val="0.83147629169954274"/>
          <c:h val="0.8601490682920655"/>
        </c:manualLayout>
      </c:layout>
      <c:scatterChart>
        <c:scatterStyle val="lineMarker"/>
        <c:varyColors val="0"/>
        <c:ser>
          <c:idx val="0"/>
          <c:order val="0"/>
          <c:tx>
            <c:strRef>
              <c:f>'"0" цикл 24.06'!$B$1:$I$1</c:f>
              <c:strCache>
                <c:ptCount val="1"/>
                <c:pt idx="0">
                  <c:v>Нулевой цикл (24.06)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'"0" цикл 24.06'!$M$3:$M$125</c:f>
              <c:numCache>
                <c:formatCode>General</c:formatCode>
                <c:ptCount val="123"/>
                <c:pt idx="0">
                  <c:v>-712.54381060609796</c:v>
                </c:pt>
                <c:pt idx="1">
                  <c:v>-717.02391388332524</c:v>
                </c:pt>
                <c:pt idx="2">
                  <c:v>-723.65015330232075</c:v>
                </c:pt>
                <c:pt idx="3">
                  <c:v>-728.23921397302684</c:v>
                </c:pt>
                <c:pt idx="4">
                  <c:v>-730.48425738308151</c:v>
                </c:pt>
                <c:pt idx="5">
                  <c:v>-731.23341544351172</c:v>
                </c:pt>
                <c:pt idx="6">
                  <c:v>-730.28536285817825</c:v>
                </c:pt>
                <c:pt idx="7">
                  <c:v>-727.37080071652099</c:v>
                </c:pt>
                <c:pt idx="8">
                  <c:v>-722.71447502260787</c:v>
                </c:pt>
                <c:pt idx="9">
                  <c:v>-718.50500876126296</c:v>
                </c:pt>
                <c:pt idx="10">
                  <c:v>-715.93405313949756</c:v>
                </c:pt>
                <c:pt idx="11">
                  <c:v>-715.83369670818195</c:v>
                </c:pt>
                <c:pt idx="12">
                  <c:v>-717.62459461686205</c:v>
                </c:pt>
                <c:pt idx="13">
                  <c:v>-720.28075507894062</c:v>
                </c:pt>
                <c:pt idx="14">
                  <c:v>-723.46959544846288</c:v>
                </c:pt>
                <c:pt idx="15">
                  <c:v>-725.2781889418668</c:v>
                </c:pt>
                <c:pt idx="16">
                  <c:v>-727.05320930343976</c:v>
                </c:pt>
                <c:pt idx="17">
                  <c:v>-728.78229385076406</c:v>
                </c:pt>
                <c:pt idx="18">
                  <c:v>-730.7236041558549</c:v>
                </c:pt>
                <c:pt idx="19">
                  <c:v>-732.6147366134727</c:v>
                </c:pt>
                <c:pt idx="20">
                  <c:v>-734.19377214810561</c:v>
                </c:pt>
                <c:pt idx="21">
                  <c:v>-733.77901409148183</c:v>
                </c:pt>
                <c:pt idx="22">
                  <c:v>-734.11886845577089</c:v>
                </c:pt>
                <c:pt idx="23">
                  <c:v>-735.52397785760479</c:v>
                </c:pt>
                <c:pt idx="24">
                  <c:v>-737.89046580312493</c:v>
                </c:pt>
                <c:pt idx="25">
                  <c:v>-741.37115751315275</c:v>
                </c:pt>
                <c:pt idx="26">
                  <c:v>-745.71236707554965</c:v>
                </c:pt>
                <c:pt idx="27">
                  <c:v>-748.38973783448887</c:v>
                </c:pt>
                <c:pt idx="28">
                  <c:v>-750.37201458028881</c:v>
                </c:pt>
                <c:pt idx="29">
                  <c:v>-751.26128360604082</c:v>
                </c:pt>
                <c:pt idx="30">
                  <c:v>-751.43678615499846</c:v>
                </c:pt>
                <c:pt idx="31">
                  <c:v>-750.72701916422716</c:v>
                </c:pt>
                <c:pt idx="32">
                  <c:v>-750.26656743567526</c:v>
                </c:pt>
                <c:pt idx="33">
                  <c:v>-750.50812584289167</c:v>
                </c:pt>
                <c:pt idx="34">
                  <c:v>-751.24055784968243</c:v>
                </c:pt>
                <c:pt idx="35">
                  <c:v>-751.18322863201649</c:v>
                </c:pt>
                <c:pt idx="36">
                  <c:v>-749.88489905303766</c:v>
                </c:pt>
                <c:pt idx="37">
                  <c:v>-746.66139521799391</c:v>
                </c:pt>
                <c:pt idx="38">
                  <c:v>-742.09548343040331</c:v>
                </c:pt>
                <c:pt idx="39">
                  <c:v>-740.24349940326942</c:v>
                </c:pt>
                <c:pt idx="40">
                  <c:v>-738.49902211443327</c:v>
                </c:pt>
                <c:pt idx="41">
                  <c:v>-736.28076439345341</c:v>
                </c:pt>
                <c:pt idx="42">
                  <c:v>-733.2659687854092</c:v>
                </c:pt>
                <c:pt idx="43">
                  <c:v>-729.42579737213407</c:v>
                </c:pt>
                <c:pt idx="44">
                  <c:v>-726.55644335001659</c:v>
                </c:pt>
                <c:pt idx="45">
                  <c:v>-726.16071422412551</c:v>
                </c:pt>
                <c:pt idx="46">
                  <c:v>-724.76687669622447</c:v>
                </c:pt>
                <c:pt idx="47">
                  <c:v>-720.11115699313757</c:v>
                </c:pt>
                <c:pt idx="48">
                  <c:v>-711.09411136267192</c:v>
                </c:pt>
                <c:pt idx="49">
                  <c:v>-698.34101623281481</c:v>
                </c:pt>
                <c:pt idx="50">
                  <c:v>-683.31260140869267</c:v>
                </c:pt>
                <c:pt idx="51">
                  <c:v>-672.15881231056369</c:v>
                </c:pt>
                <c:pt idx="52">
                  <c:v>-664.34514587408353</c:v>
                </c:pt>
                <c:pt idx="53">
                  <c:v>-659.8489231914059</c:v>
                </c:pt>
                <c:pt idx="54">
                  <c:v>-658.52865586857274</c:v>
                </c:pt>
                <c:pt idx="55">
                  <c:v>-659.95352134879931</c:v>
                </c:pt>
                <c:pt idx="56">
                  <c:v>-663.11666711160058</c:v>
                </c:pt>
                <c:pt idx="57">
                  <c:v>-664.6826127415801</c:v>
                </c:pt>
                <c:pt idx="58">
                  <c:v>-664.64152478215215</c:v>
                </c:pt>
                <c:pt idx="59">
                  <c:v>-664.06241496954351</c:v>
                </c:pt>
                <c:pt idx="60">
                  <c:v>-661.81119024753798</c:v>
                </c:pt>
                <c:pt idx="61">
                  <c:v>-657.57021222211426</c:v>
                </c:pt>
                <c:pt idx="62">
                  <c:v>-652.23336335816441</c:v>
                </c:pt>
                <c:pt idx="63">
                  <c:v>-646.51159597950209</c:v>
                </c:pt>
                <c:pt idx="64">
                  <c:v>-640.30226196694196</c:v>
                </c:pt>
                <c:pt idx="65">
                  <c:v>-632.60202827857427</c:v>
                </c:pt>
                <c:pt idx="66">
                  <c:v>-623.26518070617283</c:v>
                </c:pt>
                <c:pt idx="67">
                  <c:v>-613.16404766447886</c:v>
                </c:pt>
                <c:pt idx="68">
                  <c:v>-603.5144304592078</c:v>
                </c:pt>
                <c:pt idx="69">
                  <c:v>-594.19515432406945</c:v>
                </c:pt>
                <c:pt idx="70">
                  <c:v>-585.67266374270844</c:v>
                </c:pt>
                <c:pt idx="71">
                  <c:v>-577.63273896133808</c:v>
                </c:pt>
                <c:pt idx="72">
                  <c:v>-570.2165736251203</c:v>
                </c:pt>
                <c:pt idx="73">
                  <c:v>-563.67795668480892</c:v>
                </c:pt>
                <c:pt idx="74">
                  <c:v>-557.87062537868508</c:v>
                </c:pt>
                <c:pt idx="75">
                  <c:v>-544.58865667696523</c:v>
                </c:pt>
                <c:pt idx="76">
                  <c:v>-531.89420500516565</c:v>
                </c:pt>
                <c:pt idx="77">
                  <c:v>-518.46175538090688</c:v>
                </c:pt>
                <c:pt idx="78">
                  <c:v>-505.3857609053988</c:v>
                </c:pt>
                <c:pt idx="79">
                  <c:v>-492.63581603949518</c:v>
                </c:pt>
                <c:pt idx="80">
                  <c:v>-480.30280091204156</c:v>
                </c:pt>
                <c:pt idx="81">
                  <c:v>-470.89033570015317</c:v>
                </c:pt>
                <c:pt idx="82">
                  <c:v>-462.28459058430599</c:v>
                </c:pt>
                <c:pt idx="83">
                  <c:v>-454.61683557656033</c:v>
                </c:pt>
                <c:pt idx="84">
                  <c:v>-448.07397687952113</c:v>
                </c:pt>
                <c:pt idx="85">
                  <c:v>-442.32445574386355</c:v>
                </c:pt>
                <c:pt idx="86">
                  <c:v>-436.85053382276539</c:v>
                </c:pt>
                <c:pt idx="87">
                  <c:v>-428.37130660825432</c:v>
                </c:pt>
                <c:pt idx="88">
                  <c:v>-417.4529583816273</c:v>
                </c:pt>
                <c:pt idx="89">
                  <c:v>-403.65545827253709</c:v>
                </c:pt>
                <c:pt idx="90">
                  <c:v>-387.58762120381533</c:v>
                </c:pt>
                <c:pt idx="91">
                  <c:v>-369.64173474946716</c:v>
                </c:pt>
                <c:pt idx="92">
                  <c:v>-350.8767021926476</c:v>
                </c:pt>
                <c:pt idx="93">
                  <c:v>-333.78901472392528</c:v>
                </c:pt>
                <c:pt idx="94">
                  <c:v>-316.67189205833824</c:v>
                </c:pt>
                <c:pt idx="95">
                  <c:v>-300.08836716280075</c:v>
                </c:pt>
                <c:pt idx="96">
                  <c:v>-283.80526435318052</c:v>
                </c:pt>
                <c:pt idx="97">
                  <c:v>-268.34520251418087</c:v>
                </c:pt>
                <c:pt idx="98">
                  <c:v>-254.36063655984503</c:v>
                </c:pt>
                <c:pt idx="99">
                  <c:v>-242.36313434524257</c:v>
                </c:pt>
                <c:pt idx="100">
                  <c:v>-231.49992059125668</c:v>
                </c:pt>
                <c:pt idx="101">
                  <c:v>-221.28415278082596</c:v>
                </c:pt>
                <c:pt idx="102">
                  <c:v>-211.05626716143848</c:v>
                </c:pt>
                <c:pt idx="103">
                  <c:v>-200.01928938885573</c:v>
                </c:pt>
                <c:pt idx="104">
                  <c:v>-188.56681021525026</c:v>
                </c:pt>
                <c:pt idx="105">
                  <c:v>-179.45378725380701</c:v>
                </c:pt>
                <c:pt idx="106">
                  <c:v>-169.62700426074542</c:v>
                </c:pt>
                <c:pt idx="107">
                  <c:v>-159.43486619504012</c:v>
                </c:pt>
                <c:pt idx="108">
                  <c:v>-149.62480604883146</c:v>
                </c:pt>
                <c:pt idx="109">
                  <c:v>-139.95531519237568</c:v>
                </c:pt>
                <c:pt idx="110">
                  <c:v>-130.69772095214913</c:v>
                </c:pt>
                <c:pt idx="111">
                  <c:v>-119.3189142489589</c:v>
                </c:pt>
                <c:pt idx="112">
                  <c:v>-107.01764478083179</c:v>
                </c:pt>
                <c:pt idx="113">
                  <c:v>-93.656679501808526</c:v>
                </c:pt>
                <c:pt idx="114">
                  <c:v>-80.028679195566852</c:v>
                </c:pt>
                <c:pt idx="115">
                  <c:v>-65.879584148542705</c:v>
                </c:pt>
                <c:pt idx="116">
                  <c:v>-51.541367349033528</c:v>
                </c:pt>
                <c:pt idx="117">
                  <c:v>-38.716664433110829</c:v>
                </c:pt>
                <c:pt idx="118">
                  <c:v>-26.071042054992294</c:v>
                </c:pt>
                <c:pt idx="119">
                  <c:v>-13.486607919908982</c:v>
                </c:pt>
                <c:pt idx="120">
                  <c:v>0</c:v>
                </c:pt>
              </c:numCache>
            </c:numRef>
          </c:xVal>
          <c:yVal>
            <c:numRef>
              <c:f>'"0" цикл 24.06'!$A$3:$A$125</c:f>
              <c:numCache>
                <c:formatCode>General</c:formatCode>
                <c:ptCount val="12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31E-45D5-9731-AFED6D8ED829}"/>
            </c:ext>
          </c:extLst>
        </c:ser>
        <c:ser>
          <c:idx val="1"/>
          <c:order val="1"/>
          <c:tx>
            <c:strRef>
              <c:f>'21.10.24'!$B$1:$I$1</c:f>
              <c:strCache>
                <c:ptCount val="1"/>
                <c:pt idx="0">
                  <c:v>Цикл 1 (21.10.24)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'21.10.24'!$M$3:$M$125</c:f>
              <c:numCache>
                <c:formatCode>General</c:formatCode>
                <c:ptCount val="123"/>
                <c:pt idx="0">
                  <c:v>-715.0091968180576</c:v>
                </c:pt>
                <c:pt idx="1">
                  <c:v>-717.61820980319169</c:v>
                </c:pt>
                <c:pt idx="2">
                  <c:v>-723.11467420384997</c:v>
                </c:pt>
                <c:pt idx="3">
                  <c:v>-728.55878186070333</c:v>
                </c:pt>
                <c:pt idx="4">
                  <c:v>-732.02371750615953</c:v>
                </c:pt>
                <c:pt idx="5">
                  <c:v>-733.37416437300556</c:v>
                </c:pt>
                <c:pt idx="6">
                  <c:v>-732.72996837245375</c:v>
                </c:pt>
                <c:pt idx="7">
                  <c:v>-729.80352849823294</c:v>
                </c:pt>
                <c:pt idx="8">
                  <c:v>-725.37348024648736</c:v>
                </c:pt>
                <c:pt idx="9">
                  <c:v>-721.41235150098703</c:v>
                </c:pt>
                <c:pt idx="10">
                  <c:v>-718.61693037890177</c:v>
                </c:pt>
                <c:pt idx="11">
                  <c:v>-718.10169473048813</c:v>
                </c:pt>
                <c:pt idx="12">
                  <c:v>-719.43941528418725</c:v>
                </c:pt>
                <c:pt idx="13">
                  <c:v>-721.97231352768893</c:v>
                </c:pt>
                <c:pt idx="14">
                  <c:v>-725.3667104420997</c:v>
                </c:pt>
                <c:pt idx="15">
                  <c:v>-727.6716277219673</c:v>
                </c:pt>
                <c:pt idx="16">
                  <c:v>-729.85958488202562</c:v>
                </c:pt>
                <c:pt idx="17">
                  <c:v>-731.64696791402048</c:v>
                </c:pt>
                <c:pt idx="18">
                  <c:v>-733.56961303172841</c:v>
                </c:pt>
                <c:pt idx="19">
                  <c:v>-735.57831191271839</c:v>
                </c:pt>
                <c:pt idx="20">
                  <c:v>-737.27721698572088</c:v>
                </c:pt>
                <c:pt idx="21">
                  <c:v>-737.41647971381929</c:v>
                </c:pt>
                <c:pt idx="22">
                  <c:v>-738.30841521058755</c:v>
                </c:pt>
                <c:pt idx="23">
                  <c:v>-740.08719285446239</c:v>
                </c:pt>
                <c:pt idx="24">
                  <c:v>-742.87909913222529</c:v>
                </c:pt>
                <c:pt idx="25">
                  <c:v>-746.50910968040023</c:v>
                </c:pt>
                <c:pt idx="26">
                  <c:v>-750.67615623294921</c:v>
                </c:pt>
                <c:pt idx="27">
                  <c:v>-753.27304904029654</c:v>
                </c:pt>
                <c:pt idx="28">
                  <c:v>-755.51809245035088</c:v>
                </c:pt>
                <c:pt idx="29">
                  <c:v>-757.14063978984723</c:v>
                </c:pt>
                <c:pt idx="30">
                  <c:v>-758.00942546922874</c:v>
                </c:pt>
                <c:pt idx="31">
                  <c:v>-757.83731661583374</c:v>
                </c:pt>
                <c:pt idx="32">
                  <c:v>-757.24051111609992</c:v>
                </c:pt>
                <c:pt idx="33">
                  <c:v>-756.58843689984951</c:v>
                </c:pt>
                <c:pt idx="34">
                  <c:v>-756.82648040828201</c:v>
                </c:pt>
                <c:pt idx="35">
                  <c:v>-757.35250315525207</c:v>
                </c:pt>
                <c:pt idx="36">
                  <c:v>-757.02901124909977</c:v>
                </c:pt>
                <c:pt idx="37">
                  <c:v>-754.12402401550287</c:v>
                </c:pt>
                <c:pt idx="38">
                  <c:v>-749.35522654374222</c:v>
                </c:pt>
                <c:pt idx="39">
                  <c:v>-747.02255397910949</c:v>
                </c:pt>
                <c:pt idx="40">
                  <c:v>-745.13093671127956</c:v>
                </c:pt>
                <c:pt idx="41">
                  <c:v>-743.32488847307377</c:v>
                </c:pt>
                <c:pt idx="42">
                  <c:v>-741.22068210486214</c:v>
                </c:pt>
                <c:pt idx="43">
                  <c:v>-738.49640630660042</c:v>
                </c:pt>
                <c:pt idx="44">
                  <c:v>-735.8412154582071</c:v>
                </c:pt>
                <c:pt idx="45">
                  <c:v>-734.91570666947632</c:v>
                </c:pt>
                <c:pt idx="46">
                  <c:v>-733.22674021990008</c:v>
                </c:pt>
                <c:pt idx="47">
                  <c:v>-728.75487844500458</c:v>
                </c:pt>
                <c:pt idx="48">
                  <c:v>-720.45137143706995</c:v>
                </c:pt>
                <c:pt idx="49">
                  <c:v>-708.70311435584426</c:v>
                </c:pt>
                <c:pt idx="50">
                  <c:v>-694.95734847241022</c:v>
                </c:pt>
                <c:pt idx="51">
                  <c:v>-684.47886792153759</c:v>
                </c:pt>
                <c:pt idx="52">
                  <c:v>-676.77305953752182</c:v>
                </c:pt>
                <c:pt idx="53">
                  <c:v>-672.207511345032</c:v>
                </c:pt>
                <c:pt idx="54">
                  <c:v>-670.69756143029826</c:v>
                </c:pt>
                <c:pt idx="55">
                  <c:v>-671.81093512887128</c:v>
                </c:pt>
                <c:pt idx="56">
                  <c:v>-674.28492924849922</c:v>
                </c:pt>
                <c:pt idx="57">
                  <c:v>-676.20684715105983</c:v>
                </c:pt>
                <c:pt idx="58">
                  <c:v>-676.5006442249055</c:v>
                </c:pt>
                <c:pt idx="59">
                  <c:v>-676.14406379267575</c:v>
                </c:pt>
                <c:pt idx="60">
                  <c:v>-674.01452613665845</c:v>
                </c:pt>
                <c:pt idx="61">
                  <c:v>-669.83123889203887</c:v>
                </c:pt>
                <c:pt idx="62">
                  <c:v>-665.19672887215324</c:v>
                </c:pt>
                <c:pt idx="63">
                  <c:v>-660.26928358224677</c:v>
                </c:pt>
                <c:pt idx="64">
                  <c:v>-655.12622834320962</c:v>
                </c:pt>
                <c:pt idx="65">
                  <c:v>-648.23639556863657</c:v>
                </c:pt>
                <c:pt idx="66">
                  <c:v>-639.1937801873197</c:v>
                </c:pt>
                <c:pt idx="67">
                  <c:v>-628.40702786561133</c:v>
                </c:pt>
                <c:pt idx="68">
                  <c:v>-617.6843773195543</c:v>
                </c:pt>
                <c:pt idx="69">
                  <c:v>-608.20926111749407</c:v>
                </c:pt>
                <c:pt idx="70">
                  <c:v>-599.59163982835207</c:v>
                </c:pt>
                <c:pt idx="71">
                  <c:v>-591.99344747661326</c:v>
                </c:pt>
                <c:pt idx="72">
                  <c:v>-584.89613474670762</c:v>
                </c:pt>
                <c:pt idx="73">
                  <c:v>-578.87695468033803</c:v>
                </c:pt>
                <c:pt idx="74">
                  <c:v>-572.95630597045215</c:v>
                </c:pt>
                <c:pt idx="75">
                  <c:v>-559.89521442258092</c:v>
                </c:pt>
                <c:pt idx="76">
                  <c:v>-547.35888286050852</c:v>
                </c:pt>
                <c:pt idx="77">
                  <c:v>-533.89796073449486</c:v>
                </c:pt>
                <c:pt idx="78">
                  <c:v>-521.18048784960399</c:v>
                </c:pt>
                <c:pt idx="79">
                  <c:v>-508.6201655690711</c:v>
                </c:pt>
                <c:pt idx="80">
                  <c:v>-496.4821083437256</c:v>
                </c:pt>
                <c:pt idx="81">
                  <c:v>-487.22003034606217</c:v>
                </c:pt>
                <c:pt idx="82">
                  <c:v>-478.7353497624772</c:v>
                </c:pt>
                <c:pt idx="83">
                  <c:v>-471.59222678535957</c:v>
                </c:pt>
                <c:pt idx="84">
                  <c:v>-465.32508324127235</c:v>
                </c:pt>
                <c:pt idx="85">
                  <c:v>-460.22905246409567</c:v>
                </c:pt>
                <c:pt idx="86">
                  <c:v>-455.33954201665529</c:v>
                </c:pt>
                <c:pt idx="87">
                  <c:v>-447.2387810444668</c:v>
                </c:pt>
                <c:pt idx="88">
                  <c:v>-436.0620902120221</c:v>
                </c:pt>
                <c:pt idx="89">
                  <c:v>-421.8886430506289</c:v>
                </c:pt>
                <c:pt idx="90">
                  <c:v>-405.55756921998466</c:v>
                </c:pt>
                <c:pt idx="91">
                  <c:v>-387.87876666211292</c:v>
                </c:pt>
                <c:pt idx="92">
                  <c:v>-368.94962018667354</c:v>
                </c:pt>
                <c:pt idx="93">
                  <c:v>-351.98512510994601</c:v>
                </c:pt>
                <c:pt idx="94">
                  <c:v>-335.03698308328524</c:v>
                </c:pt>
                <c:pt idx="95">
                  <c:v>-318.49440246041348</c:v>
                </c:pt>
                <c:pt idx="96">
                  <c:v>-302.53765192026441</c:v>
                </c:pt>
                <c:pt idx="97">
                  <c:v>-287.15463878228405</c:v>
                </c:pt>
                <c:pt idx="98">
                  <c:v>-273.70643840698057</c:v>
                </c:pt>
                <c:pt idx="99">
                  <c:v>-262.17544016380191</c:v>
                </c:pt>
                <c:pt idx="100">
                  <c:v>-251.93483085147795</c:v>
                </c:pt>
                <c:pt idx="101">
                  <c:v>-242.46262300931204</c:v>
                </c:pt>
                <c:pt idx="102">
                  <c:v>-232.77350087827469</c:v>
                </c:pt>
                <c:pt idx="103">
                  <c:v>-222.11216523914655</c:v>
                </c:pt>
                <c:pt idx="104">
                  <c:v>-210.91051275475192</c:v>
                </c:pt>
                <c:pt idx="105">
                  <c:v>-201.18006805139191</c:v>
                </c:pt>
                <c:pt idx="106">
                  <c:v>-191.19647861160672</c:v>
                </c:pt>
                <c:pt idx="107">
                  <c:v>-181.36254599896981</c:v>
                </c:pt>
                <c:pt idx="108">
                  <c:v>-172.10398229761287</c:v>
                </c:pt>
                <c:pt idx="109">
                  <c:v>-163.39026113261198</c:v>
                </c:pt>
                <c:pt idx="110">
                  <c:v>-154.75761285565892</c:v>
                </c:pt>
                <c:pt idx="111">
                  <c:v>-144.17528401281467</c:v>
                </c:pt>
                <c:pt idx="112">
                  <c:v>-132.30622082745072</c:v>
                </c:pt>
                <c:pt idx="113">
                  <c:v>-118.96536814234588</c:v>
                </c:pt>
                <c:pt idx="114">
                  <c:v>-104.65198784339449</c:v>
                </c:pt>
                <c:pt idx="115">
                  <c:v>-89.962065795006922</c:v>
                </c:pt>
                <c:pt idx="116">
                  <c:v>-77.387809524607675</c:v>
                </c:pt>
                <c:pt idx="117">
                  <c:v>-64.811735777989568</c:v>
                </c:pt>
                <c:pt idx="118">
                  <c:v>-52.441280223135507</c:v>
                </c:pt>
                <c:pt idx="119">
                  <c:v>-40.247001261598108</c:v>
                </c:pt>
                <c:pt idx="120">
                  <c:v>-27.776826072613215</c:v>
                </c:pt>
                <c:pt idx="121">
                  <c:v>-14.632011724539538</c:v>
                </c:pt>
                <c:pt idx="122">
                  <c:v>0</c:v>
                </c:pt>
              </c:numCache>
            </c:numRef>
          </c:xVal>
          <c:yVal>
            <c:numRef>
              <c:f>'21.10.24'!$A$3:$A$125</c:f>
              <c:numCache>
                <c:formatCode>General</c:formatCode>
                <c:ptCount val="12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31E-45D5-9731-AFED6D8ED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38080"/>
        <c:axId val="141038656"/>
        <c:extLst/>
      </c:scatterChart>
      <c:valAx>
        <c:axId val="1410380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038656"/>
        <c:crossesAt val="0"/>
        <c:crossBetween val="midCat"/>
      </c:valAx>
      <c:valAx>
        <c:axId val="141038656"/>
        <c:scaling>
          <c:orientation val="maxMin"/>
          <c:max val="6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038080"/>
        <c:crossesAt val="30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431349262275604E-2"/>
          <c:y val="4.554224960634657E-2"/>
          <c:w val="0.83535455821672155"/>
          <c:h val="0.8456964264474548"/>
        </c:manualLayout>
      </c:layout>
      <c:scatterChart>
        <c:scatterStyle val="lineMarker"/>
        <c:varyColors val="0"/>
        <c:ser>
          <c:idx val="2"/>
          <c:order val="0"/>
          <c:tx>
            <c:strRef>
              <c:f>'"0" цикл 24.06'!$B$1:$I$1</c:f>
              <c:strCache>
                <c:ptCount val="1"/>
                <c:pt idx="0">
                  <c:v>Нулевой цикл (24.06)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'"0" цикл 24.06'!$N$3:$N$125</c:f>
              <c:numCache>
                <c:formatCode>General</c:formatCode>
                <c:ptCount val="123"/>
                <c:pt idx="0">
                  <c:v>586.70140040642161</c:v>
                </c:pt>
                <c:pt idx="1">
                  <c:v>592.22101325564472</c:v>
                </c:pt>
                <c:pt idx="2">
                  <c:v>599.68686649094184</c:v>
                </c:pt>
                <c:pt idx="3">
                  <c:v>605.49092552533079</c:v>
                </c:pt>
                <c:pt idx="4">
                  <c:v>608.75406204496585</c:v>
                </c:pt>
                <c:pt idx="5">
                  <c:v>610.65695114973312</c:v>
                </c:pt>
                <c:pt idx="6">
                  <c:v>610.85172504119282</c:v>
                </c:pt>
                <c:pt idx="7">
                  <c:v>608.97974258838451</c:v>
                </c:pt>
                <c:pt idx="8">
                  <c:v>605.07751688396445</c:v>
                </c:pt>
                <c:pt idx="9">
                  <c:v>602.0953244096861</c:v>
                </c:pt>
                <c:pt idx="10">
                  <c:v>600.54065064290739</c:v>
                </c:pt>
                <c:pt idx="11">
                  <c:v>601.43937352032913</c:v>
                </c:pt>
                <c:pt idx="12">
                  <c:v>604.27054908540811</c:v>
                </c:pt>
                <c:pt idx="13">
                  <c:v>607.99170214275318</c:v>
                </c:pt>
                <c:pt idx="14">
                  <c:v>612.0291866003007</c:v>
                </c:pt>
                <c:pt idx="15">
                  <c:v>615.04616383022255</c:v>
                </c:pt>
                <c:pt idx="16">
                  <c:v>617.76619757164462</c:v>
                </c:pt>
                <c:pt idx="17">
                  <c:v>620.70706040461448</c:v>
                </c:pt>
                <c:pt idx="18">
                  <c:v>623.61422926292676</c:v>
                </c:pt>
                <c:pt idx="19">
                  <c:v>626.63775135813694</c:v>
                </c:pt>
                <c:pt idx="20">
                  <c:v>629.05320492557269</c:v>
                </c:pt>
                <c:pt idx="21">
                  <c:v>629.8445417261994</c:v>
                </c:pt>
                <c:pt idx="22">
                  <c:v>631.34321977386344</c:v>
                </c:pt>
                <c:pt idx="23">
                  <c:v>633.74570472584924</c:v>
                </c:pt>
                <c:pt idx="24">
                  <c:v>637.12483035964556</c:v>
                </c:pt>
                <c:pt idx="25">
                  <c:v>641.61632629985513</c:v>
                </c:pt>
                <c:pt idx="26">
                  <c:v>647.18514471241951</c:v>
                </c:pt>
                <c:pt idx="27">
                  <c:v>650.91623617424636</c:v>
                </c:pt>
                <c:pt idx="28">
                  <c:v>653.83201032950592</c:v>
                </c:pt>
                <c:pt idx="29">
                  <c:v>655.81828675667828</c:v>
                </c:pt>
                <c:pt idx="30">
                  <c:v>656.93323609580352</c:v>
                </c:pt>
                <c:pt idx="31">
                  <c:v>657.19382343760276</c:v>
                </c:pt>
                <c:pt idx="32">
                  <c:v>657.59852161372135</c:v>
                </c:pt>
                <c:pt idx="33">
                  <c:v>659.17355745537998</c:v>
                </c:pt>
                <c:pt idx="34">
                  <c:v>660.94057844139559</c:v>
                </c:pt>
                <c:pt idx="35">
                  <c:v>661.84875517016667</c:v>
                </c:pt>
                <c:pt idx="36">
                  <c:v>661.54962514676572</c:v>
                </c:pt>
                <c:pt idx="37">
                  <c:v>659.21525575272892</c:v>
                </c:pt>
                <c:pt idx="38">
                  <c:v>655.68050864753843</c:v>
                </c:pt>
                <c:pt idx="39">
                  <c:v>655.01134476394634</c:v>
                </c:pt>
                <c:pt idx="40">
                  <c:v>654.43623466154247</c:v>
                </c:pt>
                <c:pt idx="41">
                  <c:v>653.25850211576198</c:v>
                </c:pt>
                <c:pt idx="42">
                  <c:v>651.07842310286412</c:v>
                </c:pt>
                <c:pt idx="43">
                  <c:v>648.43268598842565</c:v>
                </c:pt>
                <c:pt idx="44">
                  <c:v>646.53549340328027</c:v>
                </c:pt>
                <c:pt idx="45">
                  <c:v>647.2934993033416</c:v>
                </c:pt>
                <c:pt idx="46">
                  <c:v>646.85765185922082</c:v>
                </c:pt>
                <c:pt idx="47">
                  <c:v>643.30290669226497</c:v>
                </c:pt>
                <c:pt idx="48">
                  <c:v>635.2225052287929</c:v>
                </c:pt>
                <c:pt idx="49">
                  <c:v>623.2917669772919</c:v>
                </c:pt>
                <c:pt idx="50">
                  <c:v>609.23571912388809</c:v>
                </c:pt>
                <c:pt idx="51">
                  <c:v>599.31429471981278</c:v>
                </c:pt>
                <c:pt idx="52">
                  <c:v>592.503963926766</c:v>
                </c:pt>
                <c:pt idx="53">
                  <c:v>588.99163889754993</c:v>
                </c:pt>
                <c:pt idx="54">
                  <c:v>588.62887709248548</c:v>
                </c:pt>
                <c:pt idx="55">
                  <c:v>591.14492827530501</c:v>
                </c:pt>
                <c:pt idx="56">
                  <c:v>595.06121314674499</c:v>
                </c:pt>
                <c:pt idx="57">
                  <c:v>597.78561014662785</c:v>
                </c:pt>
                <c:pt idx="58">
                  <c:v>598.87437961054593</c:v>
                </c:pt>
                <c:pt idx="59">
                  <c:v>599.11084747469192</c:v>
                </c:pt>
                <c:pt idx="60">
                  <c:v>598.29199753333273</c:v>
                </c:pt>
                <c:pt idx="61">
                  <c:v>594.84051514573491</c:v>
                </c:pt>
                <c:pt idx="62">
                  <c:v>590.54936073078989</c:v>
                </c:pt>
                <c:pt idx="63">
                  <c:v>585.90527605288082</c:v>
                </c:pt>
                <c:pt idx="64">
                  <c:v>580.74864675082199</c:v>
                </c:pt>
                <c:pt idx="65">
                  <c:v>573.99212532360673</c:v>
                </c:pt>
                <c:pt idx="66">
                  <c:v>565.63541739902905</c:v>
                </c:pt>
                <c:pt idx="67">
                  <c:v>556.59558924059149</c:v>
                </c:pt>
                <c:pt idx="68">
                  <c:v>547.72141956967278</c:v>
                </c:pt>
                <c:pt idx="69">
                  <c:v>539.78474692203213</c:v>
                </c:pt>
                <c:pt idx="70">
                  <c:v>532.43959905154827</c:v>
                </c:pt>
                <c:pt idx="71">
                  <c:v>525.35707165226438</c:v>
                </c:pt>
                <c:pt idx="72">
                  <c:v>518.94170824744367</c:v>
                </c:pt>
                <c:pt idx="73">
                  <c:v>513.44403188583453</c:v>
                </c:pt>
                <c:pt idx="74">
                  <c:v>508.42811247330638</c:v>
                </c:pt>
                <c:pt idx="75">
                  <c:v>496.51869996091625</c:v>
                </c:pt>
                <c:pt idx="76">
                  <c:v>484.55270158615309</c:v>
                </c:pt>
                <c:pt idx="77">
                  <c:v>472.34230737089075</c:v>
                </c:pt>
                <c:pt idx="78">
                  <c:v>460.61525504293081</c:v>
                </c:pt>
                <c:pt idx="79">
                  <c:v>448.62926384121283</c:v>
                </c:pt>
                <c:pt idx="80">
                  <c:v>437.49110609899873</c:v>
                </c:pt>
                <c:pt idx="81">
                  <c:v>429.22892378599528</c:v>
                </c:pt>
                <c:pt idx="82">
                  <c:v>421.5100269898748</c:v>
                </c:pt>
                <c:pt idx="83">
                  <c:v>415.26166850453171</c:v>
                </c:pt>
                <c:pt idx="84">
                  <c:v>409.45300405073618</c:v>
                </c:pt>
                <c:pt idx="85">
                  <c:v>404.91908864125139</c:v>
                </c:pt>
                <c:pt idx="86">
                  <c:v>400.58127264680382</c:v>
                </c:pt>
                <c:pt idx="87">
                  <c:v>393.25006166843667</c:v>
                </c:pt>
                <c:pt idx="88">
                  <c:v>383.11681629627111</c:v>
                </c:pt>
                <c:pt idx="89">
                  <c:v>370.51469207546438</c:v>
                </c:pt>
                <c:pt idx="90">
                  <c:v>355.3644021479173</c:v>
                </c:pt>
                <c:pt idx="91">
                  <c:v>338.65816623918863</c:v>
                </c:pt>
                <c:pt idx="92">
                  <c:v>320.75612722218807</c:v>
                </c:pt>
                <c:pt idx="93">
                  <c:v>304.77345238326512</c:v>
                </c:pt>
                <c:pt idx="94">
                  <c:v>288.78496275425857</c:v>
                </c:pt>
                <c:pt idx="95">
                  <c:v>272.91579789585023</c:v>
                </c:pt>
                <c:pt idx="96">
                  <c:v>257.72480236870479</c:v>
                </c:pt>
                <c:pt idx="97">
                  <c:v>243.50216646206573</c:v>
                </c:pt>
                <c:pt idx="98">
                  <c:v>230.97989008180349</c:v>
                </c:pt>
                <c:pt idx="99">
                  <c:v>219.87663028974816</c:v>
                </c:pt>
                <c:pt idx="100">
                  <c:v>210.33559134963633</c:v>
                </c:pt>
                <c:pt idx="101">
                  <c:v>201.22680980358012</c:v>
                </c:pt>
                <c:pt idx="102">
                  <c:v>191.8517898382818</c:v>
                </c:pt>
                <c:pt idx="103">
                  <c:v>182.10789410664788</c:v>
                </c:pt>
                <c:pt idx="104">
                  <c:v>171.61790176241863</c:v>
                </c:pt>
                <c:pt idx="105">
                  <c:v>163.86204234960056</c:v>
                </c:pt>
                <c:pt idx="106">
                  <c:v>154.97502714273671</c:v>
                </c:pt>
                <c:pt idx="107">
                  <c:v>145.80625992586047</c:v>
                </c:pt>
                <c:pt idx="108">
                  <c:v>137.02358457146258</c:v>
                </c:pt>
                <c:pt idx="109">
                  <c:v>128.48764236802307</c:v>
                </c:pt>
                <c:pt idx="110">
                  <c:v>120.00405245817215</c:v>
                </c:pt>
                <c:pt idx="111">
                  <c:v>109.79470708892302</c:v>
                </c:pt>
                <c:pt idx="112">
                  <c:v>98.448495685982792</c:v>
                </c:pt>
                <c:pt idx="113">
                  <c:v>86.420701362630098</c:v>
                </c:pt>
                <c:pt idx="114">
                  <c:v>73.636345948710172</c:v>
                </c:pt>
                <c:pt idx="115">
                  <c:v>60.592822907679462</c:v>
                </c:pt>
                <c:pt idx="116">
                  <c:v>47.462305625343667</c:v>
                </c:pt>
                <c:pt idx="117">
                  <c:v>35.644497102008529</c:v>
                </c:pt>
                <c:pt idx="118">
                  <c:v>23.995720788542815</c:v>
                </c:pt>
                <c:pt idx="119">
                  <c:v>12.468842366032957</c:v>
                </c:pt>
                <c:pt idx="120">
                  <c:v>0</c:v>
                </c:pt>
              </c:numCache>
            </c:numRef>
          </c:xVal>
          <c:yVal>
            <c:numRef>
              <c:f>'"0" цикл 24.06'!$A$3:$A$125</c:f>
              <c:numCache>
                <c:formatCode>General</c:formatCode>
                <c:ptCount val="12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4B3-485E-8AEC-6D2962F3200D}"/>
            </c:ext>
          </c:extLst>
        </c:ser>
        <c:ser>
          <c:idx val="3"/>
          <c:order val="1"/>
          <c:tx>
            <c:strRef>
              <c:f>'21.10.24'!$B$1:$I$1</c:f>
              <c:strCache>
                <c:ptCount val="1"/>
                <c:pt idx="0">
                  <c:v>Цикл 1 (21.10.24)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'21.10.24'!$N$3:$N$125</c:f>
              <c:numCache>
                <c:formatCode>General</c:formatCode>
                <c:ptCount val="123"/>
                <c:pt idx="0">
                  <c:v>624.14734673295811</c:v>
                </c:pt>
                <c:pt idx="1">
                  <c:v>627.75251123032217</c:v>
                </c:pt>
                <c:pt idx="2">
                  <c:v>634.00911090381487</c:v>
                </c:pt>
                <c:pt idx="3">
                  <c:v>640.0399256537471</c:v>
                </c:pt>
                <c:pt idx="4">
                  <c:v>644.08868166085404</c:v>
                </c:pt>
                <c:pt idx="5">
                  <c:v>646.02829513083941</c:v>
                </c:pt>
                <c:pt idx="6">
                  <c:v>645.93412007384097</c:v>
                </c:pt>
                <c:pt idx="7">
                  <c:v>643.59732663784496</c:v>
                </c:pt>
                <c:pt idx="8">
                  <c:v>639.47997178229843</c:v>
                </c:pt>
                <c:pt idx="9">
                  <c:v>636.26895164110374</c:v>
                </c:pt>
                <c:pt idx="10">
                  <c:v>634.27697869825658</c:v>
                </c:pt>
                <c:pt idx="11">
                  <c:v>634.5029018659659</c:v>
                </c:pt>
                <c:pt idx="12">
                  <c:v>636.66807299891161</c:v>
                </c:pt>
                <c:pt idx="13">
                  <c:v>640.09192165983848</c:v>
                </c:pt>
                <c:pt idx="14">
                  <c:v>644.03208286816857</c:v>
                </c:pt>
                <c:pt idx="15">
                  <c:v>646.96567362140217</c:v>
                </c:pt>
                <c:pt idx="16">
                  <c:v>649.73491521005076</c:v>
                </c:pt>
                <c:pt idx="17">
                  <c:v>652.4104679437329</c:v>
                </c:pt>
                <c:pt idx="18">
                  <c:v>655.06311355615469</c:v>
                </c:pt>
                <c:pt idx="19">
                  <c:v>657.80544839419429</c:v>
                </c:pt>
                <c:pt idx="20">
                  <c:v>660.40791648351342</c:v>
                </c:pt>
                <c:pt idx="21">
                  <c:v>661.1161078314052</c:v>
                </c:pt>
                <c:pt idx="22">
                  <c:v>662.57188005556338</c:v>
                </c:pt>
                <c:pt idx="23">
                  <c:v>664.90637065169994</c:v>
                </c:pt>
                <c:pt idx="24">
                  <c:v>668.18986890958956</c:v>
                </c:pt>
                <c:pt idx="25">
                  <c:v>672.33958397246784</c:v>
                </c:pt>
                <c:pt idx="26">
                  <c:v>677.23127597710879</c:v>
                </c:pt>
                <c:pt idx="27">
                  <c:v>680.4456897440142</c:v>
                </c:pt>
                <c:pt idx="28">
                  <c:v>683.21638575138741</c:v>
                </c:pt>
                <c:pt idx="29">
                  <c:v>685.49076008959628</c:v>
                </c:pt>
                <c:pt idx="30">
                  <c:v>686.90992903210793</c:v>
                </c:pt>
                <c:pt idx="31">
                  <c:v>687.36880511686172</c:v>
                </c:pt>
                <c:pt idx="32">
                  <c:v>687.13597335492375</c:v>
                </c:pt>
                <c:pt idx="33">
                  <c:v>687.42880080157431</c:v>
                </c:pt>
                <c:pt idx="34">
                  <c:v>688.66749848972324</c:v>
                </c:pt>
                <c:pt idx="35">
                  <c:v>689.94776881912196</c:v>
                </c:pt>
                <c:pt idx="36">
                  <c:v>690.46979185541977</c:v>
                </c:pt>
                <c:pt idx="37">
                  <c:v>688.28365272927363</c:v>
                </c:pt>
                <c:pt idx="38">
                  <c:v>684.4459053129533</c:v>
                </c:pt>
                <c:pt idx="39">
                  <c:v>682.69488307940708</c:v>
                </c:pt>
                <c:pt idx="40">
                  <c:v>681.43497485891999</c:v>
                </c:pt>
                <c:pt idx="41">
                  <c:v>680.20948830346981</c:v>
                </c:pt>
                <c:pt idx="42">
                  <c:v>678.73565684718926</c:v>
                </c:pt>
                <c:pt idx="43">
                  <c:v>676.51982317078466</c:v>
                </c:pt>
                <c:pt idx="44">
                  <c:v>674.3848314104506</c:v>
                </c:pt>
                <c:pt idx="45">
                  <c:v>674.15563575073224</c:v>
                </c:pt>
                <c:pt idx="46">
                  <c:v>673.01571857050646</c:v>
                </c:pt>
                <c:pt idx="47">
                  <c:v>669.31722992887512</c:v>
                </c:pt>
                <c:pt idx="48">
                  <c:v>661.82120042010013</c:v>
                </c:pt>
                <c:pt idx="49">
                  <c:v>650.65214349649023</c:v>
                </c:pt>
                <c:pt idx="50">
                  <c:v>637.40313052030081</c:v>
                </c:pt>
                <c:pt idx="51">
                  <c:v>627.89335638754824</c:v>
                </c:pt>
                <c:pt idx="52">
                  <c:v>620.77374448221997</c:v>
                </c:pt>
                <c:pt idx="53">
                  <c:v>616.81407013213777</c:v>
                </c:pt>
                <c:pt idx="54">
                  <c:v>616.08018368586704</c:v>
                </c:pt>
                <c:pt idx="55">
                  <c:v>617.79023940874356</c:v>
                </c:pt>
                <c:pt idx="56">
                  <c:v>621.00028994256536</c:v>
                </c:pt>
                <c:pt idx="57">
                  <c:v>623.38592781225611</c:v>
                </c:pt>
                <c:pt idx="58">
                  <c:v>624.76897827734319</c:v>
                </c:pt>
                <c:pt idx="59">
                  <c:v>624.74376796593606</c:v>
                </c:pt>
                <c:pt idx="60">
                  <c:v>623.51149403945033</c:v>
                </c:pt>
                <c:pt idx="61">
                  <c:v>620.37586090725586</c:v>
                </c:pt>
                <c:pt idx="62">
                  <c:v>616.41764095262363</c:v>
                </c:pt>
                <c:pt idx="63">
                  <c:v>612.21326505474087</c:v>
                </c:pt>
                <c:pt idx="64">
                  <c:v>607.80515376523158</c:v>
                </c:pt>
                <c:pt idx="65">
                  <c:v>601.81566639563039</c:v>
                </c:pt>
                <c:pt idx="66">
                  <c:v>593.59735376188996</c:v>
                </c:pt>
                <c:pt idx="67">
                  <c:v>583.64454387220621</c:v>
                </c:pt>
                <c:pt idx="68">
                  <c:v>573.54728854871303</c:v>
                </c:pt>
                <c:pt idx="69">
                  <c:v>564.16984494126461</c:v>
                </c:pt>
                <c:pt idx="70">
                  <c:v>556.57650016687137</c:v>
                </c:pt>
                <c:pt idx="71">
                  <c:v>549.48791320510736</c:v>
                </c:pt>
                <c:pt idx="72">
                  <c:v>543.49721388828516</c:v>
                </c:pt>
                <c:pt idx="73">
                  <c:v>538.13491376293098</c:v>
                </c:pt>
                <c:pt idx="74">
                  <c:v>532.74788956837483</c:v>
                </c:pt>
                <c:pt idx="75">
                  <c:v>520.62425130445115</c:v>
                </c:pt>
                <c:pt idx="76">
                  <c:v>508.40149803102054</c:v>
                </c:pt>
                <c:pt idx="77">
                  <c:v>496.37564240130604</c:v>
                </c:pt>
                <c:pt idx="78">
                  <c:v>484.29162604127134</c:v>
                </c:pt>
                <c:pt idx="79">
                  <c:v>472.54966979881056</c:v>
                </c:pt>
                <c:pt idx="80">
                  <c:v>461.28561330688041</c:v>
                </c:pt>
                <c:pt idx="81">
                  <c:v>452.58655553222127</c:v>
                </c:pt>
                <c:pt idx="82">
                  <c:v>444.81142709995618</c:v>
                </c:pt>
                <c:pt idx="83">
                  <c:v>438.48489858977337</c:v>
                </c:pt>
                <c:pt idx="84">
                  <c:v>432.97801132599591</c:v>
                </c:pt>
                <c:pt idx="85">
                  <c:v>428.85859608220153</c:v>
                </c:pt>
                <c:pt idx="86">
                  <c:v>424.84644231877672</c:v>
                </c:pt>
                <c:pt idx="87">
                  <c:v>417.38337645148084</c:v>
                </c:pt>
                <c:pt idx="88">
                  <c:v>407.02486123461296</c:v>
                </c:pt>
                <c:pt idx="89">
                  <c:v>393.80977333016216</c:v>
                </c:pt>
                <c:pt idx="90">
                  <c:v>378.34765201833943</c:v>
                </c:pt>
                <c:pt idx="91">
                  <c:v>361.27377367475719</c:v>
                </c:pt>
                <c:pt idx="92">
                  <c:v>343.32703934314696</c:v>
                </c:pt>
                <c:pt idx="93">
                  <c:v>327.22516174113036</c:v>
                </c:pt>
                <c:pt idx="94">
                  <c:v>311.15865722149272</c:v>
                </c:pt>
                <c:pt idx="95">
                  <c:v>295.44370733982623</c:v>
                </c:pt>
                <c:pt idx="96">
                  <c:v>279.98582611939617</c:v>
                </c:pt>
                <c:pt idx="97">
                  <c:v>266.00210825710803</c:v>
                </c:pt>
                <c:pt idx="98">
                  <c:v>253.25555598372077</c:v>
                </c:pt>
                <c:pt idx="99">
                  <c:v>242.33490544134025</c:v>
                </c:pt>
                <c:pt idx="100">
                  <c:v>233.19304087267838</c:v>
                </c:pt>
                <c:pt idx="101">
                  <c:v>224.43169403710834</c:v>
                </c:pt>
                <c:pt idx="102">
                  <c:v>215.34375602761889</c:v>
                </c:pt>
                <c:pt idx="103">
                  <c:v>205.56508154389331</c:v>
                </c:pt>
                <c:pt idx="104">
                  <c:v>194.93961398798049</c:v>
                </c:pt>
                <c:pt idx="105">
                  <c:v>186.51601119553848</c:v>
                </c:pt>
                <c:pt idx="106">
                  <c:v>177.28107811914842</c:v>
                </c:pt>
                <c:pt idx="107">
                  <c:v>168.17011527366836</c:v>
                </c:pt>
                <c:pt idx="108">
                  <c:v>159.73996842614525</c:v>
                </c:pt>
                <c:pt idx="109">
                  <c:v>151.642843079529</c:v>
                </c:pt>
                <c:pt idx="110">
                  <c:v>143.97242191021263</c:v>
                </c:pt>
                <c:pt idx="111">
                  <c:v>134.19992761939869</c:v>
                </c:pt>
                <c:pt idx="112">
                  <c:v>123.16404041183341</c:v>
                </c:pt>
                <c:pt idx="113">
                  <c:v>110.62649719662065</c:v>
                </c:pt>
                <c:pt idx="114">
                  <c:v>97.299820268402399</c:v>
                </c:pt>
                <c:pt idx="115">
                  <c:v>83.376559357115454</c:v>
                </c:pt>
                <c:pt idx="116">
                  <c:v>69.682406688654083</c:v>
                </c:pt>
                <c:pt idx="117">
                  <c:v>57.775417557080679</c:v>
                </c:pt>
                <c:pt idx="118">
                  <c:v>46.413574944645866</c:v>
                </c:pt>
                <c:pt idx="119">
                  <c:v>35.263542217873336</c:v>
                </c:pt>
                <c:pt idx="120">
                  <c:v>23.655115726361537</c:v>
                </c:pt>
                <c:pt idx="121">
                  <c:v>11.376867950623975</c:v>
                </c:pt>
                <c:pt idx="122">
                  <c:v>0</c:v>
                </c:pt>
              </c:numCache>
            </c:numRef>
          </c:xVal>
          <c:yVal>
            <c:numRef>
              <c:f>'21.10.24'!$A$3:$A$125</c:f>
              <c:numCache>
                <c:formatCode>General</c:formatCode>
                <c:ptCount val="12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4B3-485E-8AEC-6D2962F32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81056"/>
        <c:axId val="156182784"/>
        <c:extLst/>
      </c:scatterChart>
      <c:valAx>
        <c:axId val="1561810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182784"/>
        <c:crosses val="autoZero"/>
        <c:crossBetween val="midCat"/>
      </c:valAx>
      <c:valAx>
        <c:axId val="156182784"/>
        <c:scaling>
          <c:orientation val="maxMin"/>
          <c:max val="6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181056"/>
        <c:crossesAt val="20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0038094805727161E-2"/>
          <c:y val="0.94169688575459021"/>
          <c:w val="0.9097982297198236"/>
          <c:h val="5.26723991079570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4803149606299213" l="3.937007874015748E-2" r="3.937007874015748E-2" t="0" header="0.31496062992125984" footer="0.31496062992125984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431349262275604E-2"/>
          <c:y val="4.554224960634657E-2"/>
          <c:w val="0.86132714143394762"/>
          <c:h val="0.8456964264474548"/>
        </c:manualLayout>
      </c:layout>
      <c:scatterChart>
        <c:scatterStyle val="lineMarker"/>
        <c:varyColors val="0"/>
        <c:ser>
          <c:idx val="0"/>
          <c:order val="0"/>
          <c:tx>
            <c:strRef>
              <c:f>'"0" цикл 24.06'!$B$1:$I$1</c:f>
              <c:strCache>
                <c:ptCount val="1"/>
                <c:pt idx="0">
                  <c:v>Нулевой цикл (24.06)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'"0" цикл 24.06'!$O$3:$O$125</c:f>
              <c:numCache>
                <c:formatCode>General</c:formatCode>
                <c:ptCount val="123"/>
                <c:pt idx="0">
                  <c:v>923.00445029908451</c:v>
                </c:pt>
                <c:pt idx="1">
                  <c:v>929.97259186607471</c:v>
                </c:pt>
                <c:pt idx="2">
                  <c:v>939.83715728640834</c:v>
                </c:pt>
                <c:pt idx="3">
                  <c:v>947.07529461050444</c:v>
                </c:pt>
                <c:pt idx="4">
                  <c:v>950.8884047777417</c:v>
                </c:pt>
                <c:pt idx="5">
                  <c:v>952.68264382672101</c:v>
                </c:pt>
                <c:pt idx="6">
                  <c:v>952.08011280075698</c:v>
                </c:pt>
                <c:pt idx="7">
                  <c:v>948.64356247117814</c:v>
                </c:pt>
                <c:pt idx="8">
                  <c:v>942.56830725718123</c:v>
                </c:pt>
                <c:pt idx="9">
                  <c:v>937.42638499832492</c:v>
                </c:pt>
                <c:pt idx="10">
                  <c:v>934.45740487159469</c:v>
                </c:pt>
                <c:pt idx="11">
                  <c:v>934.95839552539837</c:v>
                </c:pt>
                <c:pt idx="12">
                  <c:v>938.15134988497255</c:v>
                </c:pt>
                <c:pt idx="13">
                  <c:v>942.58064695363396</c:v>
                </c:pt>
                <c:pt idx="14">
                  <c:v>947.62227748665146</c:v>
                </c:pt>
                <c:pt idx="15">
                  <c:v>950.95227798090218</c:v>
                </c:pt>
                <c:pt idx="16">
                  <c:v>954.0657440766646</c:v>
                </c:pt>
                <c:pt idx="17">
                  <c:v>957.28829861568829</c:v>
                </c:pt>
                <c:pt idx="18">
                  <c:v>960.65170202822037</c:v>
                </c:pt>
                <c:pt idx="19">
                  <c:v>964.05353779259076</c:v>
                </c:pt>
                <c:pt idx="20">
                  <c:v>966.82388762804101</c:v>
                </c:pt>
                <c:pt idx="21">
                  <c:v>967.02419218101943</c:v>
                </c:pt>
                <c:pt idx="22">
                  <c:v>968.25862979743704</c:v>
                </c:pt>
                <c:pt idx="23">
                  <c:v>970.89090028794567</c:v>
                </c:pt>
                <c:pt idx="24">
                  <c:v>974.88993685644323</c:v>
                </c:pt>
                <c:pt idx="25">
                  <c:v>980.46045476955067</c:v>
                </c:pt>
                <c:pt idx="26">
                  <c:v>987.38824478816571</c:v>
                </c:pt>
                <c:pt idx="27">
                  <c:v>991.85641411003758</c:v>
                </c:pt>
                <c:pt idx="28">
                  <c:v>995.26602373275273</c:v>
                </c:pt>
                <c:pt idx="29">
                  <c:v>997.24176681979225</c:v>
                </c:pt>
                <c:pt idx="30">
                  <c:v>998.10746930090534</c:v>
                </c:pt>
                <c:pt idx="31">
                  <c:v>997.74484657538619</c:v>
                </c:pt>
                <c:pt idx="32">
                  <c:v>997.66514314185724</c:v>
                </c:pt>
                <c:pt idx="33">
                  <c:v>998.8854918380739</c:v>
                </c:pt>
                <c:pt idx="34">
                  <c:v>1000.6022306534943</c:v>
                </c:pt>
                <c:pt idx="35">
                  <c:v>1001.1593368182307</c:v>
                </c:pt>
                <c:pt idx="36">
                  <c:v>999.98763410334766</c:v>
                </c:pt>
                <c:pt idx="37">
                  <c:v>996.02610032368989</c:v>
                </c:pt>
                <c:pt idx="38">
                  <c:v>990.26392237024299</c:v>
                </c:pt>
                <c:pt idx="39">
                  <c:v>988.43325529763081</c:v>
                </c:pt>
                <c:pt idx="40">
                  <c:v>986.74596067171808</c:v>
                </c:pt>
                <c:pt idx="41">
                  <c:v>984.30484840944325</c:v>
                </c:pt>
                <c:pt idx="42">
                  <c:v>980.6029237203594</c:v>
                </c:pt>
                <c:pt idx="43">
                  <c:v>975.97486757095226</c:v>
                </c:pt>
                <c:pt idx="44">
                  <c:v>972.57000241815444</c:v>
                </c:pt>
                <c:pt idx="45">
                  <c:v>972.77862698707418</c:v>
                </c:pt>
                <c:pt idx="46">
                  <c:v>971.44832457770246</c:v>
                </c:pt>
                <c:pt idx="47">
                  <c:v>965.60794745316389</c:v>
                </c:pt>
                <c:pt idx="48">
                  <c:v>953.50011345768166</c:v>
                </c:pt>
                <c:pt idx="49">
                  <c:v>936.04102566861638</c:v>
                </c:pt>
                <c:pt idx="50">
                  <c:v>915.46942750717574</c:v>
                </c:pt>
                <c:pt idx="51">
                  <c:v>900.54155530006176</c:v>
                </c:pt>
                <c:pt idx="52">
                  <c:v>890.17718467470718</c:v>
                </c:pt>
                <c:pt idx="53">
                  <c:v>884.48389025921767</c:v>
                </c:pt>
                <c:pt idx="54">
                  <c:v>883.25757599198062</c:v>
                </c:pt>
                <c:pt idx="55">
                  <c:v>885.99716510059761</c:v>
                </c:pt>
                <c:pt idx="56">
                  <c:v>890.96664448949673</c:v>
                </c:pt>
                <c:pt idx="57">
                  <c:v>893.95224222513662</c:v>
                </c:pt>
                <c:pt idx="58">
                  <c:v>894.65014336256627</c:v>
                </c:pt>
                <c:pt idx="59">
                  <c:v>894.37838666697769</c:v>
                </c:pt>
                <c:pt idx="60">
                  <c:v>892.15882321999618</c:v>
                </c:pt>
                <c:pt idx="61">
                  <c:v>886.69827024793483</c:v>
                </c:pt>
                <c:pt idx="62">
                  <c:v>879.8618685549726</c:v>
                </c:pt>
                <c:pt idx="63">
                  <c:v>872.50343050475476</c:v>
                </c:pt>
                <c:pt idx="64">
                  <c:v>864.43968984706703</c:v>
                </c:pt>
                <c:pt idx="65">
                  <c:v>854.19686613548117</c:v>
                </c:pt>
                <c:pt idx="66">
                  <c:v>841.66674574731303</c:v>
                </c:pt>
                <c:pt idx="67">
                  <c:v>828.11158626743565</c:v>
                </c:pt>
                <c:pt idx="68">
                  <c:v>815.00209891013139</c:v>
                </c:pt>
                <c:pt idx="69">
                  <c:v>802.76737255065802</c:v>
                </c:pt>
                <c:pt idx="70">
                  <c:v>791.5203065579891</c:v>
                </c:pt>
                <c:pt idx="71">
                  <c:v>780.80704009058456</c:v>
                </c:pt>
                <c:pt idx="72">
                  <c:v>771.00417469398133</c:v>
                </c:pt>
                <c:pt idx="73">
                  <c:v>762.46810604217615</c:v>
                </c:pt>
                <c:pt idx="74">
                  <c:v>754.79717819661607</c:v>
                </c:pt>
                <c:pt idx="75">
                  <c:v>736.958360012355</c:v>
                </c:pt>
                <c:pt idx="76">
                  <c:v>719.51564676003863</c:v>
                </c:pt>
                <c:pt idx="77">
                  <c:v>701.36284983245889</c:v>
                </c:pt>
                <c:pt idx="78">
                  <c:v>683.79907904602589</c:v>
                </c:pt>
                <c:pt idx="79">
                  <c:v>666.30193127410928</c:v>
                </c:pt>
                <c:pt idx="80">
                  <c:v>649.68396046052851</c:v>
                </c:pt>
                <c:pt idx="81">
                  <c:v>637.16181403964151</c:v>
                </c:pt>
                <c:pt idx="82">
                  <c:v>625.60190660251703</c:v>
                </c:pt>
                <c:pt idx="83">
                  <c:v>615.72617332610844</c:v>
                </c:pt>
                <c:pt idx="84">
                  <c:v>606.97780130973638</c:v>
                </c:pt>
                <c:pt idx="85">
                  <c:v>599.67523918798474</c:v>
                </c:pt>
                <c:pt idx="86">
                  <c:v>592.70881965478463</c:v>
                </c:pt>
                <c:pt idx="87">
                  <c:v>581.50458925746432</c:v>
                </c:pt>
                <c:pt idx="88">
                  <c:v>566.60874277632126</c:v>
                </c:pt>
                <c:pt idx="89">
                  <c:v>547.92231752045666</c:v>
                </c:pt>
                <c:pt idx="90">
                  <c:v>525.84030125540858</c:v>
                </c:pt>
                <c:pt idx="91">
                  <c:v>501.3226163151682</c:v>
                </c:pt>
                <c:pt idx="92">
                  <c:v>475.3934720756738</c:v>
                </c:pt>
                <c:pt idx="93">
                  <c:v>451.99774737047437</c:v>
                </c:pt>
                <c:pt idx="94">
                  <c:v>428.57652984360487</c:v>
                </c:pt>
                <c:pt idx="95">
                  <c:v>405.63044861987925</c:v>
                </c:pt>
                <c:pt idx="96">
                  <c:v>383.3634070051113</c:v>
                </c:pt>
                <c:pt idx="97">
                  <c:v>362.35680314311236</c:v>
                </c:pt>
                <c:pt idx="98">
                  <c:v>343.58556875010277</c:v>
                </c:pt>
                <c:pt idx="99">
                  <c:v>327.23939469022474</c:v>
                </c:pt>
                <c:pt idx="100">
                  <c:v>312.78311051295486</c:v>
                </c:pt>
                <c:pt idx="101">
                  <c:v>299.09681585676253</c:v>
                </c:pt>
                <c:pt idx="102">
                  <c:v>285.22246961323498</c:v>
                </c:pt>
                <c:pt idx="103">
                  <c:v>270.50138857976475</c:v>
                </c:pt>
                <c:pt idx="104">
                  <c:v>254.97087308178826</c:v>
                </c:pt>
                <c:pt idx="105">
                  <c:v>243.01117398736403</c:v>
                </c:pt>
                <c:pt idx="106">
                  <c:v>229.76200645965582</c:v>
                </c:pt>
                <c:pt idx="107">
                  <c:v>216.05309993656172</c:v>
                </c:pt>
                <c:pt idx="108">
                  <c:v>202.88677954456074</c:v>
                </c:pt>
                <c:pt idx="109">
                  <c:v>189.99095897407915</c:v>
                </c:pt>
                <c:pt idx="110">
                  <c:v>177.43411979793959</c:v>
                </c:pt>
                <c:pt idx="111">
                  <c:v>162.14771352779789</c:v>
                </c:pt>
                <c:pt idx="112">
                  <c:v>145.41280066510399</c:v>
                </c:pt>
                <c:pt idx="113">
                  <c:v>127.43669502664206</c:v>
                </c:pt>
                <c:pt idx="114">
                  <c:v>108.75155602778784</c:v>
                </c:pt>
                <c:pt idx="115">
                  <c:v>89.507596300572857</c:v>
                </c:pt>
                <c:pt idx="116">
                  <c:v>70.065562179158661</c:v>
                </c:pt>
                <c:pt idx="117">
                  <c:v>52.626136837898365</c:v>
                </c:pt>
                <c:pt idx="118">
                  <c:v>35.432948649454545</c:v>
                </c:pt>
                <c:pt idx="119">
                  <c:v>18.367379321349304</c:v>
                </c:pt>
                <c:pt idx="120">
                  <c:v>0</c:v>
                </c:pt>
              </c:numCache>
            </c:numRef>
          </c:xVal>
          <c:yVal>
            <c:numRef>
              <c:f>'"0" цикл 24.06'!$A$3:$A$125</c:f>
              <c:numCache>
                <c:formatCode>General</c:formatCode>
                <c:ptCount val="12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F4-4872-B255-259BFA1F704D}"/>
            </c:ext>
          </c:extLst>
        </c:ser>
        <c:ser>
          <c:idx val="1"/>
          <c:order val="1"/>
          <c:tx>
            <c:strRef>
              <c:f>'21.10.24'!$B$1:$I$1</c:f>
              <c:strCache>
                <c:ptCount val="1"/>
                <c:pt idx="0">
                  <c:v>Цикл 1 (21.10.24)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'21.10.24'!$O$3:$O$125</c:f>
              <c:numCache>
                <c:formatCode>General</c:formatCode>
                <c:ptCount val="123"/>
                <c:pt idx="0">
                  <c:v>949.10382043704533</c:v>
                </c:pt>
                <c:pt idx="1">
                  <c:v>953.44066957368329</c:v>
                </c:pt>
                <c:pt idx="2">
                  <c:v>961.69765766481191</c:v>
                </c:pt>
                <c:pt idx="3">
                  <c:v>969.76750051608053</c:v>
                </c:pt>
                <c:pt idx="4">
                  <c:v>975.04305178548634</c:v>
                </c:pt>
                <c:pt idx="5">
                  <c:v>977.33833603285154</c:v>
                </c:pt>
                <c:pt idx="6">
                  <c:v>976.7927589958191</c:v>
                </c:pt>
                <c:pt idx="7">
                  <c:v>973.05226430230971</c:v>
                </c:pt>
                <c:pt idx="8">
                  <c:v>967.0063702766339</c:v>
                </c:pt>
                <c:pt idx="9">
                  <c:v>961.9116174164094</c:v>
                </c:pt>
                <c:pt idx="10">
                  <c:v>958.49756302965318</c:v>
                </c:pt>
                <c:pt idx="11">
                  <c:v>958.26091251346088</c:v>
                </c:pt>
                <c:pt idx="12">
                  <c:v>960.69730271329513</c:v>
                </c:pt>
                <c:pt idx="13">
                  <c:v>964.86356013413024</c:v>
                </c:pt>
                <c:pt idx="14">
                  <c:v>970.01762271677546</c:v>
                </c:pt>
                <c:pt idx="15">
                  <c:v>973.6891601717316</c:v>
                </c:pt>
                <c:pt idx="16">
                  <c:v>977.16450697268715</c:v>
                </c:pt>
                <c:pt idx="17">
                  <c:v>980.27889110208844</c:v>
                </c:pt>
                <c:pt idx="18">
                  <c:v>983.4795676095174</c:v>
                </c:pt>
                <c:pt idx="19">
                  <c:v>986.80467210763209</c:v>
                </c:pt>
                <c:pt idx="20">
                  <c:v>989.80619862693572</c:v>
                </c:pt>
                <c:pt idx="21">
                  <c:v>990.38253851108868</c:v>
                </c:pt>
                <c:pt idx="22">
                  <c:v>992.01855436838139</c:v>
                </c:pt>
                <c:pt idx="23">
                  <c:v>994.90177141284346</c:v>
                </c:pt>
                <c:pt idx="24">
                  <c:v>999.17318661026979</c:v>
                </c:pt>
                <c:pt idx="25">
                  <c:v>1004.6473844150967</c:v>
                </c:pt>
                <c:pt idx="26">
                  <c:v>1011.0177509313366</c:v>
                </c:pt>
                <c:pt idx="27">
                  <c:v>1015.0993168659273</c:v>
                </c:pt>
                <c:pt idx="28">
                  <c:v>1018.6227062946347</c:v>
                </c:pt>
                <c:pt idx="29">
                  <c:v>1021.3518152867756</c:v>
                </c:pt>
                <c:pt idx="30">
                  <c:v>1022.9484540792297</c:v>
                </c:pt>
                <c:pt idx="31">
                  <c:v>1023.12915739083</c:v>
                </c:pt>
                <c:pt idx="32">
                  <c:v>1022.5307024993385</c:v>
                </c:pt>
                <c:pt idx="33">
                  <c:v>1022.2447940792108</c:v>
                </c:pt>
                <c:pt idx="34">
                  <c:v>1023.2542425630497</c:v>
                </c:pt>
                <c:pt idx="35">
                  <c:v>1024.5051184518361</c:v>
                </c:pt>
                <c:pt idx="36">
                  <c:v>1024.6177127776273</c:v>
                </c:pt>
                <c:pt idx="37">
                  <c:v>1020.9982518161753</c:v>
                </c:pt>
                <c:pt idx="38">
                  <c:v>1014.8888869467886</c:v>
                </c:pt>
                <c:pt idx="39">
                  <c:v>1011.9856716062125</c:v>
                </c:pt>
                <c:pt idx="40">
                  <c:v>1009.739440551475</c:v>
                </c:pt>
                <c:pt idx="41">
                  <c:v>1007.5796930275916</c:v>
                </c:pt>
                <c:pt idx="42">
                  <c:v>1005.0324330367566</c:v>
                </c:pt>
                <c:pt idx="43">
                  <c:v>1001.5268410136561</c:v>
                </c:pt>
                <c:pt idx="44">
                  <c:v>998.12684324363977</c:v>
                </c:pt>
                <c:pt idx="45">
                  <c:v>997.28978593183717</c:v>
                </c:pt>
                <c:pt idx="46">
                  <c:v>995.27464049702178</c:v>
                </c:pt>
                <c:pt idx="47">
                  <c:v>989.47927069598381</c:v>
                </c:pt>
                <c:pt idx="48">
                  <c:v>978.29314621490482</c:v>
                </c:pt>
                <c:pt idx="49">
                  <c:v>962.08539960559131</c:v>
                </c:pt>
                <c:pt idx="50">
                  <c:v>942.9997173874882</c:v>
                </c:pt>
                <c:pt idx="51">
                  <c:v>928.84949675755888</c:v>
                </c:pt>
                <c:pt idx="52">
                  <c:v>918.3582176657726</c:v>
                </c:pt>
                <c:pt idx="53">
                  <c:v>912.31712437159433</c:v>
                </c:pt>
                <c:pt idx="54">
                  <c:v>910.70852177793984</c:v>
                </c:pt>
                <c:pt idx="55">
                  <c:v>912.68544004352407</c:v>
                </c:pt>
                <c:pt idx="56">
                  <c:v>916.67962010748545</c:v>
                </c:pt>
                <c:pt idx="57">
                  <c:v>919.70958194873901</c:v>
                </c:pt>
                <c:pt idx="58">
                  <c:v>920.86339804252589</c:v>
                </c:pt>
                <c:pt idx="59">
                  <c:v>920.58436365949069</c:v>
                </c:pt>
                <c:pt idx="60">
                  <c:v>918.18416706156052</c:v>
                </c:pt>
                <c:pt idx="61">
                  <c:v>912.98417149042757</c:v>
                </c:pt>
                <c:pt idx="62">
                  <c:v>906.89436881028803</c:v>
                </c:pt>
                <c:pt idx="63">
                  <c:v>900.42246126537725</c:v>
                </c:pt>
                <c:pt idx="64">
                  <c:v>893.65400463869469</c:v>
                </c:pt>
                <c:pt idx="65">
                  <c:v>884.52954775916589</c:v>
                </c:pt>
                <c:pt idx="66">
                  <c:v>872.31101507620201</c:v>
                </c:pt>
                <c:pt idx="67">
                  <c:v>857.63415642258963</c:v>
                </c:pt>
                <c:pt idx="68">
                  <c:v>842.90597470075284</c:v>
                </c:pt>
                <c:pt idx="69">
                  <c:v>829.58189423958538</c:v>
                </c:pt>
                <c:pt idx="70">
                  <c:v>818.09995421712108</c:v>
                </c:pt>
                <c:pt idx="71">
                  <c:v>807.70861615668628</c:v>
                </c:pt>
                <c:pt idx="72">
                  <c:v>798.43140591159568</c:v>
                </c:pt>
                <c:pt idx="73">
                  <c:v>790.37188340085788</c:v>
                </c:pt>
                <c:pt idx="74">
                  <c:v>782.36771558574912</c:v>
                </c:pt>
                <c:pt idx="75">
                  <c:v>764.54709611614385</c:v>
                </c:pt>
                <c:pt idx="76">
                  <c:v>747.04339221124883</c:v>
                </c:pt>
                <c:pt idx="77">
                  <c:v>728.99644090061338</c:v>
                </c:pt>
                <c:pt idx="78">
                  <c:v>711.45448200770363</c:v>
                </c:pt>
                <c:pt idx="79">
                  <c:v>694.2605154050417</c:v>
                </c:pt>
                <c:pt idx="80">
                  <c:v>677.70118854059547</c:v>
                </c:pt>
                <c:pt idx="81">
                  <c:v>664.99469788783892</c:v>
                </c:pt>
                <c:pt idx="82">
                  <c:v>653.48660337523449</c:v>
                </c:pt>
                <c:pt idx="83">
                  <c:v>643.94738500568337</c:v>
                </c:pt>
                <c:pt idx="84">
                  <c:v>635.60789122328492</c:v>
                </c:pt>
                <c:pt idx="85">
                  <c:v>629.07112170691494</c:v>
                </c:pt>
                <c:pt idx="86">
                  <c:v>622.75886029414232</c:v>
                </c:pt>
                <c:pt idx="87">
                  <c:v>611.74456287586179</c:v>
                </c:pt>
                <c:pt idx="88">
                  <c:v>596.50598000618038</c:v>
                </c:pt>
                <c:pt idx="89">
                  <c:v>577.12751165184864</c:v>
                </c:pt>
                <c:pt idx="90">
                  <c:v>554.63851988426939</c:v>
                </c:pt>
                <c:pt idx="91">
                  <c:v>530.06478582577199</c:v>
                </c:pt>
                <c:pt idx="92">
                  <c:v>503.98142642365445</c:v>
                </c:pt>
                <c:pt idx="93">
                  <c:v>480.5932113286384</c:v>
                </c:pt>
                <c:pt idx="94">
                  <c:v>457.24117268399175</c:v>
                </c:pt>
                <c:pt idx="95">
                  <c:v>434.42567673345081</c:v>
                </c:pt>
                <c:pt idx="96">
                  <c:v>412.21486345980759</c:v>
                </c:pt>
                <c:pt idx="97">
                  <c:v>391.42675965167513</c:v>
                </c:pt>
                <c:pt idx="98">
                  <c:v>372.89890193195498</c:v>
                </c:pt>
                <c:pt idx="99">
                  <c:v>357.01844184908236</c:v>
                </c:pt>
                <c:pt idx="100">
                  <c:v>343.29310116518428</c:v>
                </c:pt>
                <c:pt idx="101">
                  <c:v>330.39023721187948</c:v>
                </c:pt>
                <c:pt idx="102">
                  <c:v>317.1063480462206</c:v>
                </c:pt>
                <c:pt idx="103">
                  <c:v>302.63974738518641</c:v>
                </c:pt>
                <c:pt idx="104">
                  <c:v>287.20149284475389</c:v>
                </c:pt>
                <c:pt idx="105">
                  <c:v>274.33855400482253</c:v>
                </c:pt>
                <c:pt idx="106">
                  <c:v>260.73870846609293</c:v>
                </c:pt>
                <c:pt idx="107">
                  <c:v>247.33289462258622</c:v>
                </c:pt>
                <c:pt idx="108">
                  <c:v>234.81192098248104</c:v>
                </c:pt>
                <c:pt idx="109">
                  <c:v>222.91686632066626</c:v>
                </c:pt>
                <c:pt idx="110">
                  <c:v>211.37165611186919</c:v>
                </c:pt>
                <c:pt idx="111">
                  <c:v>196.96734016894175</c:v>
                </c:pt>
                <c:pt idx="112">
                  <c:v>180.76038537303987</c:v>
                </c:pt>
                <c:pt idx="113">
                  <c:v>162.45301074229988</c:v>
                </c:pt>
                <c:pt idx="114">
                  <c:v>142.89609366192414</c:v>
                </c:pt>
                <c:pt idx="115">
                  <c:v>122.65734357279939</c:v>
                </c:pt>
                <c:pt idx="116">
                  <c:v>104.13698125517151</c:v>
                </c:pt>
                <c:pt idx="117">
                  <c:v>86.824881044841973</c:v>
                </c:pt>
                <c:pt idx="118">
                  <c:v>70.030763315729203</c:v>
                </c:pt>
                <c:pt idx="119">
                  <c:v>53.510172119913939</c:v>
                </c:pt>
                <c:pt idx="120">
                  <c:v>36.484470212622824</c:v>
                </c:pt>
                <c:pt idx="121">
                  <c:v>18.53453240502704</c:v>
                </c:pt>
                <c:pt idx="122">
                  <c:v>0</c:v>
                </c:pt>
              </c:numCache>
            </c:numRef>
          </c:xVal>
          <c:yVal>
            <c:numRef>
              <c:f>'21.10.24'!$A$3:$A$125</c:f>
              <c:numCache>
                <c:formatCode>General</c:formatCode>
                <c:ptCount val="12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F4-4872-B255-259BFA1F7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81056"/>
        <c:axId val="156182784"/>
        <c:extLst/>
      </c:scatterChart>
      <c:valAx>
        <c:axId val="1561810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182784"/>
        <c:crosses val="autoZero"/>
        <c:crossBetween val="midCat"/>
      </c:valAx>
      <c:valAx>
        <c:axId val="156182784"/>
        <c:scaling>
          <c:orientation val="maxMin"/>
          <c:max val="6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181056"/>
        <c:crossesAt val="20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6740605131355265E-2"/>
          <c:y val="0.91748235008567491"/>
          <c:w val="0.90411756312621372"/>
          <c:h val="7.84775146604792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4803149606299213" l="3.937007874015748E-2" r="3.937007874015748E-2" t="0" header="0.31496062992125984" footer="0.31496062992125984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701797883620701E-2"/>
          <c:y val="3.4857468903343604E-2"/>
          <c:w val="0.83147629169954274"/>
          <c:h val="0.8601490682920655"/>
        </c:manualLayout>
      </c:layout>
      <c:scatterChart>
        <c:scatterStyle val="lineMarker"/>
        <c:varyColors val="0"/>
        <c:ser>
          <c:idx val="0"/>
          <c:order val="0"/>
          <c:tx>
            <c:strRef>
              <c:f>'"0" цикл 24.06'!$B$1:$I$1</c:f>
              <c:strCache>
                <c:ptCount val="1"/>
                <c:pt idx="0">
                  <c:v>Нулевой цикл (24.06)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'"0" цикл 24.06'!$D$3:$D$125</c:f>
              <c:numCache>
                <c:formatCode>0.00</c:formatCode>
                <c:ptCount val="123"/>
                <c:pt idx="0">
                  <c:v>1848.1999999999998</c:v>
                </c:pt>
                <c:pt idx="1">
                  <c:v>2733.6</c:v>
                </c:pt>
                <c:pt idx="2">
                  <c:v>1893.1499999999999</c:v>
                </c:pt>
                <c:pt idx="3">
                  <c:v>926.15000000000009</c:v>
                </c:pt>
                <c:pt idx="4">
                  <c:v>309.04999999999973</c:v>
                </c:pt>
                <c:pt idx="5">
                  <c:v>-391.09999999999991</c:v>
                </c:pt>
                <c:pt idx="6">
                  <c:v>-1202.3499999999999</c:v>
                </c:pt>
                <c:pt idx="7">
                  <c:v>-1920.9</c:v>
                </c:pt>
                <c:pt idx="8">
                  <c:v>-1736.5499999999997</c:v>
                </c:pt>
                <c:pt idx="9">
                  <c:v>-1060.5999999999999</c:v>
                </c:pt>
                <c:pt idx="10">
                  <c:v>-41.399999999999864</c:v>
                </c:pt>
                <c:pt idx="11">
                  <c:v>738.8</c:v>
                </c:pt>
                <c:pt idx="12">
                  <c:v>1095.75</c:v>
                </c:pt>
                <c:pt idx="13">
                  <c:v>1315.5</c:v>
                </c:pt>
                <c:pt idx="14">
                  <c:v>746.1</c:v>
                </c:pt>
                <c:pt idx="15">
                  <c:v>732.25</c:v>
                </c:pt>
                <c:pt idx="16">
                  <c:v>713.3</c:v>
                </c:pt>
                <c:pt idx="17">
                  <c:v>800.85</c:v>
                </c:pt>
                <c:pt idx="18">
                  <c:v>780.15</c:v>
                </c:pt>
                <c:pt idx="19">
                  <c:v>651.4</c:v>
                </c:pt>
                <c:pt idx="20">
                  <c:v>-171.10000000000002</c:v>
                </c:pt>
                <c:pt idx="21">
                  <c:v>140.20000000000002</c:v>
                </c:pt>
                <c:pt idx="22">
                  <c:v>579.65</c:v>
                </c:pt>
                <c:pt idx="23">
                  <c:v>976.24999999999989</c:v>
                </c:pt>
                <c:pt idx="24">
                  <c:v>1435.9</c:v>
                </c:pt>
                <c:pt idx="25">
                  <c:v>1790.8999999999999</c:v>
                </c:pt>
                <c:pt idx="26">
                  <c:v>1104.5</c:v>
                </c:pt>
                <c:pt idx="27">
                  <c:v>817.75</c:v>
                </c:pt>
                <c:pt idx="28">
                  <c:v>366.85</c:v>
                </c:pt>
                <c:pt idx="29">
                  <c:v>72.399999999999977</c:v>
                </c:pt>
                <c:pt idx="30">
                  <c:v>-292.79999999999995</c:v>
                </c:pt>
                <c:pt idx="31">
                  <c:v>-189.95000000000005</c:v>
                </c:pt>
                <c:pt idx="32">
                  <c:v>99.650000000000091</c:v>
                </c:pt>
                <c:pt idx="33">
                  <c:v>302.15000000000009</c:v>
                </c:pt>
                <c:pt idx="34">
                  <c:v>-23.649999999999977</c:v>
                </c:pt>
                <c:pt idx="35">
                  <c:v>-535.6</c:v>
                </c:pt>
                <c:pt idx="36">
                  <c:v>-1329.8</c:v>
                </c:pt>
                <c:pt idx="37">
                  <c:v>-1883.6</c:v>
                </c:pt>
                <c:pt idx="38">
                  <c:v>-764</c:v>
                </c:pt>
                <c:pt idx="39">
                  <c:v>-719.65</c:v>
                </c:pt>
                <c:pt idx="40">
                  <c:v>-915.09999999999991</c:v>
                </c:pt>
                <c:pt idx="41">
                  <c:v>-1243.7</c:v>
                </c:pt>
                <c:pt idx="42">
                  <c:v>-1584.2</c:v>
                </c:pt>
                <c:pt idx="43">
                  <c:v>-1183.6999999999998</c:v>
                </c:pt>
                <c:pt idx="44">
                  <c:v>-163.25</c:v>
                </c:pt>
                <c:pt idx="45">
                  <c:v>-575</c:v>
                </c:pt>
                <c:pt idx="46">
                  <c:v>-1920.6499999999999</c:v>
                </c:pt>
                <c:pt idx="47">
                  <c:v>-3720</c:v>
                </c:pt>
                <c:pt idx="48">
                  <c:v>-5261.5999999999995</c:v>
                </c:pt>
                <c:pt idx="49">
                  <c:v>-6200.6</c:v>
                </c:pt>
                <c:pt idx="50">
                  <c:v>-4601.6499999999996</c:v>
                </c:pt>
                <c:pt idx="51">
                  <c:v>-3223.5</c:v>
                </c:pt>
                <c:pt idx="52">
                  <c:v>-1854.85</c:v>
                </c:pt>
                <c:pt idx="53">
                  <c:v>-544.65</c:v>
                </c:pt>
                <c:pt idx="54">
                  <c:v>587.79999999999995</c:v>
                </c:pt>
                <c:pt idx="55">
                  <c:v>1304.9000000000001</c:v>
                </c:pt>
                <c:pt idx="56">
                  <c:v>646</c:v>
                </c:pt>
                <c:pt idx="57">
                  <c:v>-16.950000000000045</c:v>
                </c:pt>
                <c:pt idx="58">
                  <c:v>-238.89999999999998</c:v>
                </c:pt>
                <c:pt idx="59">
                  <c:v>-928.69999999999993</c:v>
                </c:pt>
                <c:pt idx="60">
                  <c:v>-1749.5500000000002</c:v>
                </c:pt>
                <c:pt idx="61">
                  <c:v>-2201.65</c:v>
                </c:pt>
                <c:pt idx="62">
                  <c:v>-2360.4499999999998</c:v>
                </c:pt>
                <c:pt idx="63">
                  <c:v>-2561.6</c:v>
                </c:pt>
                <c:pt idx="64">
                  <c:v>-3176.7</c:v>
                </c:pt>
                <c:pt idx="65">
                  <c:v>-3851.95</c:v>
                </c:pt>
                <c:pt idx="66">
                  <c:v>-4167.2999999999993</c:v>
                </c:pt>
                <c:pt idx="67">
                  <c:v>-3981</c:v>
                </c:pt>
                <c:pt idx="68">
                  <c:v>-3844.7000000000003</c:v>
                </c:pt>
                <c:pt idx="69">
                  <c:v>-3515.95</c:v>
                </c:pt>
                <c:pt idx="70">
                  <c:v>-3316.8500000000004</c:v>
                </c:pt>
                <c:pt idx="71">
                  <c:v>-3059.5</c:v>
                </c:pt>
                <c:pt idx="72">
                  <c:v>-2697.4500000000003</c:v>
                </c:pt>
                <c:pt idx="73">
                  <c:v>-2395.75</c:v>
                </c:pt>
                <c:pt idx="74">
                  <c:v>-5479.85</c:v>
                </c:pt>
                <c:pt idx="75">
                  <c:v>-5237.4000000000005</c:v>
                </c:pt>
                <c:pt idx="76">
                  <c:v>-5541.95</c:v>
                </c:pt>
                <c:pt idx="77">
                  <c:v>-5394.85</c:v>
                </c:pt>
                <c:pt idx="78">
                  <c:v>-5260.3</c:v>
                </c:pt>
                <c:pt idx="79">
                  <c:v>-5088.25</c:v>
                </c:pt>
                <c:pt idx="80">
                  <c:v>-3883.1500000000005</c:v>
                </c:pt>
                <c:pt idx="81">
                  <c:v>-3550.2999999999997</c:v>
                </c:pt>
                <c:pt idx="82">
                  <c:v>-3163.3</c:v>
                </c:pt>
                <c:pt idx="83">
                  <c:v>-2699.2</c:v>
                </c:pt>
                <c:pt idx="84">
                  <c:v>-2371.9</c:v>
                </c:pt>
                <c:pt idx="85">
                  <c:v>-2258.1999999999998</c:v>
                </c:pt>
                <c:pt idx="86">
                  <c:v>-3498.1000000000004</c:v>
                </c:pt>
                <c:pt idx="87">
                  <c:v>-4504.5</c:v>
                </c:pt>
                <c:pt idx="88">
                  <c:v>-5692.6</c:v>
                </c:pt>
                <c:pt idx="89">
                  <c:v>-6629.5999999999995</c:v>
                </c:pt>
                <c:pt idx="90">
                  <c:v>-7404.7999999999993</c:v>
                </c:pt>
                <c:pt idx="91">
                  <c:v>-7742.95</c:v>
                </c:pt>
                <c:pt idx="92">
                  <c:v>-7050.55</c:v>
                </c:pt>
                <c:pt idx="93">
                  <c:v>-7062.7</c:v>
                </c:pt>
                <c:pt idx="94">
                  <c:v>-6842.45</c:v>
                </c:pt>
                <c:pt idx="95">
                  <c:v>-6718.45</c:v>
                </c:pt>
                <c:pt idx="96">
                  <c:v>-6378.75</c:v>
                </c:pt>
                <c:pt idx="97">
                  <c:v>-5769.8</c:v>
                </c:pt>
                <c:pt idx="98">
                  <c:v>-4949.8</c:v>
                </c:pt>
                <c:pt idx="99">
                  <c:v>-4481.75</c:v>
                </c:pt>
                <c:pt idx="100">
                  <c:v>-4214.5999999999995</c:v>
                </c:pt>
                <c:pt idx="101">
                  <c:v>-4219.6000000000004</c:v>
                </c:pt>
                <c:pt idx="102">
                  <c:v>-4553.4500000000007</c:v>
                </c:pt>
                <c:pt idx="103">
                  <c:v>-4724.9000000000005</c:v>
                </c:pt>
                <c:pt idx="104">
                  <c:v>-3759.6</c:v>
                </c:pt>
                <c:pt idx="105">
                  <c:v>-4054.1</c:v>
                </c:pt>
                <c:pt idx="106">
                  <c:v>-4204.8500000000004</c:v>
                </c:pt>
                <c:pt idx="107">
                  <c:v>-4047.2000000000003</c:v>
                </c:pt>
                <c:pt idx="108">
                  <c:v>-3989.2</c:v>
                </c:pt>
                <c:pt idx="109">
                  <c:v>-3819.2500000000005</c:v>
                </c:pt>
                <c:pt idx="110">
                  <c:v>-4694.5</c:v>
                </c:pt>
                <c:pt idx="111">
                  <c:v>-5075.1499999999996</c:v>
                </c:pt>
                <c:pt idx="112">
                  <c:v>-5512.45</c:v>
                </c:pt>
                <c:pt idx="113">
                  <c:v>-5622.6500000000005</c:v>
                </c:pt>
                <c:pt idx="114">
                  <c:v>-5837.7</c:v>
                </c:pt>
                <c:pt idx="115">
                  <c:v>-5915.75</c:v>
                </c:pt>
                <c:pt idx="116">
                  <c:v>-5291.15</c:v>
                </c:pt>
                <c:pt idx="117">
                  <c:v>-5217.25</c:v>
                </c:pt>
                <c:pt idx="118">
                  <c:v>-5192</c:v>
                </c:pt>
                <c:pt idx="119">
                  <c:v>-5314.8</c:v>
                </c:pt>
                <c:pt idx="120">
                  <c:v>-5564.2999999999993</c:v>
                </c:pt>
              </c:numCache>
            </c:numRef>
          </c:xVal>
          <c:yVal>
            <c:numRef>
              <c:f>'"0" цикл 24.06'!$A$3:$A$125</c:f>
              <c:numCache>
                <c:formatCode>General</c:formatCode>
                <c:ptCount val="12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A0-4E29-9AE7-CA1814786758}"/>
            </c:ext>
          </c:extLst>
        </c:ser>
        <c:ser>
          <c:idx val="1"/>
          <c:order val="1"/>
          <c:tx>
            <c:strRef>
              <c:f>'21.10.24'!$B$1:$I$1</c:f>
              <c:strCache>
                <c:ptCount val="1"/>
                <c:pt idx="0">
                  <c:v>Цикл 1 (21.10.24)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'21.10.24'!$D$3:$D$125</c:f>
              <c:numCache>
                <c:formatCode>0.00</c:formatCode>
                <c:ptCount val="123"/>
                <c:pt idx="0">
                  <c:v>1076.3</c:v>
                </c:pt>
                <c:pt idx="1">
                  <c:v>2267.5</c:v>
                </c:pt>
                <c:pt idx="2">
                  <c:v>2245.9</c:v>
                </c:pt>
                <c:pt idx="3">
                  <c:v>1429.4</c:v>
                </c:pt>
                <c:pt idx="4">
                  <c:v>557.09999999999991</c:v>
                </c:pt>
                <c:pt idx="5">
                  <c:v>-265.75</c:v>
                </c:pt>
                <c:pt idx="6">
                  <c:v>-1207.25</c:v>
                </c:pt>
                <c:pt idx="7">
                  <c:v>-1827.5500000000002</c:v>
                </c:pt>
                <c:pt idx="8">
                  <c:v>-1634.1</c:v>
                </c:pt>
                <c:pt idx="9">
                  <c:v>-1153.1999999999998</c:v>
                </c:pt>
                <c:pt idx="10">
                  <c:v>-212.54999999999995</c:v>
                </c:pt>
                <c:pt idx="11">
                  <c:v>551.84999999999991</c:v>
                </c:pt>
                <c:pt idx="12">
                  <c:v>1044.8999999999999</c:v>
                </c:pt>
                <c:pt idx="13">
                  <c:v>1400.3</c:v>
                </c:pt>
                <c:pt idx="14">
                  <c:v>950.85000000000014</c:v>
                </c:pt>
                <c:pt idx="15">
                  <c:v>902.59999999999991</c:v>
                </c:pt>
                <c:pt idx="16">
                  <c:v>737.35</c:v>
                </c:pt>
                <c:pt idx="17">
                  <c:v>793.15000000000009</c:v>
                </c:pt>
                <c:pt idx="18">
                  <c:v>828.65000000000009</c:v>
                </c:pt>
                <c:pt idx="19">
                  <c:v>700.85</c:v>
                </c:pt>
                <c:pt idx="20">
                  <c:v>57.450000000000017</c:v>
                </c:pt>
                <c:pt idx="21">
                  <c:v>367.95</c:v>
                </c:pt>
                <c:pt idx="22">
                  <c:v>733.8</c:v>
                </c:pt>
                <c:pt idx="23">
                  <c:v>1151.75</c:v>
                </c:pt>
                <c:pt idx="24">
                  <c:v>1497.5</c:v>
                </c:pt>
                <c:pt idx="25">
                  <c:v>1719.05</c:v>
                </c:pt>
                <c:pt idx="26">
                  <c:v>1071.3000000000002</c:v>
                </c:pt>
                <c:pt idx="27">
                  <c:v>926.15</c:v>
                </c:pt>
                <c:pt idx="28">
                  <c:v>669.35</c:v>
                </c:pt>
                <c:pt idx="29">
                  <c:v>358.4</c:v>
                </c:pt>
                <c:pt idx="30">
                  <c:v>-70.999999999999943</c:v>
                </c:pt>
                <c:pt idx="31">
                  <c:v>-246.20000000000005</c:v>
                </c:pt>
                <c:pt idx="32">
                  <c:v>-269</c:v>
                </c:pt>
                <c:pt idx="33">
                  <c:v>98.199999999999932</c:v>
                </c:pt>
                <c:pt idx="34">
                  <c:v>217</c:v>
                </c:pt>
                <c:pt idx="35">
                  <c:v>-133.44999999999993</c:v>
                </c:pt>
                <c:pt idx="36">
                  <c:v>-1198.4000000000001</c:v>
                </c:pt>
                <c:pt idx="37">
                  <c:v>-1967.3</c:v>
                </c:pt>
                <c:pt idx="38">
                  <c:v>-962.30000000000007</c:v>
                </c:pt>
                <c:pt idx="39">
                  <c:v>-780.34999999999991</c:v>
                </c:pt>
                <c:pt idx="40">
                  <c:v>-745.05</c:v>
                </c:pt>
                <c:pt idx="41">
                  <c:v>-868.05</c:v>
                </c:pt>
                <c:pt idx="42">
                  <c:v>-1123.8500000000001</c:v>
                </c:pt>
                <c:pt idx="43">
                  <c:v>-1095.3500000000001</c:v>
                </c:pt>
                <c:pt idx="44">
                  <c:v>-381.80000000000007</c:v>
                </c:pt>
                <c:pt idx="45">
                  <c:v>-696.75</c:v>
                </c:pt>
                <c:pt idx="46">
                  <c:v>-1844.8000000000002</c:v>
                </c:pt>
                <c:pt idx="47">
                  <c:v>-3425.6</c:v>
                </c:pt>
                <c:pt idx="48">
                  <c:v>-4846.95</c:v>
                </c:pt>
                <c:pt idx="49">
                  <c:v>-5671.25</c:v>
                </c:pt>
                <c:pt idx="50">
                  <c:v>-4323</c:v>
                </c:pt>
                <c:pt idx="51">
                  <c:v>-3179</c:v>
                </c:pt>
                <c:pt idx="52">
                  <c:v>-1883.45</c:v>
                </c:pt>
                <c:pt idx="53">
                  <c:v>-622.89999999999986</c:v>
                </c:pt>
                <c:pt idx="54">
                  <c:v>459.29999999999995</c:v>
                </c:pt>
                <c:pt idx="55">
                  <c:v>1020.6</c:v>
                </c:pt>
                <c:pt idx="56">
                  <c:v>792.85</c:v>
                </c:pt>
                <c:pt idx="57">
                  <c:v>121.20000000000005</c:v>
                </c:pt>
                <c:pt idx="58">
                  <c:v>-147.10000000000002</c:v>
                </c:pt>
                <c:pt idx="59">
                  <c:v>-878.5</c:v>
                </c:pt>
                <c:pt idx="60">
                  <c:v>-1725.75</c:v>
                </c:pt>
                <c:pt idx="61">
                  <c:v>-1911.8999999999999</c:v>
                </c:pt>
                <c:pt idx="62">
                  <c:v>-2032.75</c:v>
                </c:pt>
                <c:pt idx="63">
                  <c:v>-2121.6999999999998</c:v>
                </c:pt>
                <c:pt idx="64">
                  <c:v>-2842.3500000000004</c:v>
                </c:pt>
                <c:pt idx="65">
                  <c:v>-3730.55</c:v>
                </c:pt>
                <c:pt idx="66">
                  <c:v>-4450.2000000000007</c:v>
                </c:pt>
                <c:pt idx="67">
                  <c:v>-4423.75</c:v>
                </c:pt>
                <c:pt idx="68">
                  <c:v>-3909</c:v>
                </c:pt>
                <c:pt idx="69">
                  <c:v>-3555.2</c:v>
                </c:pt>
                <c:pt idx="70">
                  <c:v>-3134.6000000000004</c:v>
                </c:pt>
                <c:pt idx="71">
                  <c:v>-2927.9500000000003</c:v>
                </c:pt>
                <c:pt idx="72">
                  <c:v>-2483.15</c:v>
                </c:pt>
                <c:pt idx="73">
                  <c:v>-2442.5</c:v>
                </c:pt>
                <c:pt idx="74">
                  <c:v>-5388.7000000000007</c:v>
                </c:pt>
                <c:pt idx="75">
                  <c:v>-5172.1499999999996</c:v>
                </c:pt>
                <c:pt idx="76">
                  <c:v>-5553.7</c:v>
                </c:pt>
                <c:pt idx="77">
                  <c:v>-5246.9000000000005</c:v>
                </c:pt>
                <c:pt idx="78">
                  <c:v>-5182.0499999999993</c:v>
                </c:pt>
                <c:pt idx="79">
                  <c:v>-5007.8</c:v>
                </c:pt>
                <c:pt idx="80">
                  <c:v>-3821.1000000000004</c:v>
                </c:pt>
                <c:pt idx="81">
                  <c:v>-3500.3500000000004</c:v>
                </c:pt>
                <c:pt idx="82">
                  <c:v>-2946.85</c:v>
                </c:pt>
                <c:pt idx="83">
                  <c:v>-2585.4499999999998</c:v>
                </c:pt>
                <c:pt idx="84">
                  <c:v>-2102.3000000000002</c:v>
                </c:pt>
                <c:pt idx="85">
                  <c:v>-2017.1</c:v>
                </c:pt>
                <c:pt idx="86">
                  <c:v>-3341.95</c:v>
                </c:pt>
                <c:pt idx="87">
                  <c:v>-4611.1000000000004</c:v>
                </c:pt>
                <c:pt idx="88">
                  <c:v>-5847.75</c:v>
                </c:pt>
                <c:pt idx="89">
                  <c:v>-6738.25</c:v>
                </c:pt>
                <c:pt idx="90">
                  <c:v>-7294.5499999999993</c:v>
                </c:pt>
                <c:pt idx="91">
                  <c:v>-7810.7</c:v>
                </c:pt>
                <c:pt idx="92">
                  <c:v>-6999.7</c:v>
                </c:pt>
                <c:pt idx="93">
                  <c:v>-6992.95</c:v>
                </c:pt>
                <c:pt idx="94">
                  <c:v>-6825.55</c:v>
                </c:pt>
                <c:pt idx="95">
                  <c:v>-6583.75</c:v>
                </c:pt>
                <c:pt idx="96">
                  <c:v>-6346.95</c:v>
                </c:pt>
                <c:pt idx="97">
                  <c:v>-5548.45</c:v>
                </c:pt>
                <c:pt idx="98">
                  <c:v>-4757.3</c:v>
                </c:pt>
                <c:pt idx="99">
                  <c:v>-4224.8500000000004</c:v>
                </c:pt>
                <c:pt idx="100">
                  <c:v>-3907.7999999999997</c:v>
                </c:pt>
                <c:pt idx="101">
                  <c:v>-3997.2999999999997</c:v>
                </c:pt>
                <c:pt idx="102">
                  <c:v>-4398.4500000000007</c:v>
                </c:pt>
                <c:pt idx="103">
                  <c:v>-4621.4000000000005</c:v>
                </c:pt>
                <c:pt idx="104">
                  <c:v>-4014.3499999999995</c:v>
                </c:pt>
                <c:pt idx="105">
                  <c:v>-4118.7999999999993</c:v>
                </c:pt>
                <c:pt idx="106">
                  <c:v>-4057.05</c:v>
                </c:pt>
                <c:pt idx="107">
                  <c:v>-3819.6499999999996</c:v>
                </c:pt>
                <c:pt idx="108">
                  <c:v>-3594.8500000000004</c:v>
                </c:pt>
                <c:pt idx="109">
                  <c:v>-3561.4</c:v>
                </c:pt>
                <c:pt idx="110">
                  <c:v>-4365.8500000000004</c:v>
                </c:pt>
                <c:pt idx="111">
                  <c:v>-4896.8</c:v>
                </c:pt>
                <c:pt idx="112">
                  <c:v>-5504.15</c:v>
                </c:pt>
                <c:pt idx="113">
                  <c:v>-5905.5</c:v>
                </c:pt>
                <c:pt idx="114">
                  <c:v>-6060.9</c:v>
                </c:pt>
                <c:pt idx="115">
                  <c:v>-5187.8</c:v>
                </c:pt>
                <c:pt idx="116">
                  <c:v>-5188.5499999999993</c:v>
                </c:pt>
                <c:pt idx="117">
                  <c:v>-5103.7</c:v>
                </c:pt>
                <c:pt idx="118">
                  <c:v>-5031</c:v>
                </c:pt>
                <c:pt idx="119">
                  <c:v>-5144.8499999999995</c:v>
                </c:pt>
                <c:pt idx="120">
                  <c:v>-5423.25</c:v>
                </c:pt>
                <c:pt idx="121">
                  <c:v>-6037</c:v>
                </c:pt>
                <c:pt idx="122">
                  <c:v>0</c:v>
                </c:pt>
              </c:numCache>
            </c:numRef>
          </c:xVal>
          <c:yVal>
            <c:numRef>
              <c:f>'21.10.24'!$A$3:$A$125</c:f>
              <c:numCache>
                <c:formatCode>General</c:formatCode>
                <c:ptCount val="12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A0-4E29-9AE7-CA1814786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38080"/>
        <c:axId val="141038656"/>
        <c:extLst/>
      </c:scatterChart>
      <c:valAx>
        <c:axId val="14103808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038656"/>
        <c:crossesAt val="0"/>
        <c:crossBetween val="midCat"/>
      </c:valAx>
      <c:valAx>
        <c:axId val="141038656"/>
        <c:scaling>
          <c:orientation val="maxMin"/>
          <c:max val="6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038080"/>
        <c:crossesAt val="30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6</xdr:row>
      <xdr:rowOff>0</xdr:rowOff>
    </xdr:from>
    <xdr:to>
      <xdr:col>20</xdr:col>
      <xdr:colOff>94957</xdr:colOff>
      <xdr:row>53</xdr:row>
      <xdr:rowOff>40822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93874</xdr:colOff>
      <xdr:row>5</xdr:row>
      <xdr:rowOff>258535</xdr:rowOff>
    </xdr:from>
    <xdr:to>
      <xdr:col>24</xdr:col>
      <xdr:colOff>1222738</xdr:colOff>
      <xdr:row>53</xdr:row>
      <xdr:rowOff>15511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23212</xdr:colOff>
      <xdr:row>5</xdr:row>
      <xdr:rowOff>65635</xdr:rowOff>
    </xdr:from>
    <xdr:to>
      <xdr:col>15</xdr:col>
      <xdr:colOff>336176</xdr:colOff>
      <xdr:row>6</xdr:row>
      <xdr:rowOff>120064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3212" y="861253"/>
          <a:ext cx="312964" cy="2449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/>
            <a:t>Ю</a:t>
          </a:r>
          <a:endParaRPr lang="ru-RU" sz="1100"/>
        </a:p>
      </xdr:txBody>
    </xdr:sp>
    <xdr:clientData/>
  </xdr:twoCellAnchor>
  <xdr:twoCellAnchor>
    <xdr:from>
      <xdr:col>19</xdr:col>
      <xdr:colOff>421822</xdr:colOff>
      <xdr:row>5</xdr:row>
      <xdr:rowOff>72038</xdr:rowOff>
    </xdr:from>
    <xdr:to>
      <xdr:col>20</xdr:col>
      <xdr:colOff>72839</xdr:colOff>
      <xdr:row>6</xdr:row>
      <xdr:rowOff>112860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976763" y="867656"/>
          <a:ext cx="244929" cy="231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/>
            <a:t>С</a:t>
          </a:r>
          <a:endParaRPr lang="ru-RU" sz="1100"/>
        </a:p>
      </xdr:txBody>
    </xdr:sp>
    <xdr:clientData/>
  </xdr:twoCellAnchor>
  <xdr:twoCellAnchor>
    <xdr:from>
      <xdr:col>20</xdr:col>
      <xdr:colOff>216113</xdr:colOff>
      <xdr:row>5</xdr:row>
      <xdr:rowOff>72038</xdr:rowOff>
    </xdr:from>
    <xdr:to>
      <xdr:col>21</xdr:col>
      <xdr:colOff>86445</xdr:colOff>
      <xdr:row>6</xdr:row>
      <xdr:rowOff>153681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364966" y="867656"/>
          <a:ext cx="217714" cy="2721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/>
            <a:t>З</a:t>
          </a:r>
          <a:endParaRPr lang="ru-RU" sz="1100"/>
        </a:p>
      </xdr:txBody>
    </xdr:sp>
    <xdr:clientData/>
  </xdr:twoCellAnchor>
  <xdr:twoCellAnchor>
    <xdr:from>
      <xdr:col>24</xdr:col>
      <xdr:colOff>1102176</xdr:colOff>
      <xdr:row>5</xdr:row>
      <xdr:rowOff>27214</xdr:rowOff>
    </xdr:from>
    <xdr:to>
      <xdr:col>24</xdr:col>
      <xdr:colOff>1319891</xdr:colOff>
      <xdr:row>6</xdr:row>
      <xdr:rowOff>122464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12401" y="827314"/>
          <a:ext cx="21771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/>
            <a:t>В</a:t>
          </a:r>
          <a:endParaRPr lang="ru-RU" sz="1100"/>
        </a:p>
      </xdr:txBody>
    </xdr:sp>
    <xdr:clientData/>
  </xdr:twoCellAnchor>
  <xdr:twoCellAnchor>
    <xdr:from>
      <xdr:col>26</xdr:col>
      <xdr:colOff>58237</xdr:colOff>
      <xdr:row>6</xdr:row>
      <xdr:rowOff>110837</xdr:rowOff>
    </xdr:from>
    <xdr:to>
      <xdr:col>31</xdr:col>
      <xdr:colOff>108371</xdr:colOff>
      <xdr:row>53</xdr:row>
      <xdr:rowOff>23812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134470</xdr:colOff>
      <xdr:row>5</xdr:row>
      <xdr:rowOff>321915</xdr:rowOff>
    </xdr:from>
    <xdr:to>
      <xdr:col>36</xdr:col>
      <xdr:colOff>7306</xdr:colOff>
      <xdr:row>53</xdr:row>
      <xdr:rowOff>71437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108857</xdr:colOff>
      <xdr:row>5</xdr:row>
      <xdr:rowOff>1</xdr:rowOff>
    </xdr:from>
    <xdr:to>
      <xdr:col>47</xdr:col>
      <xdr:colOff>554181</xdr:colOff>
      <xdr:row>49</xdr:row>
      <xdr:rowOff>81644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258537</xdr:colOff>
      <xdr:row>7</xdr:row>
      <xdr:rowOff>136072</xdr:rowOff>
    </xdr:from>
    <xdr:to>
      <xdr:col>47</xdr:col>
      <xdr:colOff>326573</xdr:colOff>
      <xdr:row>40</xdr:row>
      <xdr:rowOff>0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4152680" y="1660072"/>
          <a:ext cx="5946322" cy="6150428"/>
        </a:xfrm>
        <a:prstGeom prst="ellipse">
          <a:avLst/>
        </a:prstGeom>
        <a:noFill/>
        <a:ln w="31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39</xdr:col>
      <xdr:colOff>612321</xdr:colOff>
      <xdr:row>13</xdr:row>
      <xdr:rowOff>0</xdr:rowOff>
    </xdr:from>
    <xdr:to>
      <xdr:col>46</xdr:col>
      <xdr:colOff>27214</xdr:colOff>
      <xdr:row>34</xdr:row>
      <xdr:rowOff>21773</xdr:rowOff>
    </xdr:to>
    <xdr:sp macro="" textlink="">
      <xdr:nvSpPr>
        <xdr:cNvPr id="12" name="Овал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5159607" y="2667000"/>
          <a:ext cx="3986893" cy="4022273"/>
        </a:xfrm>
        <a:prstGeom prst="ellipse">
          <a:avLst/>
        </a:prstGeom>
        <a:noFill/>
        <a:ln w="31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41</xdr:col>
      <xdr:colOff>299358</xdr:colOff>
      <xdr:row>18</xdr:row>
      <xdr:rowOff>136071</xdr:rowOff>
    </xdr:from>
    <xdr:to>
      <xdr:col>44</xdr:col>
      <xdr:colOff>340179</xdr:colOff>
      <xdr:row>29</xdr:row>
      <xdr:rowOff>68036</xdr:rowOff>
    </xdr:to>
    <xdr:sp macro="" textlink="">
      <xdr:nvSpPr>
        <xdr:cNvPr id="13" name="Овал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6152929" y="3755571"/>
          <a:ext cx="2000250" cy="2027465"/>
        </a:xfrm>
        <a:prstGeom prst="ellipse">
          <a:avLst/>
        </a:prstGeom>
        <a:noFill/>
        <a:ln w="31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68036</xdr:colOff>
      <xdr:row>5</xdr:row>
      <xdr:rowOff>54429</xdr:rowOff>
    </xdr:from>
    <xdr:to>
      <xdr:col>15</xdr:col>
      <xdr:colOff>381000</xdr:colOff>
      <xdr:row>6</xdr:row>
      <xdr:rowOff>108858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68036" y="846909"/>
          <a:ext cx="312964" cy="2449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/>
            <a:t>Ю</a:t>
          </a:r>
          <a:endParaRPr lang="ru-RU" sz="1100"/>
        </a:p>
      </xdr:txBody>
    </xdr:sp>
    <xdr:clientData/>
  </xdr:twoCellAnchor>
  <xdr:twoCellAnchor>
    <xdr:from>
      <xdr:col>24</xdr:col>
      <xdr:colOff>883101</xdr:colOff>
      <xdr:row>5</xdr:row>
      <xdr:rowOff>84364</xdr:rowOff>
    </xdr:from>
    <xdr:to>
      <xdr:col>24</xdr:col>
      <xdr:colOff>1095375</xdr:colOff>
      <xdr:row>6</xdr:row>
      <xdr:rowOff>179614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476181" y="876844"/>
          <a:ext cx="212274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/>
            <a:t>В</a:t>
          </a:r>
          <a:endParaRPr lang="ru-RU" sz="1100"/>
        </a:p>
      </xdr:txBody>
    </xdr:sp>
    <xdr:clientData/>
  </xdr:twoCellAnchor>
  <xdr:twoCellAnchor>
    <xdr:from>
      <xdr:col>49</xdr:col>
      <xdr:colOff>0</xdr:colOff>
      <xdr:row>4</xdr:row>
      <xdr:rowOff>0</xdr:rowOff>
    </xdr:from>
    <xdr:to>
      <xdr:col>58</xdr:col>
      <xdr:colOff>464436</xdr:colOff>
      <xdr:row>49</xdr:row>
      <xdr:rowOff>76200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50</xdr:col>
      <xdr:colOff>557893</xdr:colOff>
      <xdr:row>12</xdr:row>
      <xdr:rowOff>40822</xdr:rowOff>
    </xdr:from>
    <xdr:to>
      <xdr:col>56</xdr:col>
      <xdr:colOff>571499</xdr:colOff>
      <xdr:row>34</xdr:row>
      <xdr:rowOff>176894</xdr:rowOff>
    </xdr:to>
    <xdr:sp macro="" textlink="">
      <xdr:nvSpPr>
        <xdr:cNvPr id="19" name="Овал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31799893" y="2517322"/>
          <a:ext cx="4340677" cy="4327072"/>
        </a:xfrm>
        <a:prstGeom prst="ellipse">
          <a:avLst/>
        </a:prstGeom>
        <a:noFill/>
        <a:ln w="31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49</xdr:col>
      <xdr:colOff>203860</xdr:colOff>
      <xdr:row>7</xdr:row>
      <xdr:rowOff>71747</xdr:rowOff>
    </xdr:from>
    <xdr:to>
      <xdr:col>58</xdr:col>
      <xdr:colOff>258537</xdr:colOff>
      <xdr:row>40</xdr:row>
      <xdr:rowOff>108857</xdr:rowOff>
    </xdr:to>
    <xdr:sp macro="" textlink="">
      <xdr:nvSpPr>
        <xdr:cNvPr id="20" name="Овал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30724681" y="1595747"/>
          <a:ext cx="6545285" cy="6323610"/>
        </a:xfrm>
        <a:prstGeom prst="ellipse">
          <a:avLst/>
        </a:prstGeom>
        <a:noFill/>
        <a:ln w="31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0</xdr:colOff>
      <xdr:row>6</xdr:row>
      <xdr:rowOff>171898</xdr:rowOff>
    </xdr:from>
    <xdr:to>
      <xdr:col>5</xdr:col>
      <xdr:colOff>94957</xdr:colOff>
      <xdr:row>53</xdr:row>
      <xdr:rowOff>40822</xdr:rowOff>
    </xdr:to>
    <xdr:graphicFrame macro="">
      <xdr:nvGraphicFramePr>
        <xdr:cNvPr id="39" name="Диаграмма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134695</xdr:colOff>
      <xdr:row>6</xdr:row>
      <xdr:rowOff>55418</xdr:rowOff>
    </xdr:from>
    <xdr:to>
      <xdr:col>9</xdr:col>
      <xdr:colOff>990056</xdr:colOff>
      <xdr:row>53</xdr:row>
      <xdr:rowOff>83548</xdr:rowOff>
    </xdr:to>
    <xdr:graphicFrame macro="">
      <xdr:nvGraphicFramePr>
        <xdr:cNvPr id="40" name="Диаграмма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23212</xdr:colOff>
      <xdr:row>5</xdr:row>
      <xdr:rowOff>65635</xdr:rowOff>
    </xdr:from>
    <xdr:to>
      <xdr:col>0</xdr:col>
      <xdr:colOff>336176</xdr:colOff>
      <xdr:row>6</xdr:row>
      <xdr:rowOff>120064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7140985" y="862271"/>
          <a:ext cx="312964" cy="2449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/>
            <a:t>Ю</a:t>
          </a:r>
          <a:endParaRPr lang="ru-RU" sz="1100"/>
        </a:p>
      </xdr:txBody>
    </xdr:sp>
    <xdr:clientData/>
  </xdr:twoCellAnchor>
  <xdr:twoCellAnchor>
    <xdr:from>
      <xdr:col>4</xdr:col>
      <xdr:colOff>421822</xdr:colOff>
      <xdr:row>5</xdr:row>
      <xdr:rowOff>72038</xdr:rowOff>
    </xdr:from>
    <xdr:to>
      <xdr:col>5</xdr:col>
      <xdr:colOff>72839</xdr:colOff>
      <xdr:row>6</xdr:row>
      <xdr:rowOff>112860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10171958" y="868674"/>
          <a:ext cx="309108" cy="231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/>
            <a:t>С</a:t>
          </a:r>
          <a:endParaRPr lang="ru-RU" sz="1100"/>
        </a:p>
      </xdr:txBody>
    </xdr:sp>
    <xdr:clientData/>
  </xdr:twoCellAnchor>
  <xdr:twoCellAnchor>
    <xdr:from>
      <xdr:col>5</xdr:col>
      <xdr:colOff>216113</xdr:colOff>
      <xdr:row>5</xdr:row>
      <xdr:rowOff>72038</xdr:rowOff>
    </xdr:from>
    <xdr:to>
      <xdr:col>6</xdr:col>
      <xdr:colOff>86445</xdr:colOff>
      <xdr:row>6</xdr:row>
      <xdr:rowOff>153681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10624340" y="868674"/>
          <a:ext cx="130105" cy="2721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/>
            <a:t>З</a:t>
          </a:r>
          <a:endParaRPr lang="ru-RU" sz="1100"/>
        </a:p>
      </xdr:txBody>
    </xdr:sp>
    <xdr:clientData/>
  </xdr:twoCellAnchor>
  <xdr:twoCellAnchor>
    <xdr:from>
      <xdr:col>9</xdr:col>
      <xdr:colOff>1102176</xdr:colOff>
      <xdr:row>5</xdr:row>
      <xdr:rowOff>27214</xdr:rowOff>
    </xdr:from>
    <xdr:to>
      <xdr:col>9</xdr:col>
      <xdr:colOff>1319891</xdr:colOff>
      <xdr:row>6</xdr:row>
      <xdr:rowOff>122464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13744449" y="823850"/>
          <a:ext cx="16056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/>
            <a:t>В</a:t>
          </a:r>
          <a:endParaRPr lang="ru-RU" sz="1100"/>
        </a:p>
      </xdr:txBody>
    </xdr:sp>
    <xdr:clientData/>
  </xdr:twoCellAnchor>
  <xdr:twoCellAnchor>
    <xdr:from>
      <xdr:col>0</xdr:col>
      <xdr:colOff>68036</xdr:colOff>
      <xdr:row>5</xdr:row>
      <xdr:rowOff>54429</xdr:rowOff>
    </xdr:from>
    <xdr:to>
      <xdr:col>0</xdr:col>
      <xdr:colOff>381000</xdr:colOff>
      <xdr:row>6</xdr:row>
      <xdr:rowOff>108858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7185809" y="851065"/>
          <a:ext cx="312964" cy="2449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/>
            <a:t>Ю</a:t>
          </a:r>
          <a:endParaRPr lang="ru-RU" sz="1100"/>
        </a:p>
      </xdr:txBody>
    </xdr:sp>
    <xdr:clientData/>
  </xdr:twoCellAnchor>
  <xdr:twoCellAnchor>
    <xdr:from>
      <xdr:col>9</xdr:col>
      <xdr:colOff>883101</xdr:colOff>
      <xdr:row>5</xdr:row>
      <xdr:rowOff>84364</xdr:rowOff>
    </xdr:from>
    <xdr:to>
      <xdr:col>9</xdr:col>
      <xdr:colOff>1095375</xdr:colOff>
      <xdr:row>6</xdr:row>
      <xdr:rowOff>179614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13525374" y="881000"/>
          <a:ext cx="212274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/>
            <a:t>В</a:t>
          </a:r>
          <a:endParaRPr lang="ru-RU" sz="1100"/>
        </a:p>
      </xdr:txBody>
    </xdr:sp>
    <xdr:clientData/>
  </xdr:twoCellAnchor>
  <xdr:twoCellAnchor>
    <xdr:from>
      <xdr:col>10</xdr:col>
      <xdr:colOff>81644</xdr:colOff>
      <xdr:row>6</xdr:row>
      <xdr:rowOff>27215</xdr:rowOff>
    </xdr:from>
    <xdr:to>
      <xdr:col>13</xdr:col>
      <xdr:colOff>595313</xdr:colOff>
      <xdr:row>53</xdr:row>
      <xdr:rowOff>55345</xdr:rowOff>
    </xdr:to>
    <xdr:graphicFrame macro="">
      <xdr:nvGraphicFramePr>
        <xdr:cNvPr id="28" name="Диаграмма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216113</xdr:colOff>
      <xdr:row>5</xdr:row>
      <xdr:rowOff>72038</xdr:rowOff>
    </xdr:from>
    <xdr:to>
      <xdr:col>10</xdr:col>
      <xdr:colOff>86445</xdr:colOff>
      <xdr:row>6</xdr:row>
      <xdr:rowOff>153681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3194840" y="868674"/>
          <a:ext cx="199378" cy="4106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/>
            <a:t>З</a:t>
          </a:r>
          <a:endParaRPr lang="ru-RU" sz="1100"/>
        </a:p>
      </xdr:txBody>
    </xdr:sp>
    <xdr:clientData/>
  </xdr:twoCellAnchor>
  <xdr:twoCellAnchor>
    <xdr:from>
      <xdr:col>13</xdr:col>
      <xdr:colOff>883101</xdr:colOff>
      <xdr:row>5</xdr:row>
      <xdr:rowOff>84364</xdr:rowOff>
    </xdr:from>
    <xdr:to>
      <xdr:col>13</xdr:col>
      <xdr:colOff>1095375</xdr:colOff>
      <xdr:row>6</xdr:row>
      <xdr:rowOff>179614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6009283" y="881000"/>
          <a:ext cx="107499" cy="4242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 sz="1100"/>
        </a:p>
      </xdr:txBody>
    </xdr:sp>
    <xdr:clientData/>
  </xdr:twoCellAnchor>
  <xdr:twoCellAnchor>
    <xdr:from>
      <xdr:col>52</xdr:col>
      <xdr:colOff>204107</xdr:colOff>
      <xdr:row>18</xdr:row>
      <xdr:rowOff>2722</xdr:rowOff>
    </xdr:from>
    <xdr:to>
      <xdr:col>55</xdr:col>
      <xdr:colOff>179615</xdr:colOff>
      <xdr:row>29</xdr:row>
      <xdr:rowOff>16328</xdr:rowOff>
    </xdr:to>
    <xdr:sp macro="" textlink="">
      <xdr:nvSpPr>
        <xdr:cNvPr id="31" name="Овал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2888464" y="3622222"/>
          <a:ext cx="2139044" cy="2109106"/>
        </a:xfrm>
        <a:prstGeom prst="ellipse">
          <a:avLst/>
        </a:prstGeom>
        <a:noFill/>
        <a:ln w="3175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214312</xdr:colOff>
      <xdr:row>56</xdr:row>
      <xdr:rowOff>142875</xdr:rowOff>
    </xdr:from>
    <xdr:to>
      <xdr:col>5</xdr:col>
      <xdr:colOff>309269</xdr:colOff>
      <xdr:row>103</xdr:row>
      <xdr:rowOff>11799</xdr:rowOff>
    </xdr:to>
    <xdr:graphicFrame macro="">
      <xdr:nvGraphicFramePr>
        <xdr:cNvPr id="32" name="Диаграмма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showRuler="0" showWhiteSpace="0" topLeftCell="A13" zoomScale="160" zoomScaleNormal="160" zoomScalePageLayoutView="55" workbookViewId="0">
      <selection activeCell="L71" sqref="L71"/>
    </sheetView>
  </sheetViews>
  <sheetFormatPr defaultColWidth="9.1328125" defaultRowHeight="15" x14ac:dyDescent="0.4"/>
  <cols>
    <col min="1" max="4" width="9.1328125" style="3"/>
    <col min="5" max="5" width="8.3984375" style="3" customWidth="1"/>
    <col min="6" max="6" width="4.86328125" style="3" customWidth="1"/>
    <col min="7" max="9" width="9.1328125" style="3"/>
    <col min="10" max="14" width="14.86328125" style="3" customWidth="1"/>
    <col min="15" max="15" width="6.86328125" style="3" customWidth="1"/>
    <col min="16" max="20" width="9.1328125" style="3"/>
    <col min="21" max="21" width="3.73046875" style="3" customWidth="1"/>
    <col min="22" max="22" width="11" style="3" customWidth="1"/>
    <col min="23" max="24" width="9.1328125" style="3"/>
    <col min="25" max="25" width="19.59765625" style="3" customWidth="1"/>
    <col min="26" max="26" width="1.59765625" style="3" customWidth="1"/>
    <col min="27" max="31" width="9.1328125" style="3"/>
    <col min="32" max="32" width="12.59765625" style="3" customWidth="1"/>
    <col min="33" max="35" width="9.1328125" style="3"/>
    <col min="36" max="36" width="6.86328125" style="3" customWidth="1"/>
    <col min="37" max="38" width="3" style="3" customWidth="1"/>
    <col min="39" max="48" width="9.86328125" style="3" customWidth="1"/>
    <col min="49" max="49" width="1.3984375" style="3" customWidth="1"/>
    <col min="50" max="59" width="10.73046875" style="3" customWidth="1"/>
    <col min="60" max="16384" width="9.1328125" style="3"/>
  </cols>
  <sheetData>
    <row r="1" spans="1:59" ht="15.4" thickBot="1" x14ac:dyDescent="0.45"/>
    <row r="2" spans="1:59" ht="17.649999999999999" x14ac:dyDescent="0.5">
      <c r="A2" s="19"/>
      <c r="B2" s="20"/>
      <c r="C2" s="20"/>
      <c r="D2" s="21"/>
      <c r="E2" s="22" t="s">
        <v>23</v>
      </c>
      <c r="F2" s="50">
        <v>13</v>
      </c>
      <c r="G2" s="50"/>
      <c r="H2" s="20"/>
      <c r="I2" s="20"/>
      <c r="J2" s="20"/>
      <c r="K2" s="20"/>
      <c r="L2" s="20"/>
      <c r="M2" s="20"/>
      <c r="N2" s="23"/>
      <c r="P2" s="19"/>
      <c r="Q2" s="20"/>
      <c r="R2" s="20"/>
      <c r="S2" s="21"/>
      <c r="T2" s="22" t="s">
        <v>23</v>
      </c>
      <c r="U2" s="50">
        <v>13</v>
      </c>
      <c r="V2" s="50"/>
      <c r="W2" s="20"/>
      <c r="X2" s="20"/>
      <c r="Y2" s="20"/>
      <c r="Z2" s="20"/>
      <c r="AA2" s="20"/>
      <c r="AB2" s="20"/>
      <c r="AC2" s="20"/>
      <c r="AD2" s="21"/>
      <c r="AE2" s="22"/>
      <c r="AF2" s="33"/>
      <c r="AG2" s="33"/>
      <c r="AH2" s="20"/>
      <c r="AI2" s="20"/>
      <c r="AJ2" s="20"/>
      <c r="AK2" s="23"/>
      <c r="AL2" s="25"/>
      <c r="AM2" s="19"/>
      <c r="AN2" s="20"/>
      <c r="AO2" s="21"/>
      <c r="AP2" s="22" t="s">
        <v>23</v>
      </c>
      <c r="AQ2" s="33">
        <f>U2</f>
        <v>13</v>
      </c>
      <c r="AR2" s="33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3"/>
    </row>
    <row r="3" spans="1:59" ht="15" customHeight="1" x14ac:dyDescent="0.4">
      <c r="A3" s="24"/>
      <c r="B3" s="25"/>
      <c r="C3" s="25"/>
      <c r="D3" s="25"/>
      <c r="E3" s="26" t="s">
        <v>190</v>
      </c>
      <c r="F3" s="51">
        <v>45517</v>
      </c>
      <c r="G3" s="51"/>
      <c r="H3" s="36"/>
      <c r="I3" s="36"/>
      <c r="J3" s="36"/>
      <c r="K3" s="27"/>
      <c r="L3" s="27"/>
      <c r="M3" s="27"/>
      <c r="N3" s="28"/>
      <c r="P3" s="24"/>
      <c r="Q3" s="25"/>
      <c r="R3" s="25"/>
      <c r="S3" s="25"/>
      <c r="T3" s="26" t="s">
        <v>190</v>
      </c>
      <c r="U3" s="51">
        <v>45517</v>
      </c>
      <c r="V3" s="51"/>
      <c r="W3" s="36"/>
      <c r="X3" s="36"/>
      <c r="Y3" s="36"/>
      <c r="Z3" s="25"/>
      <c r="AA3" s="25"/>
      <c r="AB3" s="25"/>
      <c r="AC3" s="25"/>
      <c r="AD3" s="25"/>
      <c r="AE3" s="26" t="s">
        <v>190</v>
      </c>
      <c r="AF3" s="46">
        <f>U3</f>
        <v>45517</v>
      </c>
      <c r="AG3" s="46"/>
      <c r="AH3" s="35"/>
      <c r="AI3" s="35"/>
      <c r="AJ3" s="35"/>
      <c r="AK3" s="29"/>
      <c r="AL3" s="25"/>
      <c r="AM3" s="24"/>
      <c r="AN3" s="25"/>
      <c r="AO3" s="25"/>
      <c r="AP3" s="26" t="s">
        <v>190</v>
      </c>
      <c r="AQ3" s="46">
        <f>U3</f>
        <v>45517</v>
      </c>
      <c r="AR3" s="46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9"/>
    </row>
    <row r="4" spans="1:59" x14ac:dyDescent="0.4">
      <c r="A4" s="24"/>
      <c r="B4" s="25"/>
      <c r="C4" s="25"/>
      <c r="D4" s="25"/>
      <c r="E4" s="25"/>
      <c r="F4" s="25"/>
      <c r="G4" s="25"/>
      <c r="H4" s="36"/>
      <c r="I4" s="36"/>
      <c r="J4" s="36"/>
      <c r="K4" s="27"/>
      <c r="L4" s="27"/>
      <c r="M4" s="27"/>
      <c r="N4" s="28"/>
      <c r="P4" s="24"/>
      <c r="Q4" s="25"/>
      <c r="R4" s="25"/>
      <c r="S4" s="25"/>
      <c r="T4" s="25"/>
      <c r="U4" s="25"/>
      <c r="V4" s="25"/>
      <c r="W4" s="36"/>
      <c r="X4" s="36"/>
      <c r="Y4" s="36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9"/>
      <c r="AL4" s="25"/>
      <c r="AM4" s="24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9"/>
    </row>
    <row r="5" spans="1:59" ht="15" customHeight="1" x14ac:dyDescent="0.4">
      <c r="A5" s="47" t="s">
        <v>198</v>
      </c>
      <c r="B5" s="48"/>
      <c r="C5" s="48"/>
      <c r="D5" s="48"/>
      <c r="E5" s="48"/>
      <c r="F5" s="48"/>
      <c r="G5" s="48" t="s">
        <v>199</v>
      </c>
      <c r="H5" s="48"/>
      <c r="I5" s="48"/>
      <c r="J5" s="48"/>
      <c r="K5" s="48" t="s">
        <v>200</v>
      </c>
      <c r="L5" s="48"/>
      <c r="M5" s="48"/>
      <c r="N5" s="49"/>
      <c r="P5" s="47" t="s">
        <v>24</v>
      </c>
      <c r="Q5" s="48"/>
      <c r="R5" s="48"/>
      <c r="S5" s="48"/>
      <c r="T5" s="48"/>
      <c r="U5" s="48"/>
      <c r="V5" s="48" t="s">
        <v>25</v>
      </c>
      <c r="W5" s="48"/>
      <c r="X5" s="48"/>
      <c r="Y5" s="48"/>
      <c r="Z5" s="25"/>
      <c r="AA5" s="48" t="s">
        <v>26</v>
      </c>
      <c r="AB5" s="48"/>
      <c r="AC5" s="48"/>
      <c r="AD5" s="48"/>
      <c r="AE5" s="48"/>
      <c r="AF5" s="52" t="s">
        <v>27</v>
      </c>
      <c r="AG5" s="52"/>
      <c r="AH5" s="52"/>
      <c r="AI5" s="52"/>
      <c r="AJ5" s="52"/>
      <c r="AK5" s="29"/>
      <c r="AL5" s="25"/>
      <c r="AM5" s="24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9"/>
    </row>
    <row r="6" spans="1:59" ht="25.5" customHeight="1" x14ac:dyDescent="0.4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9"/>
      <c r="P6" s="47"/>
      <c r="Q6" s="48"/>
      <c r="R6" s="48"/>
      <c r="S6" s="48"/>
      <c r="T6" s="48"/>
      <c r="U6" s="48"/>
      <c r="V6" s="48"/>
      <c r="W6" s="48"/>
      <c r="X6" s="48"/>
      <c r="Y6" s="48"/>
      <c r="Z6" s="25"/>
      <c r="AA6" s="48"/>
      <c r="AB6" s="48"/>
      <c r="AC6" s="48"/>
      <c r="AD6" s="48"/>
      <c r="AE6" s="48"/>
      <c r="AF6" s="52"/>
      <c r="AG6" s="52"/>
      <c r="AH6" s="52"/>
      <c r="AI6" s="52"/>
      <c r="AJ6" s="52"/>
      <c r="AK6" s="29"/>
      <c r="AL6" s="25"/>
      <c r="AM6" s="24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9"/>
    </row>
    <row r="7" spans="1:59" x14ac:dyDescent="0.4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9"/>
      <c r="P7" s="24"/>
      <c r="Q7" s="25"/>
      <c r="R7" s="25"/>
      <c r="S7" s="25"/>
      <c r="T7" s="25"/>
      <c r="U7" s="25"/>
      <c r="V7" s="25"/>
      <c r="W7" s="25"/>
      <c r="X7" s="25"/>
      <c r="Y7" s="25"/>
      <c r="Z7" s="25"/>
      <c r="AA7" s="34"/>
      <c r="AB7" s="34"/>
      <c r="AC7" s="34"/>
      <c r="AD7" s="34"/>
      <c r="AE7" s="34"/>
      <c r="AF7" s="34"/>
      <c r="AG7" s="25"/>
      <c r="AH7" s="25"/>
      <c r="AI7" s="25"/>
      <c r="AJ7" s="25"/>
      <c r="AK7" s="29"/>
      <c r="AL7" s="25"/>
      <c r="AM7" s="24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9"/>
    </row>
    <row r="8" spans="1:59" x14ac:dyDescent="0.4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9"/>
      <c r="P8" s="24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9"/>
      <c r="AL8" s="25"/>
      <c r="AM8" s="24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9"/>
    </row>
    <row r="9" spans="1:59" x14ac:dyDescent="0.4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9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9"/>
      <c r="AL9" s="25"/>
      <c r="AM9" s="24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9"/>
    </row>
    <row r="10" spans="1:59" x14ac:dyDescent="0.4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9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9"/>
      <c r="AL10" s="25"/>
      <c r="AM10" s="24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9"/>
    </row>
    <row r="11" spans="1:59" x14ac:dyDescent="0.4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9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9"/>
      <c r="AL11" s="25"/>
      <c r="AM11" s="24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9"/>
    </row>
    <row r="12" spans="1:59" x14ac:dyDescent="0.4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9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9"/>
      <c r="AL12" s="25"/>
      <c r="AM12" s="24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9"/>
    </row>
    <row r="13" spans="1:59" x14ac:dyDescent="0.4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9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9"/>
      <c r="AL13" s="25"/>
      <c r="AM13" s="24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9"/>
    </row>
    <row r="14" spans="1:59" x14ac:dyDescent="0.4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9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9"/>
      <c r="AL14" s="25"/>
      <c r="AM14" s="24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9"/>
    </row>
    <row r="15" spans="1:59" x14ac:dyDescent="0.4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9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9"/>
      <c r="AL15" s="25"/>
      <c r="AM15" s="24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9"/>
    </row>
    <row r="16" spans="1:59" x14ac:dyDescent="0.4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9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9"/>
      <c r="AL16" s="25"/>
      <c r="AM16" s="24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9"/>
    </row>
    <row r="17" spans="1:59" x14ac:dyDescent="0.4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9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9"/>
      <c r="AL17" s="25"/>
      <c r="AM17" s="24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9"/>
    </row>
    <row r="18" spans="1:59" x14ac:dyDescent="0.4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9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9"/>
      <c r="AL18" s="25"/>
      <c r="AM18" s="24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9"/>
    </row>
    <row r="19" spans="1:59" x14ac:dyDescent="0.4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9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9"/>
      <c r="AL19" s="25"/>
      <c r="AM19" s="24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9"/>
    </row>
    <row r="20" spans="1:59" x14ac:dyDescent="0.4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9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9"/>
      <c r="AL20" s="25"/>
      <c r="AM20" s="24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9"/>
    </row>
    <row r="21" spans="1:59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9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9"/>
      <c r="AL21" s="25"/>
      <c r="AM21" s="24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9"/>
    </row>
    <row r="22" spans="1:59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9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9"/>
      <c r="AL22" s="25"/>
      <c r="AM22" s="24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9"/>
    </row>
    <row r="23" spans="1:59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9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9"/>
      <c r="AL23" s="25"/>
      <c r="AM23" s="24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9"/>
    </row>
    <row r="24" spans="1:59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9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9"/>
      <c r="AL24" s="25"/>
      <c r="AM24" s="24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9"/>
    </row>
    <row r="25" spans="1:59" x14ac:dyDescent="0.4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9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9"/>
      <c r="AL25" s="25"/>
      <c r="AM25" s="24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9"/>
    </row>
    <row r="26" spans="1:59" x14ac:dyDescent="0.4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9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9"/>
      <c r="AL26" s="25"/>
      <c r="AM26" s="24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9"/>
    </row>
    <row r="27" spans="1:59" x14ac:dyDescent="0.4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9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9"/>
      <c r="AL27" s="25"/>
      <c r="AM27" s="24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9"/>
    </row>
    <row r="28" spans="1:59" x14ac:dyDescent="0.4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9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9"/>
      <c r="AL28" s="25"/>
      <c r="AM28" s="24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9"/>
    </row>
    <row r="29" spans="1:59" x14ac:dyDescent="0.4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9"/>
      <c r="P29" s="24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9"/>
      <c r="AL29" s="25"/>
      <c r="AM29" s="24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9"/>
    </row>
    <row r="30" spans="1:59" x14ac:dyDescent="0.4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9"/>
      <c r="P30" s="24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9"/>
      <c r="AL30" s="25"/>
      <c r="AM30" s="24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9"/>
    </row>
    <row r="31" spans="1:59" x14ac:dyDescent="0.4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9"/>
      <c r="P31" s="24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9"/>
      <c r="AL31" s="25"/>
      <c r="AM31" s="24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9"/>
    </row>
    <row r="32" spans="1:59" x14ac:dyDescent="0.4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9"/>
      <c r="P32" s="24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9"/>
      <c r="AL32" s="25"/>
      <c r="AM32" s="24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9"/>
    </row>
    <row r="33" spans="1:59" x14ac:dyDescent="0.4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9"/>
      <c r="P33" s="24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9"/>
      <c r="AL33" s="25"/>
      <c r="AM33" s="24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9"/>
    </row>
    <row r="34" spans="1:59" x14ac:dyDescent="0.4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9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9"/>
      <c r="AL34" s="25"/>
      <c r="AM34" s="24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9"/>
    </row>
    <row r="35" spans="1:59" x14ac:dyDescent="0.4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9"/>
      <c r="P35" s="24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9"/>
      <c r="AL35" s="25"/>
      <c r="AM35" s="24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9"/>
    </row>
    <row r="36" spans="1:59" x14ac:dyDescent="0.4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9"/>
      <c r="P36" s="24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9"/>
      <c r="AL36" s="25"/>
      <c r="AM36" s="24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9"/>
    </row>
    <row r="37" spans="1:59" x14ac:dyDescent="0.4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9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9"/>
      <c r="AL37" s="25"/>
      <c r="AM37" s="24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9"/>
    </row>
    <row r="38" spans="1:59" x14ac:dyDescent="0.4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9"/>
      <c r="P38" s="24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9"/>
      <c r="AL38" s="25"/>
      <c r="AM38" s="24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9"/>
    </row>
    <row r="39" spans="1:59" x14ac:dyDescent="0.4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9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9"/>
      <c r="AL39" s="25"/>
      <c r="AM39" s="24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9"/>
    </row>
    <row r="40" spans="1:59" x14ac:dyDescent="0.4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9"/>
      <c r="P40" s="24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9"/>
      <c r="AL40" s="25"/>
      <c r="AM40" s="24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9"/>
    </row>
    <row r="41" spans="1:59" x14ac:dyDescent="0.4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9"/>
      <c r="P41" s="24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9"/>
      <c r="AL41" s="25"/>
      <c r="AM41" s="24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9"/>
    </row>
    <row r="42" spans="1:59" x14ac:dyDescent="0.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9"/>
      <c r="P42" s="24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9"/>
      <c r="AL42" s="25"/>
      <c r="AM42" s="24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9"/>
    </row>
    <row r="43" spans="1:59" x14ac:dyDescent="0.4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9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9"/>
      <c r="AL43" s="25"/>
      <c r="AM43" s="24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9"/>
    </row>
    <row r="44" spans="1:59" x14ac:dyDescent="0.4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9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9"/>
      <c r="AL44" s="25"/>
      <c r="AM44" s="24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9"/>
    </row>
    <row r="45" spans="1:59" x14ac:dyDescent="0.4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9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9"/>
      <c r="AL45" s="25"/>
      <c r="AM45" s="24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9"/>
    </row>
    <row r="46" spans="1:59" x14ac:dyDescent="0.4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9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9"/>
      <c r="AL46" s="25"/>
      <c r="AM46" s="24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9"/>
    </row>
    <row r="47" spans="1:59" x14ac:dyDescent="0.4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9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9"/>
      <c r="AL47" s="25"/>
      <c r="AM47" s="24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9"/>
    </row>
    <row r="48" spans="1:59" x14ac:dyDescent="0.4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9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9"/>
      <c r="AL48" s="25"/>
      <c r="AM48" s="24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9"/>
    </row>
    <row r="49" spans="1:59" x14ac:dyDescent="0.4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9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9"/>
      <c r="AL49" s="25"/>
      <c r="AM49" s="24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9"/>
    </row>
    <row r="50" spans="1:59" x14ac:dyDescent="0.4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9"/>
      <c r="P50" s="24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9"/>
      <c r="AL50" s="25"/>
      <c r="AM50" s="24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9"/>
    </row>
    <row r="51" spans="1:59" x14ac:dyDescent="0.4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9"/>
      <c r="P51" s="24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9"/>
      <c r="AL51" s="25"/>
      <c r="AM51" s="24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9"/>
    </row>
    <row r="52" spans="1:59" x14ac:dyDescent="0.4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9"/>
      <c r="P52" s="24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9"/>
      <c r="AL52" s="25"/>
      <c r="AM52" s="24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9"/>
    </row>
    <row r="53" spans="1:59" x14ac:dyDescent="0.4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9"/>
      <c r="P53" s="24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9"/>
      <c r="AL53" s="25"/>
      <c r="AM53" s="24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9"/>
    </row>
    <row r="54" spans="1:59" ht="15.4" thickBot="1" x14ac:dyDescent="0.45">
      <c r="A54" s="30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2"/>
      <c r="P54" s="30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2"/>
      <c r="AL54" s="25"/>
      <c r="AM54" s="30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2"/>
    </row>
  </sheetData>
  <mergeCells count="13">
    <mergeCell ref="AQ3:AR3"/>
    <mergeCell ref="A5:F6"/>
    <mergeCell ref="K5:N6"/>
    <mergeCell ref="AF3:AG3"/>
    <mergeCell ref="U2:V2"/>
    <mergeCell ref="F2:G2"/>
    <mergeCell ref="F3:G3"/>
    <mergeCell ref="G5:J6"/>
    <mergeCell ref="AA5:AE6"/>
    <mergeCell ref="AF5:AJ6"/>
    <mergeCell ref="U3:V3"/>
    <mergeCell ref="P5:U6"/>
    <mergeCell ref="V5:Y6"/>
  </mergeCells>
  <printOptions horizontalCentered="1"/>
  <pageMargins left="0.23622047244094491" right="0.23622047244094491" top="2.976190476190476E-2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5"/>
  <sheetViews>
    <sheetView tabSelected="1" zoomScaleNormal="100" workbookViewId="0">
      <pane ySplit="2" topLeftCell="A111" activePane="bottomLeft" state="frozen"/>
      <selection pane="bottomLeft" activeCell="H127" sqref="H127"/>
    </sheetView>
  </sheetViews>
  <sheetFormatPr defaultRowHeight="14.25" x14ac:dyDescent="0.45"/>
  <cols>
    <col min="1" max="3" width="9.1328125" style="16"/>
    <col min="4" max="4" width="9.1328125" style="16" customWidth="1"/>
    <col min="5" max="5" width="9.1328125" style="59"/>
    <col min="6" max="7" width="9.1328125" style="16"/>
    <col min="8" max="8" width="13.1328125" style="16" customWidth="1"/>
    <col min="9" max="9" width="9.1328125" style="59"/>
    <col min="10" max="10" width="9.59765625" style="16" customWidth="1"/>
    <col min="11" max="11" width="9.1328125" style="16"/>
    <col min="12" max="12" width="8.86328125" style="16" customWidth="1"/>
    <col min="13" max="13" width="10.265625" style="16" bestFit="1" customWidth="1"/>
    <col min="14" max="14" width="12" style="16" bestFit="1" customWidth="1"/>
    <col min="15" max="15" width="12" style="16" customWidth="1"/>
    <col min="16" max="16" width="12" style="16" bestFit="1" customWidth="1"/>
    <col min="17" max="18" width="12.73046875" style="16" bestFit="1" customWidth="1"/>
    <col min="19" max="19" width="12" style="16" hidden="1" customWidth="1"/>
    <col min="20" max="20" width="9.1328125" style="16"/>
  </cols>
  <sheetData>
    <row r="1" spans="1:20" x14ac:dyDescent="0.45">
      <c r="B1" s="53" t="s">
        <v>204</v>
      </c>
      <c r="C1" s="53"/>
      <c r="D1" s="53"/>
      <c r="E1" s="53"/>
      <c r="F1" s="53"/>
      <c r="G1" s="53"/>
      <c r="H1" s="53"/>
      <c r="I1" s="53"/>
      <c r="K1" s="16" t="s">
        <v>1</v>
      </c>
      <c r="L1" s="18">
        <v>180</v>
      </c>
    </row>
    <row r="2" spans="1:20" ht="99.75" x14ac:dyDescent="0.45">
      <c r="A2" s="37" t="s">
        <v>2</v>
      </c>
      <c r="B2" s="9" t="s">
        <v>99</v>
      </c>
      <c r="C2" s="9" t="s">
        <v>100</v>
      </c>
      <c r="D2" s="10" t="s">
        <v>101</v>
      </c>
      <c r="E2" s="62" t="s">
        <v>102</v>
      </c>
      <c r="F2" s="9" t="s">
        <v>187</v>
      </c>
      <c r="G2" s="9" t="s">
        <v>188</v>
      </c>
      <c r="H2" s="10" t="s">
        <v>189</v>
      </c>
      <c r="I2" s="62" t="s">
        <v>186</v>
      </c>
      <c r="J2" s="10" t="s">
        <v>191</v>
      </c>
      <c r="K2" s="10" t="s">
        <v>192</v>
      </c>
      <c r="L2" s="10" t="s">
        <v>193</v>
      </c>
      <c r="M2" s="15" t="s">
        <v>17</v>
      </c>
      <c r="N2" s="15" t="s">
        <v>18</v>
      </c>
      <c r="O2" s="15" t="s">
        <v>197</v>
      </c>
      <c r="P2" s="14" t="s">
        <v>19</v>
      </c>
      <c r="Q2" s="14" t="s">
        <v>20</v>
      </c>
      <c r="R2" s="14" t="s">
        <v>21</v>
      </c>
      <c r="S2" s="14"/>
      <c r="T2" s="14" t="s">
        <v>22</v>
      </c>
    </row>
    <row r="3" spans="1:20" x14ac:dyDescent="0.45">
      <c r="A3" s="43">
        <v>0</v>
      </c>
      <c r="B3" s="44">
        <v>-1896.5</v>
      </c>
      <c r="C3" s="44">
        <v>-5592.9</v>
      </c>
      <c r="D3" s="8">
        <f t="shared" ref="D3:D34" si="0">(B3-C3)/2</f>
        <v>1848.1999999999998</v>
      </c>
      <c r="E3" s="61">
        <f t="shared" ref="E3:E53" si="1">0.5*SIN(D3/3600*PI()/180)*1000+E4</f>
        <v>-712.54381060609808</v>
      </c>
      <c r="F3" s="5">
        <v>-937.8</v>
      </c>
      <c r="G3" s="44">
        <v>3616.3</v>
      </c>
      <c r="H3" s="8">
        <f t="shared" ref="H3:H34" si="2">(F3-G3)/2</f>
        <v>-2277.0500000000002</v>
      </c>
      <c r="I3" s="61">
        <f t="shared" ref="I3:I52" si="3">0.5*SIN(H3/3600*PI()/180)*1000+I4</f>
        <v>586.70140040642139</v>
      </c>
      <c r="J3" s="43">
        <f t="shared" ref="J3:J52" si="4">SQRT(E3^2+I3^2)</f>
        <v>923.0044502990844</v>
      </c>
      <c r="K3" s="43">
        <f t="shared" ref="K3:K33" si="5">IF(E3&gt;=0,180-DEGREES(ASIN(-I3/J3)),IF(E3&lt;0,DEGREES(ASIN(-I3/J3)),360-DEGREES(ASIN(I3/J3))))</f>
        <v>-39.467697547228056</v>
      </c>
      <c r="L3" s="43">
        <f t="shared" ref="L3:L52" si="6">IF((K3+$L$1)&lt;=360,K3+$L$1,K3+$L$1-360)</f>
        <v>140.53230245277194</v>
      </c>
      <c r="M3" s="43">
        <f t="shared" ref="M3:M34" si="7">J3*COS(RADIANS(L3))</f>
        <v>-712.54381060609796</v>
      </c>
      <c r="N3" s="43">
        <f t="shared" ref="N3:N34" si="8">J3*SIN(RADIANS(L3))</f>
        <v>586.70140040642161</v>
      </c>
      <c r="O3" s="43">
        <f>SQRT(N3^2+M3^2)</f>
        <v>923.00445029908451</v>
      </c>
      <c r="P3" s="43">
        <f t="shared" ref="P3:P52" si="9">M3</f>
        <v>-712.54381060609796</v>
      </c>
      <c r="Q3" s="43">
        <f t="shared" ref="Q3:Q52" si="10">N3</f>
        <v>586.70140040642161</v>
      </c>
      <c r="R3" s="43">
        <f t="shared" ref="R3:R52" si="11">SQRT(P3^2+Q3^2)</f>
        <v>923.00445029908451</v>
      </c>
      <c r="S3" s="43">
        <f t="shared" ref="S3:S52" si="12">IF(R3=0,0,IF(P3&gt;=0,DEGREES(ASIN(Q3/R3)),(180-DEGREES(ASIN(Q3/R3)))))</f>
        <v>140.53230245277192</v>
      </c>
      <c r="T3" s="43">
        <f t="shared" ref="T3:T52" si="13">IF(S3&lt;0,360+S3,S3)</f>
        <v>140.53230245277192</v>
      </c>
    </row>
    <row r="4" spans="1:20" x14ac:dyDescent="0.45">
      <c r="A4" s="43">
        <v>0.5</v>
      </c>
      <c r="B4" s="44">
        <v>-2364.1999999999998</v>
      </c>
      <c r="C4" s="44">
        <v>-7831.4</v>
      </c>
      <c r="D4" s="8">
        <f t="shared" si="0"/>
        <v>2733.6</v>
      </c>
      <c r="E4" s="61">
        <f t="shared" si="1"/>
        <v>-717.02391388332501</v>
      </c>
      <c r="F4" s="5">
        <v>-386.7</v>
      </c>
      <c r="G4" s="44">
        <v>5773.3</v>
      </c>
      <c r="H4" s="8">
        <f t="shared" si="2"/>
        <v>-3080</v>
      </c>
      <c r="I4" s="61">
        <f t="shared" si="3"/>
        <v>592.22101325564506</v>
      </c>
      <c r="J4" s="43">
        <f t="shared" si="4"/>
        <v>929.97259186607471</v>
      </c>
      <c r="K4" s="43">
        <f t="shared" si="5"/>
        <v>-39.55477131041819</v>
      </c>
      <c r="L4" s="43">
        <f t="shared" si="6"/>
        <v>140.44522868958182</v>
      </c>
      <c r="M4" s="43">
        <f t="shared" si="7"/>
        <v>-717.02391388332524</v>
      </c>
      <c r="N4" s="43">
        <f t="shared" si="8"/>
        <v>592.22101325564472</v>
      </c>
      <c r="O4" s="43">
        <f t="shared" ref="O4:O54" si="14">SQRT(N4^2+M4^2)</f>
        <v>929.97259186607471</v>
      </c>
      <c r="P4" s="43">
        <f t="shared" si="9"/>
        <v>-717.02391388332524</v>
      </c>
      <c r="Q4" s="43">
        <f t="shared" si="10"/>
        <v>592.22101325564472</v>
      </c>
      <c r="R4" s="43">
        <f t="shared" si="11"/>
        <v>929.97259186607471</v>
      </c>
      <c r="S4" s="43">
        <f t="shared" si="12"/>
        <v>140.44522868958182</v>
      </c>
      <c r="T4" s="43">
        <f t="shared" si="13"/>
        <v>140.44522868958182</v>
      </c>
    </row>
    <row r="5" spans="1:20" x14ac:dyDescent="0.45">
      <c r="A5" s="43">
        <v>1</v>
      </c>
      <c r="B5" s="44">
        <v>-3432.6</v>
      </c>
      <c r="C5" s="44">
        <v>-7218.9</v>
      </c>
      <c r="D5" s="8">
        <f t="shared" si="0"/>
        <v>1893.1499999999999</v>
      </c>
      <c r="E5" s="61">
        <f t="shared" si="1"/>
        <v>-723.65015330232086</v>
      </c>
      <c r="F5" s="5">
        <v>598.5</v>
      </c>
      <c r="G5" s="44">
        <v>5387.3</v>
      </c>
      <c r="H5" s="8">
        <f t="shared" si="2"/>
        <v>-2394.4</v>
      </c>
      <c r="I5" s="61">
        <f t="shared" si="3"/>
        <v>599.68686649094161</v>
      </c>
      <c r="J5" s="43">
        <f t="shared" si="4"/>
        <v>939.83715728640834</v>
      </c>
      <c r="K5" s="43">
        <f t="shared" si="5"/>
        <v>-39.648447972657827</v>
      </c>
      <c r="L5" s="43">
        <f t="shared" si="6"/>
        <v>140.35155202734217</v>
      </c>
      <c r="M5" s="43">
        <f t="shared" si="7"/>
        <v>-723.65015330232075</v>
      </c>
      <c r="N5" s="43">
        <f t="shared" si="8"/>
        <v>599.68686649094184</v>
      </c>
      <c r="O5" s="43">
        <f t="shared" si="14"/>
        <v>939.83715728640834</v>
      </c>
      <c r="P5" s="43">
        <f t="shared" si="9"/>
        <v>-723.65015330232075</v>
      </c>
      <c r="Q5" s="43">
        <f t="shared" si="10"/>
        <v>599.68686649094184</v>
      </c>
      <c r="R5" s="43">
        <f t="shared" si="11"/>
        <v>939.83715728640834</v>
      </c>
      <c r="S5" s="43">
        <f t="shared" si="12"/>
        <v>140.35155202734217</v>
      </c>
      <c r="T5" s="43">
        <f t="shared" si="13"/>
        <v>140.35155202734217</v>
      </c>
    </row>
    <row r="6" spans="1:20" x14ac:dyDescent="0.45">
      <c r="A6" s="43">
        <v>1.5</v>
      </c>
      <c r="B6" s="44">
        <v>-4867.3999999999996</v>
      </c>
      <c r="C6" s="44">
        <v>-6719.7</v>
      </c>
      <c r="D6" s="8">
        <f t="shared" si="0"/>
        <v>926.15000000000009</v>
      </c>
      <c r="E6" s="61">
        <f t="shared" si="1"/>
        <v>-728.23921397302672</v>
      </c>
      <c r="F6" s="5">
        <v>2158</v>
      </c>
      <c r="G6" s="44">
        <v>4850.3</v>
      </c>
      <c r="H6" s="8">
        <f t="shared" si="2"/>
        <v>-1346.15</v>
      </c>
      <c r="I6" s="61">
        <f t="shared" si="3"/>
        <v>605.49092552533079</v>
      </c>
      <c r="J6" s="43">
        <f t="shared" si="4"/>
        <v>947.07529461050433</v>
      </c>
      <c r="K6" s="43">
        <f t="shared" si="5"/>
        <v>-39.741663207183365</v>
      </c>
      <c r="L6" s="43">
        <f t="shared" si="6"/>
        <v>140.25833679281664</v>
      </c>
      <c r="M6" s="43">
        <f t="shared" si="7"/>
        <v>-728.23921397302684</v>
      </c>
      <c r="N6" s="43">
        <f t="shared" si="8"/>
        <v>605.49092552533079</v>
      </c>
      <c r="O6" s="43">
        <f t="shared" si="14"/>
        <v>947.07529461050444</v>
      </c>
      <c r="P6" s="43">
        <f t="shared" si="9"/>
        <v>-728.23921397302684</v>
      </c>
      <c r="Q6" s="43">
        <f t="shared" si="10"/>
        <v>605.49092552533079</v>
      </c>
      <c r="R6" s="43">
        <f t="shared" si="11"/>
        <v>947.07529461050444</v>
      </c>
      <c r="S6" s="43">
        <f t="shared" si="12"/>
        <v>140.25833679281664</v>
      </c>
      <c r="T6" s="43">
        <f t="shared" si="13"/>
        <v>140.25833679281664</v>
      </c>
    </row>
    <row r="7" spans="1:20" x14ac:dyDescent="0.45">
      <c r="A7" s="43">
        <v>2</v>
      </c>
      <c r="B7" s="44">
        <v>-5311.3</v>
      </c>
      <c r="C7" s="44">
        <v>-5929.4</v>
      </c>
      <c r="D7" s="8">
        <f t="shared" si="0"/>
        <v>309.04999999999973</v>
      </c>
      <c r="E7" s="61">
        <f t="shared" si="1"/>
        <v>-730.48425738308129</v>
      </c>
      <c r="F7" s="5">
        <v>2514.5</v>
      </c>
      <c r="G7" s="44">
        <v>4084.5</v>
      </c>
      <c r="H7" s="8">
        <f t="shared" si="2"/>
        <v>-785</v>
      </c>
      <c r="I7" s="61">
        <f t="shared" si="3"/>
        <v>608.75406204496596</v>
      </c>
      <c r="J7" s="43">
        <f t="shared" si="4"/>
        <v>950.88840477774158</v>
      </c>
      <c r="K7" s="43">
        <f t="shared" si="5"/>
        <v>-39.80636638155093</v>
      </c>
      <c r="L7" s="43">
        <f t="shared" si="6"/>
        <v>140.19363361844907</v>
      </c>
      <c r="M7" s="43">
        <f t="shared" si="7"/>
        <v>-730.48425738308151</v>
      </c>
      <c r="N7" s="43">
        <f t="shared" si="8"/>
        <v>608.75406204496585</v>
      </c>
      <c r="O7" s="43">
        <f t="shared" si="14"/>
        <v>950.8884047777417</v>
      </c>
      <c r="P7" s="43">
        <f t="shared" si="9"/>
        <v>-730.48425738308151</v>
      </c>
      <c r="Q7" s="43">
        <f t="shared" si="10"/>
        <v>608.75406204496585</v>
      </c>
      <c r="R7" s="43">
        <f t="shared" si="11"/>
        <v>950.8884047777417</v>
      </c>
      <c r="S7" s="43">
        <f t="shared" si="12"/>
        <v>140.1936336184491</v>
      </c>
      <c r="T7" s="43">
        <f t="shared" si="13"/>
        <v>140.1936336184491</v>
      </c>
    </row>
    <row r="8" spans="1:20" x14ac:dyDescent="0.45">
      <c r="A8" s="43">
        <v>2.5</v>
      </c>
      <c r="B8" s="44">
        <v>-5808.5</v>
      </c>
      <c r="C8" s="44">
        <v>-5026.3</v>
      </c>
      <c r="D8" s="8">
        <f t="shared" si="0"/>
        <v>-391.09999999999991</v>
      </c>
      <c r="E8" s="61">
        <f t="shared" si="1"/>
        <v>-731.2334154435116</v>
      </c>
      <c r="F8" s="5">
        <v>2923.5</v>
      </c>
      <c r="G8" s="44">
        <v>3084.2</v>
      </c>
      <c r="H8" s="8">
        <f t="shared" si="2"/>
        <v>-80.349999999999909</v>
      </c>
      <c r="I8" s="61">
        <f t="shared" si="3"/>
        <v>610.65695114973323</v>
      </c>
      <c r="J8" s="43">
        <f t="shared" si="4"/>
        <v>952.68264382672101</v>
      </c>
      <c r="K8" s="43">
        <f t="shared" si="5"/>
        <v>-39.865438334462119</v>
      </c>
      <c r="L8" s="43">
        <f t="shared" si="6"/>
        <v>140.13456166553789</v>
      </c>
      <c r="M8" s="43">
        <f t="shared" si="7"/>
        <v>-731.23341544351172</v>
      </c>
      <c r="N8" s="43">
        <f t="shared" si="8"/>
        <v>610.65695114973312</v>
      </c>
      <c r="O8" s="43">
        <f t="shared" si="14"/>
        <v>952.68264382672101</v>
      </c>
      <c r="P8" s="43">
        <f t="shared" si="9"/>
        <v>-731.23341544351172</v>
      </c>
      <c r="Q8" s="43">
        <f t="shared" si="10"/>
        <v>610.65695114973312</v>
      </c>
      <c r="R8" s="43">
        <f t="shared" si="11"/>
        <v>952.68264382672101</v>
      </c>
      <c r="S8" s="43">
        <f t="shared" si="12"/>
        <v>140.13456166553789</v>
      </c>
      <c r="T8" s="43">
        <f t="shared" si="13"/>
        <v>140.13456166553789</v>
      </c>
    </row>
    <row r="9" spans="1:20" x14ac:dyDescent="0.45">
      <c r="A9" s="43">
        <v>3</v>
      </c>
      <c r="B9" s="44">
        <v>-6555.7</v>
      </c>
      <c r="C9" s="44">
        <v>-4151</v>
      </c>
      <c r="D9" s="8">
        <f t="shared" si="0"/>
        <v>-1202.3499999999999</v>
      </c>
      <c r="E9" s="61">
        <f t="shared" si="1"/>
        <v>-730.28536285817825</v>
      </c>
      <c r="F9" s="5">
        <v>3821.4</v>
      </c>
      <c r="G9" s="44">
        <v>2276.9</v>
      </c>
      <c r="H9" s="8">
        <f t="shared" si="2"/>
        <v>772.25</v>
      </c>
      <c r="I9" s="61">
        <f t="shared" si="3"/>
        <v>610.85172504119294</v>
      </c>
      <c r="J9" s="43">
        <f t="shared" si="4"/>
        <v>952.08011280075698</v>
      </c>
      <c r="K9" s="43">
        <f t="shared" si="5"/>
        <v>-39.911005607138272</v>
      </c>
      <c r="L9" s="43">
        <f t="shared" si="6"/>
        <v>140.08899439286174</v>
      </c>
      <c r="M9" s="43">
        <f t="shared" si="7"/>
        <v>-730.28536285817825</v>
      </c>
      <c r="N9" s="43">
        <f t="shared" si="8"/>
        <v>610.85172504119282</v>
      </c>
      <c r="O9" s="43">
        <f t="shared" si="14"/>
        <v>952.08011280075698</v>
      </c>
      <c r="P9" s="43">
        <f t="shared" si="9"/>
        <v>-730.28536285817825</v>
      </c>
      <c r="Q9" s="43">
        <f t="shared" si="10"/>
        <v>610.85172504119282</v>
      </c>
      <c r="R9" s="43">
        <f t="shared" si="11"/>
        <v>952.08011280075698</v>
      </c>
      <c r="S9" s="43">
        <f t="shared" si="12"/>
        <v>140.08899439286174</v>
      </c>
      <c r="T9" s="43">
        <f t="shared" si="13"/>
        <v>140.08899439286174</v>
      </c>
    </row>
    <row r="10" spans="1:20" x14ac:dyDescent="0.45">
      <c r="A10" s="43">
        <v>3.5</v>
      </c>
      <c r="B10" s="44">
        <v>-7445.6</v>
      </c>
      <c r="C10" s="44">
        <v>-3603.8</v>
      </c>
      <c r="D10" s="8">
        <f t="shared" si="0"/>
        <v>-1920.9</v>
      </c>
      <c r="E10" s="61">
        <f t="shared" si="1"/>
        <v>-727.37080071652088</v>
      </c>
      <c r="F10" s="5">
        <v>4826.1000000000004</v>
      </c>
      <c r="G10" s="44">
        <v>1606.5</v>
      </c>
      <c r="H10" s="8">
        <f t="shared" si="2"/>
        <v>1609.8000000000002</v>
      </c>
      <c r="I10" s="61">
        <f t="shared" si="3"/>
        <v>608.97974258838462</v>
      </c>
      <c r="J10" s="43">
        <f t="shared" si="4"/>
        <v>948.64356247117814</v>
      </c>
      <c r="K10" s="43">
        <f t="shared" si="5"/>
        <v>-39.937223308103015</v>
      </c>
      <c r="L10" s="43">
        <f t="shared" si="6"/>
        <v>140.062776691897</v>
      </c>
      <c r="M10" s="43">
        <f t="shared" si="7"/>
        <v>-727.37080071652099</v>
      </c>
      <c r="N10" s="43">
        <f t="shared" si="8"/>
        <v>608.97974258838451</v>
      </c>
      <c r="O10" s="43">
        <f t="shared" si="14"/>
        <v>948.64356247117814</v>
      </c>
      <c r="P10" s="43">
        <f t="shared" si="9"/>
        <v>-727.37080071652099</v>
      </c>
      <c r="Q10" s="43">
        <f t="shared" si="10"/>
        <v>608.97974258838451</v>
      </c>
      <c r="R10" s="43">
        <f t="shared" si="11"/>
        <v>948.64356247117814</v>
      </c>
      <c r="S10" s="43">
        <f t="shared" si="12"/>
        <v>140.062776691897</v>
      </c>
      <c r="T10" s="43">
        <f t="shared" si="13"/>
        <v>140.062776691897</v>
      </c>
    </row>
    <row r="11" spans="1:20" x14ac:dyDescent="0.45">
      <c r="A11" s="43">
        <v>4</v>
      </c>
      <c r="B11" s="44">
        <v>-6909.9</v>
      </c>
      <c r="C11" s="44">
        <v>-3436.8</v>
      </c>
      <c r="D11" s="8">
        <f t="shared" si="0"/>
        <v>-1736.5499999999997</v>
      </c>
      <c r="E11" s="61">
        <f t="shared" si="1"/>
        <v>-722.71447502260799</v>
      </c>
      <c r="F11" s="5">
        <v>3979</v>
      </c>
      <c r="G11" s="44">
        <v>1518.5</v>
      </c>
      <c r="H11" s="8">
        <f t="shared" si="2"/>
        <v>1230.25</v>
      </c>
      <c r="I11" s="61">
        <f t="shared" si="3"/>
        <v>605.07751688396434</v>
      </c>
      <c r="J11" s="43">
        <f t="shared" si="4"/>
        <v>942.56830725718123</v>
      </c>
      <c r="K11" s="43">
        <f t="shared" si="5"/>
        <v>-39.937046645142402</v>
      </c>
      <c r="L11" s="43">
        <f t="shared" si="6"/>
        <v>140.0629533548576</v>
      </c>
      <c r="M11" s="43">
        <f t="shared" si="7"/>
        <v>-722.71447502260787</v>
      </c>
      <c r="N11" s="43">
        <f t="shared" si="8"/>
        <v>605.07751688396445</v>
      </c>
      <c r="O11" s="43">
        <f t="shared" si="14"/>
        <v>942.56830725718123</v>
      </c>
      <c r="P11" s="43">
        <f t="shared" si="9"/>
        <v>-722.71447502260787</v>
      </c>
      <c r="Q11" s="43">
        <f t="shared" si="10"/>
        <v>605.07751688396445</v>
      </c>
      <c r="R11" s="43">
        <f t="shared" si="11"/>
        <v>942.56830725718123</v>
      </c>
      <c r="S11" s="43">
        <f t="shared" si="12"/>
        <v>140.0629533548576</v>
      </c>
      <c r="T11" s="43">
        <f t="shared" si="13"/>
        <v>140.0629533548576</v>
      </c>
    </row>
    <row r="12" spans="1:20" x14ac:dyDescent="0.45">
      <c r="A12" s="43">
        <v>4.5</v>
      </c>
      <c r="B12" s="44">
        <v>-5428.5</v>
      </c>
      <c r="C12" s="44">
        <v>-3307.3</v>
      </c>
      <c r="D12" s="8">
        <f t="shared" si="0"/>
        <v>-1060.5999999999999</v>
      </c>
      <c r="E12" s="61">
        <f t="shared" si="1"/>
        <v>-718.5050087612633</v>
      </c>
      <c r="F12" s="5">
        <v>2629.4</v>
      </c>
      <c r="G12" s="44">
        <v>1346.7</v>
      </c>
      <c r="H12" s="8">
        <f t="shared" si="2"/>
        <v>641.35</v>
      </c>
      <c r="I12" s="61">
        <f t="shared" si="3"/>
        <v>602.09532440968576</v>
      </c>
      <c r="J12" s="43">
        <f t="shared" si="4"/>
        <v>937.42638499832492</v>
      </c>
      <c r="K12" s="43">
        <f t="shared" si="5"/>
        <v>-39.962451375916878</v>
      </c>
      <c r="L12" s="43">
        <f t="shared" si="6"/>
        <v>140.03754862408312</v>
      </c>
      <c r="M12" s="43">
        <f t="shared" si="7"/>
        <v>-718.50500876126296</v>
      </c>
      <c r="N12" s="43">
        <f t="shared" si="8"/>
        <v>602.0953244096861</v>
      </c>
      <c r="O12" s="43">
        <f t="shared" si="14"/>
        <v>937.42638499832492</v>
      </c>
      <c r="P12" s="43">
        <f t="shared" si="9"/>
        <v>-718.50500876126296</v>
      </c>
      <c r="Q12" s="43">
        <f t="shared" si="10"/>
        <v>602.0953244096861</v>
      </c>
      <c r="R12" s="43">
        <f t="shared" si="11"/>
        <v>937.42638499832492</v>
      </c>
      <c r="S12" s="43">
        <f t="shared" si="12"/>
        <v>140.03754862408312</v>
      </c>
      <c r="T12" s="43">
        <f t="shared" si="13"/>
        <v>140.03754862408312</v>
      </c>
    </row>
    <row r="13" spans="1:20" x14ac:dyDescent="0.45">
      <c r="A13" s="43">
        <v>5</v>
      </c>
      <c r="B13" s="44">
        <v>-3640.7</v>
      </c>
      <c r="C13" s="44">
        <v>-3557.9</v>
      </c>
      <c r="D13" s="8">
        <f t="shared" si="0"/>
        <v>-41.399999999999864</v>
      </c>
      <c r="E13" s="61">
        <f t="shared" si="1"/>
        <v>-715.93405313949779</v>
      </c>
      <c r="F13" s="5">
        <v>903.9</v>
      </c>
      <c r="G13" s="44">
        <v>1645.4</v>
      </c>
      <c r="H13" s="8">
        <f t="shared" si="2"/>
        <v>-370.75000000000006</v>
      </c>
      <c r="I13" s="61">
        <f t="shared" si="3"/>
        <v>600.54065064290717</v>
      </c>
      <c r="J13" s="43">
        <f t="shared" si="4"/>
        <v>934.45740487159469</v>
      </c>
      <c r="K13" s="43">
        <f t="shared" si="5"/>
        <v>-39.990636638469219</v>
      </c>
      <c r="L13" s="43">
        <f t="shared" si="6"/>
        <v>140.00936336153077</v>
      </c>
      <c r="M13" s="43">
        <f t="shared" si="7"/>
        <v>-715.93405313949756</v>
      </c>
      <c r="N13" s="43">
        <f t="shared" si="8"/>
        <v>600.54065064290739</v>
      </c>
      <c r="O13" s="43">
        <f t="shared" si="14"/>
        <v>934.45740487159469</v>
      </c>
      <c r="P13" s="43">
        <f t="shared" si="9"/>
        <v>-715.93405313949756</v>
      </c>
      <c r="Q13" s="43">
        <f t="shared" si="10"/>
        <v>600.54065064290739</v>
      </c>
      <c r="R13" s="43">
        <f t="shared" si="11"/>
        <v>934.45740487159469</v>
      </c>
      <c r="S13" s="43">
        <f t="shared" si="12"/>
        <v>140.00936336153077</v>
      </c>
      <c r="T13" s="43">
        <f t="shared" si="13"/>
        <v>140.00936336153077</v>
      </c>
    </row>
    <row r="14" spans="1:20" x14ac:dyDescent="0.45">
      <c r="A14" s="43">
        <v>5.5</v>
      </c>
      <c r="B14" s="44">
        <v>-2168.3000000000002</v>
      </c>
      <c r="C14" s="44">
        <v>-3645.9</v>
      </c>
      <c r="D14" s="8">
        <f t="shared" si="0"/>
        <v>738.8</v>
      </c>
      <c r="E14" s="61">
        <f t="shared" si="1"/>
        <v>-715.83369670818195</v>
      </c>
      <c r="F14" s="5">
        <v>-647.6</v>
      </c>
      <c r="G14" s="44">
        <v>1688.3</v>
      </c>
      <c r="H14" s="8">
        <f t="shared" si="2"/>
        <v>-1167.95</v>
      </c>
      <c r="I14" s="61">
        <f t="shared" si="3"/>
        <v>601.43937352032924</v>
      </c>
      <c r="J14" s="43">
        <f t="shared" si="4"/>
        <v>934.95839552539849</v>
      </c>
      <c r="K14" s="43">
        <f t="shared" si="5"/>
        <v>-40.036784862949283</v>
      </c>
      <c r="L14" s="43">
        <f t="shared" si="6"/>
        <v>139.96321513705072</v>
      </c>
      <c r="M14" s="43">
        <f t="shared" si="7"/>
        <v>-715.83369670818195</v>
      </c>
      <c r="N14" s="43">
        <f t="shared" si="8"/>
        <v>601.43937352032913</v>
      </c>
      <c r="O14" s="43">
        <f t="shared" si="14"/>
        <v>934.95839552539837</v>
      </c>
      <c r="P14" s="43">
        <f t="shared" si="9"/>
        <v>-715.83369670818195</v>
      </c>
      <c r="Q14" s="43">
        <f t="shared" si="10"/>
        <v>601.43937352032913</v>
      </c>
      <c r="R14" s="43">
        <f t="shared" si="11"/>
        <v>934.95839552539837</v>
      </c>
      <c r="S14" s="43">
        <f t="shared" si="12"/>
        <v>139.96321513705072</v>
      </c>
      <c r="T14" s="43">
        <f t="shared" si="13"/>
        <v>139.96321513705072</v>
      </c>
    </row>
    <row r="15" spans="1:20" x14ac:dyDescent="0.45">
      <c r="A15" s="43">
        <v>6</v>
      </c>
      <c r="B15" s="44">
        <v>-1300.5999999999999</v>
      </c>
      <c r="C15" s="44">
        <v>-3492.1</v>
      </c>
      <c r="D15" s="8">
        <f t="shared" si="0"/>
        <v>1095.75</v>
      </c>
      <c r="E15" s="61">
        <f t="shared" si="1"/>
        <v>-717.62459461686228</v>
      </c>
      <c r="F15" s="5">
        <v>-1537.1</v>
      </c>
      <c r="G15" s="44">
        <v>1533.1</v>
      </c>
      <c r="H15" s="8">
        <f t="shared" si="2"/>
        <v>-1535.1</v>
      </c>
      <c r="I15" s="61">
        <f t="shared" si="3"/>
        <v>604.27054908540788</v>
      </c>
      <c r="J15" s="43">
        <f t="shared" si="4"/>
        <v>938.15134988497255</v>
      </c>
      <c r="K15" s="43">
        <f t="shared" si="5"/>
        <v>-40.09881006761568</v>
      </c>
      <c r="L15" s="43">
        <f t="shared" si="6"/>
        <v>139.90118993238431</v>
      </c>
      <c r="M15" s="43">
        <f t="shared" si="7"/>
        <v>-717.62459461686205</v>
      </c>
      <c r="N15" s="43">
        <f t="shared" si="8"/>
        <v>604.27054908540811</v>
      </c>
      <c r="O15" s="43">
        <f t="shared" si="14"/>
        <v>938.15134988497255</v>
      </c>
      <c r="P15" s="43">
        <f t="shared" si="9"/>
        <v>-717.62459461686205</v>
      </c>
      <c r="Q15" s="43">
        <f t="shared" si="10"/>
        <v>604.27054908540811</v>
      </c>
      <c r="R15" s="43">
        <f t="shared" si="11"/>
        <v>938.15134988497255</v>
      </c>
      <c r="S15" s="43">
        <f t="shared" si="12"/>
        <v>139.90118993238428</v>
      </c>
      <c r="T15" s="43">
        <f t="shared" si="13"/>
        <v>139.90118993238428</v>
      </c>
    </row>
    <row r="16" spans="1:20" x14ac:dyDescent="0.45">
      <c r="A16" s="43">
        <v>6.5</v>
      </c>
      <c r="B16" s="44">
        <v>-759.2</v>
      </c>
      <c r="C16" s="44">
        <v>-3390.2</v>
      </c>
      <c r="D16" s="8">
        <f t="shared" si="0"/>
        <v>1315.5</v>
      </c>
      <c r="E16" s="61">
        <f t="shared" si="1"/>
        <v>-720.28075507894084</v>
      </c>
      <c r="F16" s="5">
        <v>-1852.9</v>
      </c>
      <c r="G16" s="44">
        <v>1478.3</v>
      </c>
      <c r="H16" s="8">
        <f t="shared" si="2"/>
        <v>-1665.6</v>
      </c>
      <c r="I16" s="61">
        <f t="shared" si="3"/>
        <v>607.99170214275307</v>
      </c>
      <c r="J16" s="43">
        <f t="shared" si="4"/>
        <v>942.58064695363396</v>
      </c>
      <c r="K16" s="43">
        <f t="shared" si="5"/>
        <v>-40.167837893897911</v>
      </c>
      <c r="L16" s="43">
        <f t="shared" si="6"/>
        <v>139.83216210610209</v>
      </c>
      <c r="M16" s="43">
        <f t="shared" si="7"/>
        <v>-720.28075507894062</v>
      </c>
      <c r="N16" s="43">
        <f t="shared" si="8"/>
        <v>607.99170214275318</v>
      </c>
      <c r="O16" s="43">
        <f t="shared" si="14"/>
        <v>942.58064695363396</v>
      </c>
      <c r="P16" s="43">
        <f t="shared" si="9"/>
        <v>-720.28075507894062</v>
      </c>
      <c r="Q16" s="43">
        <f t="shared" si="10"/>
        <v>607.99170214275318</v>
      </c>
      <c r="R16" s="43">
        <f t="shared" si="11"/>
        <v>942.58064695363396</v>
      </c>
      <c r="S16" s="43">
        <f t="shared" si="12"/>
        <v>139.83216210610209</v>
      </c>
      <c r="T16" s="43">
        <f t="shared" si="13"/>
        <v>139.83216210610209</v>
      </c>
    </row>
    <row r="17" spans="1:20" x14ac:dyDescent="0.45">
      <c r="A17" s="43">
        <v>7</v>
      </c>
      <c r="B17" s="44">
        <v>-1359.7</v>
      </c>
      <c r="C17" s="44">
        <v>-2851.9</v>
      </c>
      <c r="D17" s="8">
        <f t="shared" si="0"/>
        <v>746.1</v>
      </c>
      <c r="E17" s="61">
        <f t="shared" si="1"/>
        <v>-723.46959544846288</v>
      </c>
      <c r="F17" s="5">
        <v>-1589.2</v>
      </c>
      <c r="G17" s="44">
        <v>900</v>
      </c>
      <c r="H17" s="8">
        <f t="shared" si="2"/>
        <v>-1244.5999999999999</v>
      </c>
      <c r="I17" s="61">
        <f t="shared" si="3"/>
        <v>612.0291866003007</v>
      </c>
      <c r="J17" s="43">
        <f t="shared" si="4"/>
        <v>947.62227748665146</v>
      </c>
      <c r="K17" s="43">
        <f t="shared" si="5"/>
        <v>-40.230016692266211</v>
      </c>
      <c r="L17" s="43">
        <f t="shared" si="6"/>
        <v>139.76998330773378</v>
      </c>
      <c r="M17" s="43">
        <f t="shared" si="7"/>
        <v>-723.46959544846288</v>
      </c>
      <c r="N17" s="43">
        <f t="shared" si="8"/>
        <v>612.0291866003007</v>
      </c>
      <c r="O17" s="43">
        <f t="shared" si="14"/>
        <v>947.62227748665146</v>
      </c>
      <c r="P17" s="43">
        <f t="shared" si="9"/>
        <v>-723.46959544846288</v>
      </c>
      <c r="Q17" s="43">
        <f t="shared" si="10"/>
        <v>612.0291866003007</v>
      </c>
      <c r="R17" s="43">
        <f t="shared" si="11"/>
        <v>947.62227748665146</v>
      </c>
      <c r="S17" s="43">
        <f t="shared" si="12"/>
        <v>139.76998330773378</v>
      </c>
      <c r="T17" s="43">
        <f t="shared" si="13"/>
        <v>139.76998330773378</v>
      </c>
    </row>
    <row r="18" spans="1:20" x14ac:dyDescent="0.45">
      <c r="A18" s="43">
        <v>7.5</v>
      </c>
      <c r="B18" s="44">
        <v>-754.9</v>
      </c>
      <c r="C18" s="44">
        <v>-2219.4</v>
      </c>
      <c r="D18" s="8">
        <f t="shared" si="0"/>
        <v>732.25</v>
      </c>
      <c r="E18" s="61">
        <f t="shared" si="1"/>
        <v>-725.27818894186669</v>
      </c>
      <c r="F18" s="5">
        <v>-1915.7</v>
      </c>
      <c r="G18" s="44">
        <v>328.5</v>
      </c>
      <c r="H18" s="8">
        <f t="shared" si="2"/>
        <v>-1122.0999999999999</v>
      </c>
      <c r="I18" s="61">
        <f t="shared" si="3"/>
        <v>615.04616383022267</v>
      </c>
      <c r="J18" s="43">
        <f t="shared" si="4"/>
        <v>950.95227798090218</v>
      </c>
      <c r="K18" s="43">
        <f t="shared" si="5"/>
        <v>-40.298416035304264</v>
      </c>
      <c r="L18" s="43">
        <f t="shared" si="6"/>
        <v>139.70158396469574</v>
      </c>
      <c r="M18" s="43">
        <f t="shared" si="7"/>
        <v>-725.2781889418668</v>
      </c>
      <c r="N18" s="43">
        <f t="shared" si="8"/>
        <v>615.04616383022255</v>
      </c>
      <c r="O18" s="43">
        <f t="shared" si="14"/>
        <v>950.95227798090218</v>
      </c>
      <c r="P18" s="43">
        <f t="shared" si="9"/>
        <v>-725.2781889418668</v>
      </c>
      <c r="Q18" s="43">
        <f t="shared" si="10"/>
        <v>615.04616383022255</v>
      </c>
      <c r="R18" s="43">
        <f t="shared" si="11"/>
        <v>950.95227798090218</v>
      </c>
      <c r="S18" s="43">
        <f t="shared" si="12"/>
        <v>139.70158396469574</v>
      </c>
      <c r="T18" s="43">
        <f t="shared" si="13"/>
        <v>139.70158396469574</v>
      </c>
    </row>
    <row r="19" spans="1:20" x14ac:dyDescent="0.45">
      <c r="A19" s="43">
        <v>8</v>
      </c>
      <c r="B19" s="44">
        <v>-379.2</v>
      </c>
      <c r="C19" s="44">
        <v>-1805.8</v>
      </c>
      <c r="D19" s="8">
        <f t="shared" si="0"/>
        <v>713.3</v>
      </c>
      <c r="E19" s="61">
        <f t="shared" si="1"/>
        <v>-727.05320930343998</v>
      </c>
      <c r="F19" s="5">
        <v>-2592.9</v>
      </c>
      <c r="G19" s="44">
        <v>-166.5</v>
      </c>
      <c r="H19" s="8">
        <f t="shared" si="2"/>
        <v>-1213.2</v>
      </c>
      <c r="I19" s="61">
        <f t="shared" si="3"/>
        <v>617.7661975716444</v>
      </c>
      <c r="J19" s="43">
        <f t="shared" si="4"/>
        <v>954.0657440766646</v>
      </c>
      <c r="K19" s="43">
        <f t="shared" si="5"/>
        <v>-40.354056658884332</v>
      </c>
      <c r="L19" s="43">
        <f t="shared" si="6"/>
        <v>139.64594334111567</v>
      </c>
      <c r="M19" s="43">
        <f t="shared" si="7"/>
        <v>-727.05320930343976</v>
      </c>
      <c r="N19" s="43">
        <f t="shared" si="8"/>
        <v>617.76619757164462</v>
      </c>
      <c r="O19" s="43">
        <f t="shared" si="14"/>
        <v>954.0657440766646</v>
      </c>
      <c r="P19" s="43">
        <f t="shared" si="9"/>
        <v>-727.05320930343976</v>
      </c>
      <c r="Q19" s="43">
        <f t="shared" si="10"/>
        <v>617.76619757164462</v>
      </c>
      <c r="R19" s="43">
        <f t="shared" si="11"/>
        <v>954.0657440766646</v>
      </c>
      <c r="S19" s="43">
        <f t="shared" si="12"/>
        <v>139.64594334111567</v>
      </c>
      <c r="T19" s="43">
        <f t="shared" si="13"/>
        <v>139.64594334111567</v>
      </c>
    </row>
    <row r="20" spans="1:20" x14ac:dyDescent="0.45">
      <c r="A20" s="43">
        <v>8.5</v>
      </c>
      <c r="B20" s="44">
        <v>178.5</v>
      </c>
      <c r="C20" s="44">
        <v>-1423.2</v>
      </c>
      <c r="D20" s="8">
        <f t="shared" si="0"/>
        <v>800.85</v>
      </c>
      <c r="E20" s="61">
        <f t="shared" si="1"/>
        <v>-728.78229385076406</v>
      </c>
      <c r="F20" s="5">
        <v>-2872.6</v>
      </c>
      <c r="G20" s="44">
        <v>-474</v>
      </c>
      <c r="H20" s="8">
        <f t="shared" si="2"/>
        <v>-1199.3</v>
      </c>
      <c r="I20" s="61">
        <f t="shared" si="3"/>
        <v>620.70706040461448</v>
      </c>
      <c r="J20" s="43">
        <f t="shared" si="4"/>
        <v>957.28829861568829</v>
      </c>
      <c r="K20" s="43">
        <f t="shared" si="5"/>
        <v>-40.421181447282528</v>
      </c>
      <c r="L20" s="43">
        <f t="shared" si="6"/>
        <v>139.57881855271748</v>
      </c>
      <c r="M20" s="43">
        <f t="shared" si="7"/>
        <v>-728.78229385076406</v>
      </c>
      <c r="N20" s="43">
        <f t="shared" si="8"/>
        <v>620.70706040461448</v>
      </c>
      <c r="O20" s="43">
        <f t="shared" si="14"/>
        <v>957.28829861568829</v>
      </c>
      <c r="P20" s="43">
        <f t="shared" si="9"/>
        <v>-728.78229385076406</v>
      </c>
      <c r="Q20" s="43">
        <f t="shared" si="10"/>
        <v>620.70706040461448</v>
      </c>
      <c r="R20" s="43">
        <f t="shared" si="11"/>
        <v>957.28829861568829</v>
      </c>
      <c r="S20" s="43">
        <f t="shared" si="12"/>
        <v>139.57881855271748</v>
      </c>
      <c r="T20" s="43">
        <f t="shared" si="13"/>
        <v>139.57881855271748</v>
      </c>
    </row>
    <row r="21" spans="1:20" x14ac:dyDescent="0.45">
      <c r="A21" s="43">
        <v>9</v>
      </c>
      <c r="B21" s="44">
        <v>423.2</v>
      </c>
      <c r="C21" s="44">
        <v>-1137.0999999999999</v>
      </c>
      <c r="D21" s="8">
        <f t="shared" si="0"/>
        <v>780.15</v>
      </c>
      <c r="E21" s="61">
        <f t="shared" si="1"/>
        <v>-730.7236041558549</v>
      </c>
      <c r="F21" s="5">
        <v>-3310.5</v>
      </c>
      <c r="G21" s="44">
        <v>-815.9</v>
      </c>
      <c r="H21" s="8">
        <f t="shared" si="2"/>
        <v>-1247.3</v>
      </c>
      <c r="I21" s="61">
        <f t="shared" si="3"/>
        <v>623.61422926292676</v>
      </c>
      <c r="J21" s="43">
        <f t="shared" si="4"/>
        <v>960.65170202822037</v>
      </c>
      <c r="K21" s="43">
        <f t="shared" si="5"/>
        <v>-40.478108868139152</v>
      </c>
      <c r="L21" s="43">
        <f t="shared" si="6"/>
        <v>139.52189113186085</v>
      </c>
      <c r="M21" s="43">
        <f t="shared" si="7"/>
        <v>-730.7236041558549</v>
      </c>
      <c r="N21" s="43">
        <f t="shared" si="8"/>
        <v>623.61422926292676</v>
      </c>
      <c r="O21" s="43">
        <f t="shared" si="14"/>
        <v>960.65170202822037</v>
      </c>
      <c r="P21" s="43">
        <f t="shared" si="9"/>
        <v>-730.7236041558549</v>
      </c>
      <c r="Q21" s="43">
        <f t="shared" si="10"/>
        <v>623.61422926292676</v>
      </c>
      <c r="R21" s="43">
        <f t="shared" si="11"/>
        <v>960.65170202822037</v>
      </c>
      <c r="S21" s="43">
        <f t="shared" si="12"/>
        <v>139.52189113186085</v>
      </c>
      <c r="T21" s="43">
        <f t="shared" si="13"/>
        <v>139.52189113186085</v>
      </c>
    </row>
    <row r="22" spans="1:20" x14ac:dyDescent="0.45">
      <c r="A22" s="43">
        <v>9.5</v>
      </c>
      <c r="B22" s="44">
        <v>491.2</v>
      </c>
      <c r="C22" s="44">
        <v>-811.6</v>
      </c>
      <c r="D22" s="8">
        <f t="shared" si="0"/>
        <v>651.4</v>
      </c>
      <c r="E22" s="61">
        <f t="shared" si="1"/>
        <v>-732.61473661347259</v>
      </c>
      <c r="F22" s="5">
        <v>-3185.4</v>
      </c>
      <c r="G22" s="44">
        <v>-1192.5</v>
      </c>
      <c r="H22" s="8">
        <f t="shared" si="2"/>
        <v>-996.45</v>
      </c>
      <c r="I22" s="61">
        <f t="shared" si="3"/>
        <v>626.63775135813705</v>
      </c>
      <c r="J22" s="43">
        <f t="shared" si="4"/>
        <v>964.05353779259076</v>
      </c>
      <c r="K22" s="43">
        <f t="shared" si="5"/>
        <v>-40.541832724698644</v>
      </c>
      <c r="L22" s="43">
        <f t="shared" si="6"/>
        <v>139.45816727530135</v>
      </c>
      <c r="M22" s="43">
        <f t="shared" si="7"/>
        <v>-732.6147366134727</v>
      </c>
      <c r="N22" s="43">
        <f t="shared" si="8"/>
        <v>626.63775135813694</v>
      </c>
      <c r="O22" s="43">
        <f t="shared" si="14"/>
        <v>964.05353779259076</v>
      </c>
      <c r="P22" s="43">
        <f t="shared" si="9"/>
        <v>-732.6147366134727</v>
      </c>
      <c r="Q22" s="43">
        <f t="shared" si="10"/>
        <v>626.63775135813694</v>
      </c>
      <c r="R22" s="43">
        <f t="shared" si="11"/>
        <v>964.05353779259076</v>
      </c>
      <c r="S22" s="43">
        <f t="shared" si="12"/>
        <v>139.45816727530138</v>
      </c>
      <c r="T22" s="43">
        <f t="shared" si="13"/>
        <v>139.45816727530138</v>
      </c>
    </row>
    <row r="23" spans="1:20" x14ac:dyDescent="0.45">
      <c r="A23" s="43">
        <v>10</v>
      </c>
      <c r="B23" s="44">
        <v>-201.3</v>
      </c>
      <c r="C23" s="44">
        <v>140.9</v>
      </c>
      <c r="D23" s="8">
        <f t="shared" si="0"/>
        <v>-171.10000000000002</v>
      </c>
      <c r="E23" s="61">
        <f t="shared" si="1"/>
        <v>-734.19377214810572</v>
      </c>
      <c r="F23" s="5">
        <v>-2641.3</v>
      </c>
      <c r="G23" s="44">
        <v>-1988.4</v>
      </c>
      <c r="H23" s="8">
        <f t="shared" si="2"/>
        <v>-326.45000000000005</v>
      </c>
      <c r="I23" s="61">
        <f t="shared" si="3"/>
        <v>629.05320492557246</v>
      </c>
      <c r="J23" s="43">
        <f t="shared" si="4"/>
        <v>966.82388762804101</v>
      </c>
      <c r="K23" s="43">
        <f t="shared" si="5"/>
        <v>-40.589787516386785</v>
      </c>
      <c r="L23" s="43">
        <f t="shared" si="6"/>
        <v>139.41021248361321</v>
      </c>
      <c r="M23" s="43">
        <f t="shared" si="7"/>
        <v>-734.19377214810561</v>
      </c>
      <c r="N23" s="43">
        <f t="shared" si="8"/>
        <v>629.05320492557269</v>
      </c>
      <c r="O23" s="43">
        <f t="shared" si="14"/>
        <v>966.82388762804101</v>
      </c>
      <c r="P23" s="43">
        <f t="shared" si="9"/>
        <v>-734.19377214810561</v>
      </c>
      <c r="Q23" s="43">
        <f t="shared" si="10"/>
        <v>629.05320492557269</v>
      </c>
      <c r="R23" s="43">
        <f t="shared" si="11"/>
        <v>966.82388762804101</v>
      </c>
      <c r="S23" s="43">
        <f t="shared" si="12"/>
        <v>139.41021248361321</v>
      </c>
      <c r="T23" s="43">
        <f t="shared" si="13"/>
        <v>139.41021248361321</v>
      </c>
    </row>
    <row r="24" spans="1:20" x14ac:dyDescent="0.45">
      <c r="A24" s="43">
        <v>10.5</v>
      </c>
      <c r="B24" s="44">
        <v>295.3</v>
      </c>
      <c r="C24" s="44">
        <v>14.9</v>
      </c>
      <c r="D24" s="8">
        <f t="shared" si="0"/>
        <v>140.20000000000002</v>
      </c>
      <c r="E24" s="61">
        <f t="shared" si="1"/>
        <v>-733.77901409148217</v>
      </c>
      <c r="F24" s="5">
        <v>-3192.4</v>
      </c>
      <c r="G24" s="44">
        <v>-1955.9</v>
      </c>
      <c r="H24" s="8">
        <f t="shared" si="2"/>
        <v>-618.25</v>
      </c>
      <c r="I24" s="61">
        <f t="shared" si="3"/>
        <v>629.84454172619905</v>
      </c>
      <c r="J24" s="43">
        <f t="shared" si="4"/>
        <v>967.02419218101943</v>
      </c>
      <c r="K24" s="43">
        <f t="shared" si="5"/>
        <v>-40.641381397460677</v>
      </c>
      <c r="L24" s="43">
        <f t="shared" si="6"/>
        <v>139.35861860253931</v>
      </c>
      <c r="M24" s="43">
        <f t="shared" si="7"/>
        <v>-733.77901409148183</v>
      </c>
      <c r="N24" s="43">
        <f t="shared" si="8"/>
        <v>629.8445417261994</v>
      </c>
      <c r="O24" s="43">
        <f t="shared" si="14"/>
        <v>967.02419218101943</v>
      </c>
      <c r="P24" s="43">
        <f t="shared" si="9"/>
        <v>-733.77901409148183</v>
      </c>
      <c r="Q24" s="43">
        <f t="shared" si="10"/>
        <v>629.8445417261994</v>
      </c>
      <c r="R24" s="43">
        <f t="shared" si="11"/>
        <v>967.02419218101943</v>
      </c>
      <c r="S24" s="43">
        <f t="shared" si="12"/>
        <v>139.35861860253931</v>
      </c>
      <c r="T24" s="43">
        <f t="shared" si="13"/>
        <v>139.35861860253931</v>
      </c>
    </row>
    <row r="25" spans="1:20" x14ac:dyDescent="0.45">
      <c r="A25" s="43">
        <v>11</v>
      </c>
      <c r="B25" s="44">
        <v>1545.3</v>
      </c>
      <c r="C25" s="44">
        <v>386</v>
      </c>
      <c r="D25" s="8">
        <f t="shared" si="0"/>
        <v>579.65</v>
      </c>
      <c r="E25" s="61">
        <f t="shared" si="1"/>
        <v>-734.11886845577089</v>
      </c>
      <c r="F25" s="5">
        <v>-4267</v>
      </c>
      <c r="G25" s="44">
        <v>-2284.8000000000002</v>
      </c>
      <c r="H25" s="8">
        <f t="shared" si="2"/>
        <v>-991.09999999999991</v>
      </c>
      <c r="I25" s="61">
        <f t="shared" si="3"/>
        <v>631.34321977386332</v>
      </c>
      <c r="J25" s="43">
        <f t="shared" si="4"/>
        <v>968.25862979743704</v>
      </c>
      <c r="K25" s="43">
        <f t="shared" si="5"/>
        <v>-40.695575585921347</v>
      </c>
      <c r="L25" s="43">
        <f t="shared" si="6"/>
        <v>139.30442441407865</v>
      </c>
      <c r="M25" s="43">
        <f t="shared" si="7"/>
        <v>-734.11886845577089</v>
      </c>
      <c r="N25" s="43">
        <f t="shared" si="8"/>
        <v>631.34321977386344</v>
      </c>
      <c r="O25" s="43">
        <f t="shared" si="14"/>
        <v>968.25862979743704</v>
      </c>
      <c r="P25" s="43">
        <f t="shared" si="9"/>
        <v>-734.11886845577089</v>
      </c>
      <c r="Q25" s="43">
        <f t="shared" si="10"/>
        <v>631.34321977386344</v>
      </c>
      <c r="R25" s="43">
        <f t="shared" si="11"/>
        <v>968.25862979743704</v>
      </c>
      <c r="S25" s="43">
        <f t="shared" si="12"/>
        <v>139.30442441407865</v>
      </c>
      <c r="T25" s="43">
        <f t="shared" si="13"/>
        <v>139.30442441407865</v>
      </c>
    </row>
    <row r="26" spans="1:20" x14ac:dyDescent="0.45">
      <c r="A26" s="43">
        <v>11.5</v>
      </c>
      <c r="B26" s="44">
        <v>2871.2</v>
      </c>
      <c r="C26" s="44">
        <v>918.7</v>
      </c>
      <c r="D26" s="8">
        <f t="shared" si="0"/>
        <v>976.24999999999989</v>
      </c>
      <c r="E26" s="61">
        <f t="shared" si="1"/>
        <v>-735.52397785760468</v>
      </c>
      <c r="F26" s="5">
        <v>-5580.9</v>
      </c>
      <c r="G26" s="44">
        <v>-2792.9</v>
      </c>
      <c r="H26" s="8">
        <f t="shared" si="2"/>
        <v>-1393.9999999999998</v>
      </c>
      <c r="I26" s="61">
        <f t="shared" si="3"/>
        <v>633.74570472584924</v>
      </c>
      <c r="J26" s="43">
        <f t="shared" si="4"/>
        <v>970.89090028794556</v>
      </c>
      <c r="K26" s="43">
        <f t="shared" si="5"/>
        <v>-40.749002976071608</v>
      </c>
      <c r="L26" s="43">
        <f t="shared" si="6"/>
        <v>139.25099702392839</v>
      </c>
      <c r="M26" s="43">
        <f t="shared" si="7"/>
        <v>-735.52397785760479</v>
      </c>
      <c r="N26" s="43">
        <f t="shared" si="8"/>
        <v>633.74570472584924</v>
      </c>
      <c r="O26" s="43">
        <f t="shared" si="14"/>
        <v>970.89090028794567</v>
      </c>
      <c r="P26" s="43">
        <f t="shared" si="9"/>
        <v>-735.52397785760479</v>
      </c>
      <c r="Q26" s="43">
        <f t="shared" si="10"/>
        <v>633.74570472584924</v>
      </c>
      <c r="R26" s="43">
        <f t="shared" si="11"/>
        <v>970.89090028794567</v>
      </c>
      <c r="S26" s="43">
        <f t="shared" si="12"/>
        <v>139.25099702392839</v>
      </c>
      <c r="T26" s="43">
        <f t="shared" si="13"/>
        <v>139.25099702392839</v>
      </c>
    </row>
    <row r="27" spans="1:20" x14ac:dyDescent="0.45">
      <c r="A27" s="43">
        <v>12</v>
      </c>
      <c r="B27" s="44">
        <v>4022.4</v>
      </c>
      <c r="C27" s="44">
        <v>1150.5999999999999</v>
      </c>
      <c r="D27" s="8">
        <f t="shared" si="0"/>
        <v>1435.9</v>
      </c>
      <c r="E27" s="61">
        <f t="shared" si="1"/>
        <v>-737.89046580312481</v>
      </c>
      <c r="F27" s="5">
        <v>-6799</v>
      </c>
      <c r="G27" s="44">
        <v>-3093.2</v>
      </c>
      <c r="H27" s="8">
        <f t="shared" si="2"/>
        <v>-1852.9</v>
      </c>
      <c r="I27" s="61">
        <f t="shared" si="3"/>
        <v>637.12483035964567</v>
      </c>
      <c r="J27" s="43">
        <f t="shared" si="4"/>
        <v>974.88993685644323</v>
      </c>
      <c r="K27" s="43">
        <f t="shared" si="5"/>
        <v>-40.808669540519794</v>
      </c>
      <c r="L27" s="43">
        <f t="shared" si="6"/>
        <v>139.19133045948021</v>
      </c>
      <c r="M27" s="43">
        <f t="shared" si="7"/>
        <v>-737.89046580312493</v>
      </c>
      <c r="N27" s="43">
        <f t="shared" si="8"/>
        <v>637.12483035964556</v>
      </c>
      <c r="O27" s="43">
        <f t="shared" si="14"/>
        <v>974.88993685644323</v>
      </c>
      <c r="P27" s="43">
        <f t="shared" si="9"/>
        <v>-737.89046580312493</v>
      </c>
      <c r="Q27" s="43">
        <f t="shared" si="10"/>
        <v>637.12483035964556</v>
      </c>
      <c r="R27" s="43">
        <f t="shared" si="11"/>
        <v>974.88993685644323</v>
      </c>
      <c r="S27" s="43">
        <f t="shared" si="12"/>
        <v>139.19133045948021</v>
      </c>
      <c r="T27" s="43">
        <f t="shared" si="13"/>
        <v>139.19133045948021</v>
      </c>
    </row>
    <row r="28" spans="1:20" x14ac:dyDescent="0.45">
      <c r="A28" s="43">
        <v>12.5</v>
      </c>
      <c r="B28" s="44">
        <v>4275.8999999999996</v>
      </c>
      <c r="C28" s="44">
        <v>694.1</v>
      </c>
      <c r="D28" s="8">
        <f t="shared" si="0"/>
        <v>1790.8999999999999</v>
      </c>
      <c r="E28" s="61">
        <f t="shared" si="1"/>
        <v>-741.37115751315253</v>
      </c>
      <c r="F28" s="5">
        <v>-7123.5</v>
      </c>
      <c r="G28" s="44">
        <v>-2528.8000000000002</v>
      </c>
      <c r="H28" s="8">
        <f t="shared" si="2"/>
        <v>-2297.35</v>
      </c>
      <c r="I28" s="61">
        <f t="shared" si="3"/>
        <v>641.61632629985536</v>
      </c>
      <c r="J28" s="43">
        <f t="shared" si="4"/>
        <v>980.46045476955067</v>
      </c>
      <c r="K28" s="43">
        <f t="shared" si="5"/>
        <v>-40.87440263512481</v>
      </c>
      <c r="L28" s="43">
        <f t="shared" si="6"/>
        <v>139.1255973648752</v>
      </c>
      <c r="M28" s="43">
        <f t="shared" si="7"/>
        <v>-741.37115751315275</v>
      </c>
      <c r="N28" s="43">
        <f t="shared" si="8"/>
        <v>641.61632629985513</v>
      </c>
      <c r="O28" s="43">
        <f t="shared" si="14"/>
        <v>980.46045476955067</v>
      </c>
      <c r="P28" s="43">
        <f t="shared" si="9"/>
        <v>-741.37115751315275</v>
      </c>
      <c r="Q28" s="43">
        <f t="shared" si="10"/>
        <v>641.61632629985513</v>
      </c>
      <c r="R28" s="43">
        <f t="shared" si="11"/>
        <v>980.46045476955067</v>
      </c>
      <c r="S28" s="43">
        <f t="shared" si="12"/>
        <v>139.1255973648752</v>
      </c>
      <c r="T28" s="43">
        <f t="shared" si="13"/>
        <v>139.1255973648752</v>
      </c>
    </row>
    <row r="29" spans="1:20" x14ac:dyDescent="0.45">
      <c r="A29" s="43">
        <v>13</v>
      </c>
      <c r="B29" s="44">
        <v>1294.8</v>
      </c>
      <c r="C29" s="44">
        <v>-914.2</v>
      </c>
      <c r="D29" s="8">
        <f t="shared" si="0"/>
        <v>1104.5</v>
      </c>
      <c r="E29" s="61">
        <f t="shared" si="1"/>
        <v>-745.71236707554976</v>
      </c>
      <c r="F29" s="5">
        <v>-4111.2</v>
      </c>
      <c r="G29" s="44">
        <v>-1032.8</v>
      </c>
      <c r="H29" s="8">
        <f t="shared" si="2"/>
        <v>-1539.1999999999998</v>
      </c>
      <c r="I29" s="61">
        <f t="shared" si="3"/>
        <v>647.1851447124194</v>
      </c>
      <c r="J29" s="43">
        <f t="shared" si="4"/>
        <v>987.38824478816571</v>
      </c>
      <c r="K29" s="43">
        <f t="shared" si="5"/>
        <v>-40.95389691085736</v>
      </c>
      <c r="L29" s="43">
        <f t="shared" si="6"/>
        <v>139.04610308914263</v>
      </c>
      <c r="M29" s="43">
        <f t="shared" si="7"/>
        <v>-745.71236707554965</v>
      </c>
      <c r="N29" s="43">
        <f t="shared" si="8"/>
        <v>647.18514471241951</v>
      </c>
      <c r="O29" s="43">
        <f t="shared" si="14"/>
        <v>987.38824478816571</v>
      </c>
      <c r="P29" s="43">
        <f t="shared" si="9"/>
        <v>-745.71236707554965</v>
      </c>
      <c r="Q29" s="43">
        <f t="shared" si="10"/>
        <v>647.18514471241951</v>
      </c>
      <c r="R29" s="43">
        <f t="shared" si="11"/>
        <v>987.38824478816571</v>
      </c>
      <c r="S29" s="43">
        <f t="shared" si="12"/>
        <v>139.04610308914263</v>
      </c>
      <c r="T29" s="43">
        <f t="shared" si="13"/>
        <v>139.04610308914263</v>
      </c>
    </row>
    <row r="30" spans="1:20" x14ac:dyDescent="0.45">
      <c r="A30" s="43">
        <v>13.5</v>
      </c>
      <c r="B30" s="44">
        <v>145.4</v>
      </c>
      <c r="C30" s="44">
        <v>-1490.1</v>
      </c>
      <c r="D30" s="8">
        <f t="shared" si="0"/>
        <v>817.75</v>
      </c>
      <c r="E30" s="61">
        <f t="shared" si="1"/>
        <v>-748.38973783448887</v>
      </c>
      <c r="F30" s="5">
        <v>-2889.6</v>
      </c>
      <c r="G30" s="44">
        <v>-483.9</v>
      </c>
      <c r="H30" s="8">
        <f t="shared" si="2"/>
        <v>-1202.8499999999999</v>
      </c>
      <c r="I30" s="61">
        <f t="shared" si="3"/>
        <v>650.91623617424636</v>
      </c>
      <c r="J30" s="43">
        <f t="shared" si="4"/>
        <v>991.85641411003758</v>
      </c>
      <c r="K30" s="43">
        <f t="shared" si="5"/>
        <v>-41.015300803308769</v>
      </c>
      <c r="L30" s="43">
        <f t="shared" si="6"/>
        <v>138.98469919669122</v>
      </c>
      <c r="M30" s="43">
        <f t="shared" si="7"/>
        <v>-748.38973783448887</v>
      </c>
      <c r="N30" s="43">
        <f t="shared" si="8"/>
        <v>650.91623617424636</v>
      </c>
      <c r="O30" s="43">
        <f t="shared" si="14"/>
        <v>991.85641411003758</v>
      </c>
      <c r="P30" s="43">
        <f t="shared" si="9"/>
        <v>-748.38973783448887</v>
      </c>
      <c r="Q30" s="43">
        <f t="shared" si="10"/>
        <v>650.91623617424636</v>
      </c>
      <c r="R30" s="43">
        <f t="shared" si="11"/>
        <v>991.85641411003758</v>
      </c>
      <c r="S30" s="43">
        <f t="shared" si="12"/>
        <v>138.98469919669122</v>
      </c>
      <c r="T30" s="43">
        <f t="shared" si="13"/>
        <v>138.98469919669122</v>
      </c>
    </row>
    <row r="31" spans="1:20" x14ac:dyDescent="0.45">
      <c r="A31" s="43">
        <v>14</v>
      </c>
      <c r="B31" s="44">
        <v>-797.3</v>
      </c>
      <c r="C31" s="44">
        <v>-1531</v>
      </c>
      <c r="D31" s="8">
        <f t="shared" si="0"/>
        <v>366.85</v>
      </c>
      <c r="E31" s="61">
        <f t="shared" si="1"/>
        <v>-750.37201458028869</v>
      </c>
      <c r="F31" s="5">
        <v>-2040.5</v>
      </c>
      <c r="G31" s="44">
        <v>-401.7</v>
      </c>
      <c r="H31" s="8">
        <f t="shared" si="2"/>
        <v>-819.4</v>
      </c>
      <c r="I31" s="61">
        <f t="shared" si="3"/>
        <v>653.83201032950603</v>
      </c>
      <c r="J31" s="43">
        <f t="shared" si="4"/>
        <v>995.26602373275273</v>
      </c>
      <c r="K31" s="43">
        <f t="shared" si="5"/>
        <v>-41.067064028888304</v>
      </c>
      <c r="L31" s="43">
        <f t="shared" si="6"/>
        <v>138.9329359711117</v>
      </c>
      <c r="M31" s="43">
        <f t="shared" si="7"/>
        <v>-750.37201458028881</v>
      </c>
      <c r="N31" s="43">
        <f t="shared" si="8"/>
        <v>653.83201032950592</v>
      </c>
      <c r="O31" s="43">
        <f t="shared" si="14"/>
        <v>995.26602373275273</v>
      </c>
      <c r="P31" s="43">
        <f t="shared" si="9"/>
        <v>-750.37201458028881</v>
      </c>
      <c r="Q31" s="43">
        <f t="shared" si="10"/>
        <v>653.83201032950592</v>
      </c>
      <c r="R31" s="43">
        <f t="shared" si="11"/>
        <v>995.26602373275273</v>
      </c>
      <c r="S31" s="43">
        <f t="shared" si="12"/>
        <v>138.9329359711117</v>
      </c>
      <c r="T31" s="43">
        <f t="shared" si="13"/>
        <v>138.9329359711117</v>
      </c>
    </row>
    <row r="32" spans="1:20" x14ac:dyDescent="0.45">
      <c r="A32" s="43">
        <v>14.5</v>
      </c>
      <c r="B32" s="44">
        <v>-1059.8</v>
      </c>
      <c r="C32" s="44">
        <v>-1204.5999999999999</v>
      </c>
      <c r="D32" s="8">
        <f t="shared" si="0"/>
        <v>72.399999999999977</v>
      </c>
      <c r="E32" s="61">
        <f t="shared" si="1"/>
        <v>-751.26128360604093</v>
      </c>
      <c r="F32" s="5">
        <v>-1649.6</v>
      </c>
      <c r="G32" s="44">
        <v>-729.7</v>
      </c>
      <c r="H32" s="8">
        <f t="shared" si="2"/>
        <v>-459.94999999999993</v>
      </c>
      <c r="I32" s="61">
        <f t="shared" si="3"/>
        <v>655.81828675667828</v>
      </c>
      <c r="J32" s="43">
        <f t="shared" si="4"/>
        <v>997.24176681979225</v>
      </c>
      <c r="K32" s="43">
        <f t="shared" si="5"/>
        <v>-41.11953915352359</v>
      </c>
      <c r="L32" s="43">
        <f t="shared" si="6"/>
        <v>138.88046084647641</v>
      </c>
      <c r="M32" s="43">
        <f t="shared" si="7"/>
        <v>-751.26128360604082</v>
      </c>
      <c r="N32" s="43">
        <f t="shared" si="8"/>
        <v>655.81828675667828</v>
      </c>
      <c r="O32" s="43">
        <f t="shared" si="14"/>
        <v>997.24176681979225</v>
      </c>
      <c r="P32" s="43">
        <f t="shared" si="9"/>
        <v>-751.26128360604082</v>
      </c>
      <c r="Q32" s="43">
        <f t="shared" si="10"/>
        <v>655.81828675667828</v>
      </c>
      <c r="R32" s="43">
        <f t="shared" si="11"/>
        <v>997.24176681979225</v>
      </c>
      <c r="S32" s="43">
        <f t="shared" si="12"/>
        <v>138.88046084647641</v>
      </c>
      <c r="T32" s="43">
        <f t="shared" si="13"/>
        <v>138.88046084647641</v>
      </c>
    </row>
    <row r="33" spans="1:20" x14ac:dyDescent="0.45">
      <c r="A33" s="43">
        <v>15</v>
      </c>
      <c r="B33" s="44">
        <v>-1301.8</v>
      </c>
      <c r="C33" s="44">
        <v>-716.2</v>
      </c>
      <c r="D33" s="8">
        <f t="shared" si="0"/>
        <v>-292.79999999999995</v>
      </c>
      <c r="E33" s="61">
        <f t="shared" si="1"/>
        <v>-751.4367861549988</v>
      </c>
      <c r="F33" s="5">
        <v>-1489.8</v>
      </c>
      <c r="G33" s="44">
        <v>-1274.8</v>
      </c>
      <c r="H33" s="8">
        <f t="shared" si="2"/>
        <v>-107.5</v>
      </c>
      <c r="I33" s="61">
        <f t="shared" si="3"/>
        <v>656.9332360958033</v>
      </c>
      <c r="J33" s="43">
        <f t="shared" si="4"/>
        <v>998.10746930090534</v>
      </c>
      <c r="K33" s="43">
        <f t="shared" si="5"/>
        <v>-41.161129742792973</v>
      </c>
      <c r="L33" s="43">
        <f t="shared" si="6"/>
        <v>138.83887025720702</v>
      </c>
      <c r="M33" s="43">
        <f t="shared" si="7"/>
        <v>-751.43678615499846</v>
      </c>
      <c r="N33" s="43">
        <f t="shared" si="8"/>
        <v>656.93323609580352</v>
      </c>
      <c r="O33" s="43">
        <f t="shared" si="14"/>
        <v>998.10746930090534</v>
      </c>
      <c r="P33" s="43">
        <f t="shared" si="9"/>
        <v>-751.43678615499846</v>
      </c>
      <c r="Q33" s="43">
        <f t="shared" si="10"/>
        <v>656.93323609580352</v>
      </c>
      <c r="R33" s="43">
        <f t="shared" si="11"/>
        <v>998.10746930090534</v>
      </c>
      <c r="S33" s="43">
        <f t="shared" si="12"/>
        <v>138.83887025720702</v>
      </c>
      <c r="T33" s="43">
        <f t="shared" si="13"/>
        <v>138.83887025720702</v>
      </c>
    </row>
    <row r="34" spans="1:20" x14ac:dyDescent="0.45">
      <c r="A34" s="43">
        <v>15.5</v>
      </c>
      <c r="B34" s="44">
        <v>-1109.2</v>
      </c>
      <c r="C34" s="44">
        <v>-729.3</v>
      </c>
      <c r="D34" s="8">
        <f t="shared" si="0"/>
        <v>-189.95000000000005</v>
      </c>
      <c r="E34" s="61">
        <f t="shared" si="1"/>
        <v>-750.72701916422716</v>
      </c>
      <c r="F34" s="5">
        <v>-1588.1</v>
      </c>
      <c r="G34" s="44">
        <v>-1254.2</v>
      </c>
      <c r="H34" s="8">
        <f t="shared" si="2"/>
        <v>-166.94999999999993</v>
      </c>
      <c r="I34" s="61">
        <f t="shared" si="3"/>
        <v>657.19382343760276</v>
      </c>
      <c r="J34" s="43">
        <f t="shared" si="4"/>
        <v>997.74484657538619</v>
      </c>
      <c r="K34" s="43">
        <f t="shared" ref="K34:K52" si="15">IF(E34&gt;=0,180-DEGREES(ASIN(-I34/J34)),IF(E34&lt;0,DEGREES(ASIN(-I34/J34)),360-DEGREES(ASIN(I34/J34))))</f>
        <v>-41.199222222721694</v>
      </c>
      <c r="L34" s="43">
        <f t="shared" si="6"/>
        <v>138.80077777727831</v>
      </c>
      <c r="M34" s="43">
        <f t="shared" si="7"/>
        <v>-750.72701916422716</v>
      </c>
      <c r="N34" s="43">
        <f t="shared" si="8"/>
        <v>657.19382343760276</v>
      </c>
      <c r="O34" s="43">
        <f t="shared" si="14"/>
        <v>997.74484657538619</v>
      </c>
      <c r="P34" s="43">
        <f t="shared" si="9"/>
        <v>-750.72701916422716</v>
      </c>
      <c r="Q34" s="43">
        <f t="shared" si="10"/>
        <v>657.19382343760276</v>
      </c>
      <c r="R34" s="43">
        <f t="shared" si="11"/>
        <v>997.74484657538619</v>
      </c>
      <c r="S34" s="43">
        <f t="shared" si="12"/>
        <v>138.80077777727831</v>
      </c>
      <c r="T34" s="43">
        <f t="shared" si="13"/>
        <v>138.80077777727831</v>
      </c>
    </row>
    <row r="35" spans="1:20" x14ac:dyDescent="0.45">
      <c r="A35" s="43">
        <v>16</v>
      </c>
      <c r="B35" s="44">
        <v>-1920.5</v>
      </c>
      <c r="C35" s="44">
        <v>-2119.8000000000002</v>
      </c>
      <c r="D35" s="8">
        <f t="shared" ref="D35:D66" si="16">(B35-C35)/2</f>
        <v>99.650000000000091</v>
      </c>
      <c r="E35" s="61">
        <f t="shared" si="1"/>
        <v>-750.26656743567548</v>
      </c>
      <c r="F35" s="5">
        <v>-1054.3</v>
      </c>
      <c r="G35" s="44">
        <v>245.2</v>
      </c>
      <c r="H35" s="8">
        <f t="shared" ref="H35:H66" si="17">(F35-G35)/2</f>
        <v>-649.75</v>
      </c>
      <c r="I35" s="61">
        <f t="shared" si="3"/>
        <v>657.59852161372112</v>
      </c>
      <c r="J35" s="43">
        <f>SQRT(E35^2+I35^2)</f>
        <v>997.66514314185724</v>
      </c>
      <c r="K35" s="43">
        <f t="shared" si="15"/>
        <v>-41.234127787322272</v>
      </c>
      <c r="L35" s="43">
        <f t="shared" si="6"/>
        <v>138.76587221267772</v>
      </c>
      <c r="M35" s="43">
        <f t="shared" ref="M35:M54" si="18">J35*COS(RADIANS(L35))</f>
        <v>-750.26656743567526</v>
      </c>
      <c r="N35" s="43">
        <f t="shared" ref="N35:N54" si="19">J35*SIN(RADIANS(L35))</f>
        <v>657.59852161372135</v>
      </c>
      <c r="O35" s="43">
        <f t="shared" si="14"/>
        <v>997.66514314185724</v>
      </c>
      <c r="P35" s="43">
        <f t="shared" si="9"/>
        <v>-750.26656743567526</v>
      </c>
      <c r="Q35" s="43">
        <f t="shared" si="10"/>
        <v>657.59852161372135</v>
      </c>
      <c r="R35" s="43">
        <f t="shared" si="11"/>
        <v>997.66514314185724</v>
      </c>
      <c r="S35" s="43">
        <f t="shared" si="12"/>
        <v>138.76587221267772</v>
      </c>
      <c r="T35" s="43">
        <f t="shared" si="13"/>
        <v>138.76587221267772</v>
      </c>
    </row>
    <row r="36" spans="1:20" x14ac:dyDescent="0.45">
      <c r="A36" s="43">
        <v>16.5</v>
      </c>
      <c r="B36" s="44">
        <v>-1551.5</v>
      </c>
      <c r="C36" s="44">
        <v>-2155.8000000000002</v>
      </c>
      <c r="D36" s="8">
        <f t="shared" si="16"/>
        <v>302.15000000000009</v>
      </c>
      <c r="E36" s="61">
        <f t="shared" si="1"/>
        <v>-750.50812584289156</v>
      </c>
      <c r="F36" s="5">
        <v>-1280.4000000000001</v>
      </c>
      <c r="G36" s="44">
        <v>177.5</v>
      </c>
      <c r="H36" s="8">
        <f t="shared" si="17"/>
        <v>-728.95</v>
      </c>
      <c r="I36" s="61">
        <f t="shared" si="3"/>
        <v>659.17355745537998</v>
      </c>
      <c r="J36" s="43">
        <f t="shared" si="4"/>
        <v>998.8854918380739</v>
      </c>
      <c r="K36" s="43">
        <f t="shared" si="15"/>
        <v>-41.292935383146265</v>
      </c>
      <c r="L36" s="43">
        <f t="shared" si="6"/>
        <v>138.70706461685373</v>
      </c>
      <c r="M36" s="43">
        <f t="shared" si="18"/>
        <v>-750.50812584289167</v>
      </c>
      <c r="N36" s="43">
        <f t="shared" si="19"/>
        <v>659.17355745537998</v>
      </c>
      <c r="O36" s="43">
        <f t="shared" si="14"/>
        <v>998.8854918380739</v>
      </c>
      <c r="P36" s="43">
        <f t="shared" si="9"/>
        <v>-750.50812584289167</v>
      </c>
      <c r="Q36" s="43">
        <f t="shared" si="10"/>
        <v>659.17355745537998</v>
      </c>
      <c r="R36" s="43">
        <f t="shared" si="11"/>
        <v>998.8854918380739</v>
      </c>
      <c r="S36" s="43">
        <f t="shared" si="12"/>
        <v>138.70706461685373</v>
      </c>
      <c r="T36" s="43">
        <f t="shared" si="13"/>
        <v>138.70706461685373</v>
      </c>
    </row>
    <row r="37" spans="1:20" x14ac:dyDescent="0.45">
      <c r="A37" s="43">
        <v>17</v>
      </c>
      <c r="B37" s="44">
        <v>-1586.3</v>
      </c>
      <c r="C37" s="44">
        <v>-1539</v>
      </c>
      <c r="D37" s="8">
        <f t="shared" si="16"/>
        <v>-23.649999999999977</v>
      </c>
      <c r="E37" s="61">
        <f t="shared" si="1"/>
        <v>-751.2405578496822</v>
      </c>
      <c r="F37" s="5">
        <v>-1115</v>
      </c>
      <c r="G37" s="44">
        <v>-365.7</v>
      </c>
      <c r="H37" s="8">
        <f t="shared" si="17"/>
        <v>-374.65</v>
      </c>
      <c r="I37" s="61">
        <f t="shared" si="3"/>
        <v>660.94057844139581</v>
      </c>
      <c r="J37" s="43">
        <f t="shared" si="4"/>
        <v>1000.6022306534943</v>
      </c>
      <c r="K37" s="43">
        <f t="shared" si="15"/>
        <v>-41.341281374057395</v>
      </c>
      <c r="L37" s="43">
        <f t="shared" si="6"/>
        <v>138.65871862594261</v>
      </c>
      <c r="M37" s="43">
        <f t="shared" si="18"/>
        <v>-751.24055784968243</v>
      </c>
      <c r="N37" s="43">
        <f t="shared" si="19"/>
        <v>660.94057844139559</v>
      </c>
      <c r="O37" s="43">
        <f t="shared" si="14"/>
        <v>1000.6022306534943</v>
      </c>
      <c r="P37" s="43">
        <f t="shared" si="9"/>
        <v>-751.24055784968243</v>
      </c>
      <c r="Q37" s="43">
        <f t="shared" si="10"/>
        <v>660.94057844139559</v>
      </c>
      <c r="R37" s="43">
        <f t="shared" si="11"/>
        <v>1000.6022306534943</v>
      </c>
      <c r="S37" s="43">
        <f t="shared" si="12"/>
        <v>138.65871862594261</v>
      </c>
      <c r="T37" s="43">
        <f t="shared" si="13"/>
        <v>138.65871862594261</v>
      </c>
    </row>
    <row r="38" spans="1:20" x14ac:dyDescent="0.45">
      <c r="A38" s="43">
        <v>17.5</v>
      </c>
      <c r="B38" s="44">
        <v>-1852</v>
      </c>
      <c r="C38" s="44">
        <v>-780.8</v>
      </c>
      <c r="D38" s="8">
        <f t="shared" si="16"/>
        <v>-535.6</v>
      </c>
      <c r="E38" s="61">
        <f t="shared" si="1"/>
        <v>-751.18322863201661</v>
      </c>
      <c r="F38" s="5">
        <v>-929</v>
      </c>
      <c r="G38" s="44">
        <v>-1175.8</v>
      </c>
      <c r="H38" s="8">
        <f t="shared" si="17"/>
        <v>123.39999999999998</v>
      </c>
      <c r="I38" s="61">
        <f t="shared" si="3"/>
        <v>661.84875517016656</v>
      </c>
      <c r="J38" s="43">
        <f t="shared" si="4"/>
        <v>1001.1593368182307</v>
      </c>
      <c r="K38" s="43">
        <f t="shared" si="15"/>
        <v>-41.382470370114405</v>
      </c>
      <c r="L38" s="43">
        <f t="shared" si="6"/>
        <v>138.61752962988561</v>
      </c>
      <c r="M38" s="43">
        <f t="shared" si="18"/>
        <v>-751.18322863201649</v>
      </c>
      <c r="N38" s="43">
        <f t="shared" si="19"/>
        <v>661.84875517016667</v>
      </c>
      <c r="O38" s="43">
        <f t="shared" si="14"/>
        <v>1001.1593368182307</v>
      </c>
      <c r="P38" s="43">
        <f t="shared" si="9"/>
        <v>-751.18322863201649</v>
      </c>
      <c r="Q38" s="43">
        <f t="shared" si="10"/>
        <v>661.84875517016667</v>
      </c>
      <c r="R38" s="43">
        <f t="shared" si="11"/>
        <v>1001.1593368182307</v>
      </c>
      <c r="S38" s="43">
        <f t="shared" si="12"/>
        <v>138.61752962988558</v>
      </c>
      <c r="T38" s="43">
        <f t="shared" si="13"/>
        <v>138.61752962988558</v>
      </c>
    </row>
    <row r="39" spans="1:20" x14ac:dyDescent="0.45">
      <c r="A39" s="43">
        <v>18</v>
      </c>
      <c r="B39" s="44">
        <v>-2400.6</v>
      </c>
      <c r="C39" s="44">
        <v>259</v>
      </c>
      <c r="D39" s="8">
        <f t="shared" si="16"/>
        <v>-1329.8</v>
      </c>
      <c r="E39" s="61">
        <f t="shared" si="1"/>
        <v>-749.88489905303754</v>
      </c>
      <c r="F39" s="5">
        <v>-331.8</v>
      </c>
      <c r="G39" s="44">
        <v>-2257.8000000000002</v>
      </c>
      <c r="H39" s="8">
        <f t="shared" si="17"/>
        <v>963.00000000000011</v>
      </c>
      <c r="I39" s="61">
        <f t="shared" si="3"/>
        <v>661.54962514676583</v>
      </c>
      <c r="J39" s="43">
        <f t="shared" si="4"/>
        <v>999.98763410334766</v>
      </c>
      <c r="K39" s="43">
        <f t="shared" si="15"/>
        <v>-41.418788410392466</v>
      </c>
      <c r="L39" s="43">
        <f t="shared" si="6"/>
        <v>138.58121158960753</v>
      </c>
      <c r="M39" s="43">
        <f t="shared" si="18"/>
        <v>-749.88489905303766</v>
      </c>
      <c r="N39" s="43">
        <f t="shared" si="19"/>
        <v>661.54962514676572</v>
      </c>
      <c r="O39" s="43">
        <f t="shared" si="14"/>
        <v>999.98763410334766</v>
      </c>
      <c r="P39" s="43">
        <f t="shared" si="9"/>
        <v>-749.88489905303766</v>
      </c>
      <c r="Q39" s="43">
        <f t="shared" si="10"/>
        <v>661.54962514676572</v>
      </c>
      <c r="R39" s="43">
        <f t="shared" si="11"/>
        <v>999.98763410334766</v>
      </c>
      <c r="S39" s="43">
        <f t="shared" si="12"/>
        <v>138.58121158960753</v>
      </c>
      <c r="T39" s="43">
        <f t="shared" si="13"/>
        <v>138.58121158960753</v>
      </c>
    </row>
    <row r="40" spans="1:20" x14ac:dyDescent="0.45">
      <c r="A40" s="43">
        <v>18.5</v>
      </c>
      <c r="B40" s="44">
        <v>-3001.4</v>
      </c>
      <c r="C40" s="44">
        <v>765.8</v>
      </c>
      <c r="D40" s="8">
        <f t="shared" si="16"/>
        <v>-1883.6</v>
      </c>
      <c r="E40" s="61">
        <f t="shared" si="1"/>
        <v>-746.66139521799403</v>
      </c>
      <c r="F40" s="5">
        <v>198.6</v>
      </c>
      <c r="G40" s="44">
        <v>-2717.8</v>
      </c>
      <c r="H40" s="8">
        <f t="shared" si="17"/>
        <v>1458.2</v>
      </c>
      <c r="I40" s="61">
        <f t="shared" si="3"/>
        <v>659.21525575272892</v>
      </c>
      <c r="J40" s="43">
        <f t="shared" si="4"/>
        <v>996.02610032368989</v>
      </c>
      <c r="K40" s="43">
        <f t="shared" si="15"/>
        <v>-41.440762959423871</v>
      </c>
      <c r="L40" s="43">
        <f t="shared" si="6"/>
        <v>138.55923704057614</v>
      </c>
      <c r="M40" s="43">
        <f t="shared" si="18"/>
        <v>-746.66139521799391</v>
      </c>
      <c r="N40" s="43">
        <f t="shared" si="19"/>
        <v>659.21525575272892</v>
      </c>
      <c r="O40" s="43">
        <f t="shared" si="14"/>
        <v>996.02610032368989</v>
      </c>
      <c r="P40" s="43">
        <f t="shared" si="9"/>
        <v>-746.66139521799391</v>
      </c>
      <c r="Q40" s="43">
        <f t="shared" si="10"/>
        <v>659.21525575272892</v>
      </c>
      <c r="R40" s="43">
        <f t="shared" si="11"/>
        <v>996.02610032368989</v>
      </c>
      <c r="S40" s="43">
        <f t="shared" si="12"/>
        <v>138.55923704057614</v>
      </c>
      <c r="T40" s="43">
        <f t="shared" si="13"/>
        <v>138.55923704057614</v>
      </c>
    </row>
    <row r="41" spans="1:20" x14ac:dyDescent="0.45">
      <c r="A41" s="43">
        <v>19</v>
      </c>
      <c r="B41" s="44">
        <v>-2575.5</v>
      </c>
      <c r="C41" s="44">
        <v>-1047.5</v>
      </c>
      <c r="D41" s="8">
        <f t="shared" si="16"/>
        <v>-764</v>
      </c>
      <c r="E41" s="61">
        <f t="shared" si="1"/>
        <v>-742.09548343040342</v>
      </c>
      <c r="F41" s="5">
        <v>-250</v>
      </c>
      <c r="G41" s="44">
        <v>-802.1</v>
      </c>
      <c r="H41" s="8">
        <f t="shared" si="17"/>
        <v>276.05</v>
      </c>
      <c r="I41" s="61">
        <f t="shared" si="3"/>
        <v>655.68050864753843</v>
      </c>
      <c r="J41" s="43">
        <f t="shared" si="4"/>
        <v>990.26392237024311</v>
      </c>
      <c r="K41" s="43">
        <f t="shared" si="15"/>
        <v>-41.462294549546428</v>
      </c>
      <c r="L41" s="43">
        <f t="shared" si="6"/>
        <v>138.53770545045359</v>
      </c>
      <c r="M41" s="43">
        <f t="shared" si="18"/>
        <v>-742.09548343040331</v>
      </c>
      <c r="N41" s="43">
        <f t="shared" si="19"/>
        <v>655.68050864753843</v>
      </c>
      <c r="O41" s="43">
        <f t="shared" si="14"/>
        <v>990.26392237024299</v>
      </c>
      <c r="P41" s="43">
        <f t="shared" si="9"/>
        <v>-742.09548343040331</v>
      </c>
      <c r="Q41" s="43">
        <f t="shared" si="10"/>
        <v>655.68050864753843</v>
      </c>
      <c r="R41" s="43">
        <f t="shared" si="11"/>
        <v>990.26392237024299</v>
      </c>
      <c r="S41" s="43">
        <f t="shared" si="12"/>
        <v>138.53770545045359</v>
      </c>
      <c r="T41" s="43">
        <f t="shared" si="13"/>
        <v>138.53770545045359</v>
      </c>
    </row>
    <row r="42" spans="1:20" x14ac:dyDescent="0.45">
      <c r="A42" s="43">
        <v>19.5</v>
      </c>
      <c r="B42" s="44">
        <v>-2023.5</v>
      </c>
      <c r="C42" s="44">
        <v>-584.20000000000005</v>
      </c>
      <c r="D42" s="8">
        <f t="shared" si="16"/>
        <v>-719.65</v>
      </c>
      <c r="E42" s="61">
        <f t="shared" si="1"/>
        <v>-740.24349940326965</v>
      </c>
      <c r="F42" s="5">
        <v>-850</v>
      </c>
      <c r="G42" s="44">
        <v>-1324.5</v>
      </c>
      <c r="H42" s="8">
        <f t="shared" si="17"/>
        <v>237.25</v>
      </c>
      <c r="I42" s="61">
        <f t="shared" si="3"/>
        <v>655.01134476394611</v>
      </c>
      <c r="J42" s="43">
        <f t="shared" si="4"/>
        <v>988.43325529763081</v>
      </c>
      <c r="K42" s="43">
        <f t="shared" si="15"/>
        <v>-41.504307506245674</v>
      </c>
      <c r="L42" s="43">
        <f t="shared" si="6"/>
        <v>138.49569249375432</v>
      </c>
      <c r="M42" s="43">
        <f t="shared" si="18"/>
        <v>-740.24349940326942</v>
      </c>
      <c r="N42" s="43">
        <f t="shared" si="19"/>
        <v>655.01134476394634</v>
      </c>
      <c r="O42" s="43">
        <f t="shared" si="14"/>
        <v>988.43325529763081</v>
      </c>
      <c r="P42" s="43">
        <f t="shared" si="9"/>
        <v>-740.24349940326942</v>
      </c>
      <c r="Q42" s="43">
        <f t="shared" si="10"/>
        <v>655.01134476394634</v>
      </c>
      <c r="R42" s="43">
        <f t="shared" si="11"/>
        <v>988.43325529763081</v>
      </c>
      <c r="S42" s="43">
        <f t="shared" si="12"/>
        <v>138.49569249375432</v>
      </c>
      <c r="T42" s="43">
        <f t="shared" si="13"/>
        <v>138.49569249375432</v>
      </c>
    </row>
    <row r="43" spans="1:20" x14ac:dyDescent="0.45">
      <c r="A43" s="43">
        <v>20</v>
      </c>
      <c r="B43" s="44">
        <v>-1263.8</v>
      </c>
      <c r="C43" s="44">
        <v>566.4</v>
      </c>
      <c r="D43" s="8">
        <f t="shared" si="16"/>
        <v>-915.09999999999991</v>
      </c>
      <c r="E43" s="61">
        <f t="shared" si="1"/>
        <v>-738.49902211443339</v>
      </c>
      <c r="F43" s="5">
        <v>-1459.4</v>
      </c>
      <c r="G43" s="44">
        <v>-2431.1</v>
      </c>
      <c r="H43" s="8">
        <f t="shared" si="17"/>
        <v>485.84999999999991</v>
      </c>
      <c r="I43" s="61">
        <f t="shared" si="3"/>
        <v>654.43623466154236</v>
      </c>
      <c r="J43" s="43">
        <f t="shared" si="4"/>
        <v>986.74596067171808</v>
      </c>
      <c r="K43" s="43">
        <f t="shared" si="15"/>
        <v>-41.546423520579026</v>
      </c>
      <c r="L43" s="43">
        <f t="shared" si="6"/>
        <v>138.45357647942097</v>
      </c>
      <c r="M43" s="43">
        <f t="shared" si="18"/>
        <v>-738.49902211443327</v>
      </c>
      <c r="N43" s="43">
        <f t="shared" si="19"/>
        <v>654.43623466154247</v>
      </c>
      <c r="O43" s="43">
        <f t="shared" si="14"/>
        <v>986.74596067171808</v>
      </c>
      <c r="P43" s="43">
        <f t="shared" si="9"/>
        <v>-738.49902211443327</v>
      </c>
      <c r="Q43" s="43">
        <f t="shared" si="10"/>
        <v>654.43623466154247</v>
      </c>
      <c r="R43" s="43">
        <f t="shared" si="11"/>
        <v>986.74596067171808</v>
      </c>
      <c r="S43" s="43">
        <f t="shared" si="12"/>
        <v>138.45357647942097</v>
      </c>
      <c r="T43" s="43">
        <f t="shared" si="13"/>
        <v>138.45357647942097</v>
      </c>
    </row>
    <row r="44" spans="1:20" x14ac:dyDescent="0.45">
      <c r="A44" s="43">
        <v>20.5</v>
      </c>
      <c r="B44" s="44">
        <v>-566.20000000000005</v>
      </c>
      <c r="C44" s="44">
        <v>1921.2</v>
      </c>
      <c r="D44" s="8">
        <f t="shared" si="16"/>
        <v>-1243.7</v>
      </c>
      <c r="E44" s="61">
        <f t="shared" si="1"/>
        <v>-736.2807643934533</v>
      </c>
      <c r="F44" s="5">
        <v>-2063.9</v>
      </c>
      <c r="G44" s="44">
        <v>-3862.6</v>
      </c>
      <c r="H44" s="8">
        <f t="shared" si="17"/>
        <v>899.34999999999991</v>
      </c>
      <c r="I44" s="61">
        <f t="shared" si="3"/>
        <v>653.2585021157621</v>
      </c>
      <c r="J44" s="43">
        <f t="shared" si="4"/>
        <v>984.30484840944325</v>
      </c>
      <c r="K44" s="43">
        <f t="shared" si="15"/>
        <v>-41.580753714577334</v>
      </c>
      <c r="L44" s="43">
        <f t="shared" si="6"/>
        <v>138.41924628542267</v>
      </c>
      <c r="M44" s="43">
        <f t="shared" si="18"/>
        <v>-736.28076439345341</v>
      </c>
      <c r="N44" s="43">
        <f t="shared" si="19"/>
        <v>653.25850211576198</v>
      </c>
      <c r="O44" s="43">
        <f t="shared" si="14"/>
        <v>984.30484840944325</v>
      </c>
      <c r="P44" s="43">
        <f t="shared" si="9"/>
        <v>-736.28076439345341</v>
      </c>
      <c r="Q44" s="43">
        <f t="shared" si="10"/>
        <v>653.25850211576198</v>
      </c>
      <c r="R44" s="43">
        <f t="shared" si="11"/>
        <v>984.30484840944325</v>
      </c>
      <c r="S44" s="43">
        <f t="shared" si="12"/>
        <v>138.41924628542267</v>
      </c>
      <c r="T44" s="43">
        <f t="shared" si="13"/>
        <v>138.41924628542267</v>
      </c>
    </row>
    <row r="45" spans="1:20" x14ac:dyDescent="0.45">
      <c r="A45" s="43">
        <v>21</v>
      </c>
      <c r="B45" s="44">
        <v>-300.8</v>
      </c>
      <c r="C45" s="44">
        <v>2867.6</v>
      </c>
      <c r="D45" s="8">
        <f t="shared" si="16"/>
        <v>-1584.2</v>
      </c>
      <c r="E45" s="61">
        <f t="shared" si="1"/>
        <v>-733.26596878540909</v>
      </c>
      <c r="F45" s="5">
        <v>-2561.9</v>
      </c>
      <c r="G45" s="44">
        <v>-4744.8</v>
      </c>
      <c r="H45" s="8">
        <f t="shared" si="17"/>
        <v>1091.45</v>
      </c>
      <c r="I45" s="61">
        <f t="shared" si="3"/>
        <v>651.07842310286424</v>
      </c>
      <c r="J45" s="43">
        <f t="shared" si="4"/>
        <v>980.60292372035929</v>
      </c>
      <c r="K45" s="43">
        <f t="shared" si="15"/>
        <v>-41.602378301724038</v>
      </c>
      <c r="L45" s="43">
        <f t="shared" si="6"/>
        <v>138.39762169827597</v>
      </c>
      <c r="M45" s="43">
        <f t="shared" si="18"/>
        <v>-733.2659687854092</v>
      </c>
      <c r="N45" s="43">
        <f t="shared" si="19"/>
        <v>651.07842310286412</v>
      </c>
      <c r="O45" s="43">
        <f t="shared" si="14"/>
        <v>980.6029237203594</v>
      </c>
      <c r="P45" s="43">
        <f t="shared" si="9"/>
        <v>-733.2659687854092</v>
      </c>
      <c r="Q45" s="43">
        <f t="shared" si="10"/>
        <v>651.07842310286412</v>
      </c>
      <c r="R45" s="43">
        <f t="shared" si="11"/>
        <v>980.6029237203594</v>
      </c>
      <c r="S45" s="43">
        <f t="shared" si="12"/>
        <v>138.39762169827597</v>
      </c>
      <c r="T45" s="43">
        <f t="shared" si="13"/>
        <v>138.39762169827597</v>
      </c>
    </row>
    <row r="46" spans="1:20" x14ac:dyDescent="0.45">
      <c r="A46" s="43">
        <v>21.5</v>
      </c>
      <c r="B46" s="44">
        <v>144.30000000000001</v>
      </c>
      <c r="C46" s="44">
        <v>2511.6999999999998</v>
      </c>
      <c r="D46" s="8">
        <f t="shared" si="16"/>
        <v>-1183.6999999999998</v>
      </c>
      <c r="E46" s="61">
        <f t="shared" si="1"/>
        <v>-729.42579737213407</v>
      </c>
      <c r="F46" s="5">
        <v>-2914</v>
      </c>
      <c r="G46" s="44">
        <v>-4479.3</v>
      </c>
      <c r="H46" s="8">
        <f t="shared" si="17"/>
        <v>782.65000000000009</v>
      </c>
      <c r="I46" s="61">
        <f t="shared" si="3"/>
        <v>648.43268598842553</v>
      </c>
      <c r="J46" s="43">
        <f t="shared" si="4"/>
        <v>975.97486757095226</v>
      </c>
      <c r="K46" s="43">
        <f t="shared" si="15"/>
        <v>-41.635917475756905</v>
      </c>
      <c r="L46" s="43">
        <f t="shared" si="6"/>
        <v>138.36408252424309</v>
      </c>
      <c r="M46" s="43">
        <f t="shared" si="18"/>
        <v>-729.42579737213407</v>
      </c>
      <c r="N46" s="43">
        <f t="shared" si="19"/>
        <v>648.43268598842565</v>
      </c>
      <c r="O46" s="43">
        <f t="shared" si="14"/>
        <v>975.97486757095226</v>
      </c>
      <c r="P46" s="43">
        <f t="shared" si="9"/>
        <v>-729.42579737213407</v>
      </c>
      <c r="Q46" s="43">
        <f t="shared" si="10"/>
        <v>648.43268598842565</v>
      </c>
      <c r="R46" s="43">
        <f t="shared" si="11"/>
        <v>975.97486757095226</v>
      </c>
      <c r="S46" s="43">
        <f t="shared" si="12"/>
        <v>138.36408252424309</v>
      </c>
      <c r="T46" s="43">
        <f t="shared" si="13"/>
        <v>138.36408252424309</v>
      </c>
    </row>
    <row r="47" spans="1:20" x14ac:dyDescent="0.45">
      <c r="A47" s="43">
        <v>22</v>
      </c>
      <c r="B47" s="44">
        <v>523.1</v>
      </c>
      <c r="C47" s="44">
        <v>849.6</v>
      </c>
      <c r="D47" s="8">
        <f t="shared" si="16"/>
        <v>-163.25</v>
      </c>
      <c r="E47" s="61">
        <f t="shared" si="1"/>
        <v>-726.55644335001671</v>
      </c>
      <c r="F47" s="5">
        <v>-3322.3</v>
      </c>
      <c r="G47" s="44">
        <v>-2696.9</v>
      </c>
      <c r="H47" s="8">
        <f t="shared" si="17"/>
        <v>-312.70000000000005</v>
      </c>
      <c r="I47" s="61">
        <f t="shared" si="3"/>
        <v>646.53549340328016</v>
      </c>
      <c r="J47" s="43">
        <f t="shared" si="4"/>
        <v>972.57000241815444</v>
      </c>
      <c r="K47" s="43">
        <f t="shared" si="15"/>
        <v>-41.664693320845004</v>
      </c>
      <c r="L47" s="43">
        <f t="shared" si="6"/>
        <v>138.335306679155</v>
      </c>
      <c r="M47" s="43">
        <f t="shared" si="18"/>
        <v>-726.55644335001659</v>
      </c>
      <c r="N47" s="43">
        <f t="shared" si="19"/>
        <v>646.53549340328027</v>
      </c>
      <c r="O47" s="43">
        <f t="shared" si="14"/>
        <v>972.57000241815444</v>
      </c>
      <c r="P47" s="43">
        <f t="shared" si="9"/>
        <v>-726.55644335001659</v>
      </c>
      <c r="Q47" s="43">
        <f t="shared" si="10"/>
        <v>646.53549340328027</v>
      </c>
      <c r="R47" s="43">
        <f t="shared" si="11"/>
        <v>972.57000241815444</v>
      </c>
      <c r="S47" s="43">
        <f t="shared" si="12"/>
        <v>138.335306679155</v>
      </c>
      <c r="T47" s="43">
        <f t="shared" si="13"/>
        <v>138.335306679155</v>
      </c>
    </row>
    <row r="48" spans="1:20" x14ac:dyDescent="0.45">
      <c r="A48" s="43">
        <v>22.5</v>
      </c>
      <c r="B48" s="44">
        <v>337.8</v>
      </c>
      <c r="C48" s="44">
        <v>1487.8</v>
      </c>
      <c r="D48" s="8">
        <f t="shared" si="16"/>
        <v>-575</v>
      </c>
      <c r="E48" s="61">
        <f t="shared" si="1"/>
        <v>-726.16071422412563</v>
      </c>
      <c r="F48" s="5">
        <v>-3131</v>
      </c>
      <c r="G48" s="44">
        <v>-3490.6</v>
      </c>
      <c r="H48" s="8">
        <f t="shared" si="17"/>
        <v>179.79999999999995</v>
      </c>
      <c r="I48" s="61">
        <f t="shared" si="3"/>
        <v>647.29349930334149</v>
      </c>
      <c r="J48" s="43">
        <f t="shared" si="4"/>
        <v>972.77862698707418</v>
      </c>
      <c r="K48" s="43">
        <f t="shared" si="15"/>
        <v>-41.713540446222616</v>
      </c>
      <c r="L48" s="43">
        <f t="shared" si="6"/>
        <v>138.28645955377738</v>
      </c>
      <c r="M48" s="43">
        <f t="shared" si="18"/>
        <v>-726.16071422412551</v>
      </c>
      <c r="N48" s="43">
        <f t="shared" si="19"/>
        <v>647.2934993033416</v>
      </c>
      <c r="O48" s="43">
        <f t="shared" si="14"/>
        <v>972.77862698707418</v>
      </c>
      <c r="P48" s="43">
        <f t="shared" si="9"/>
        <v>-726.16071422412551</v>
      </c>
      <c r="Q48" s="43">
        <f t="shared" si="10"/>
        <v>647.2934993033416</v>
      </c>
      <c r="R48" s="43">
        <f t="shared" si="11"/>
        <v>972.77862698707418</v>
      </c>
      <c r="S48" s="43">
        <f t="shared" si="12"/>
        <v>138.28645955377738</v>
      </c>
      <c r="T48" s="43">
        <f t="shared" si="13"/>
        <v>138.28645955377738</v>
      </c>
    </row>
    <row r="49" spans="1:20" x14ac:dyDescent="0.45">
      <c r="A49" s="43">
        <v>23</v>
      </c>
      <c r="B49" s="44">
        <v>225.3</v>
      </c>
      <c r="C49" s="44">
        <v>4066.6</v>
      </c>
      <c r="D49" s="8">
        <f t="shared" si="16"/>
        <v>-1920.6499999999999</v>
      </c>
      <c r="E49" s="61">
        <f t="shared" si="1"/>
        <v>-724.7668766962247</v>
      </c>
      <c r="F49" s="5">
        <v>-2998.6</v>
      </c>
      <c r="G49" s="44">
        <v>-5931.5</v>
      </c>
      <c r="H49" s="8">
        <f t="shared" si="17"/>
        <v>1466.45</v>
      </c>
      <c r="I49" s="61">
        <f t="shared" si="3"/>
        <v>646.8576518592206</v>
      </c>
      <c r="J49" s="43">
        <f t="shared" si="4"/>
        <v>971.44832457770246</v>
      </c>
      <c r="K49" s="43">
        <f t="shared" si="15"/>
        <v>-41.749053166690551</v>
      </c>
      <c r="L49" s="43">
        <f t="shared" si="6"/>
        <v>138.25094683330946</v>
      </c>
      <c r="M49" s="43">
        <f t="shared" si="18"/>
        <v>-724.76687669622447</v>
      </c>
      <c r="N49" s="43">
        <f t="shared" si="19"/>
        <v>646.85765185922082</v>
      </c>
      <c r="O49" s="43">
        <f t="shared" si="14"/>
        <v>971.44832457770246</v>
      </c>
      <c r="P49" s="43">
        <f t="shared" si="9"/>
        <v>-724.76687669622447</v>
      </c>
      <c r="Q49" s="43">
        <f t="shared" si="10"/>
        <v>646.85765185922082</v>
      </c>
      <c r="R49" s="43">
        <f t="shared" si="11"/>
        <v>971.44832457770246</v>
      </c>
      <c r="S49" s="43">
        <f t="shared" si="12"/>
        <v>138.25094683330943</v>
      </c>
      <c r="T49" s="43">
        <f t="shared" si="13"/>
        <v>138.25094683330943</v>
      </c>
    </row>
    <row r="50" spans="1:20" x14ac:dyDescent="0.45">
      <c r="A50" s="43">
        <v>23.5</v>
      </c>
      <c r="B50" s="44">
        <v>-795.3</v>
      </c>
      <c r="C50" s="44">
        <v>6644.7</v>
      </c>
      <c r="D50" s="8">
        <f t="shared" si="16"/>
        <v>-3720</v>
      </c>
      <c r="E50" s="61">
        <f t="shared" si="1"/>
        <v>-720.11115699313757</v>
      </c>
      <c r="F50" s="5">
        <v>-1966.8</v>
      </c>
      <c r="G50" s="44">
        <v>-8633.9</v>
      </c>
      <c r="H50" s="8">
        <f t="shared" si="17"/>
        <v>3333.5499999999997</v>
      </c>
      <c r="I50" s="61">
        <f t="shared" si="3"/>
        <v>643.30290669226486</v>
      </c>
      <c r="J50" s="43">
        <f t="shared" si="4"/>
        <v>965.60794745316389</v>
      </c>
      <c r="K50" s="43">
        <f t="shared" si="15"/>
        <v>-41.77563698172937</v>
      </c>
      <c r="L50" s="43">
        <f t="shared" si="6"/>
        <v>138.22436301827062</v>
      </c>
      <c r="M50" s="43">
        <f t="shared" si="18"/>
        <v>-720.11115699313757</v>
      </c>
      <c r="N50" s="43">
        <f t="shared" si="19"/>
        <v>643.30290669226497</v>
      </c>
      <c r="O50" s="43">
        <f t="shared" si="14"/>
        <v>965.60794745316389</v>
      </c>
      <c r="P50" s="43">
        <f t="shared" si="9"/>
        <v>-720.11115699313757</v>
      </c>
      <c r="Q50" s="43">
        <f t="shared" si="10"/>
        <v>643.30290669226497</v>
      </c>
      <c r="R50" s="43">
        <f t="shared" si="11"/>
        <v>965.60794745316389</v>
      </c>
      <c r="S50" s="43">
        <f t="shared" si="12"/>
        <v>138.22436301827062</v>
      </c>
      <c r="T50" s="43">
        <f t="shared" si="13"/>
        <v>138.22436301827062</v>
      </c>
    </row>
    <row r="51" spans="1:20" x14ac:dyDescent="0.45">
      <c r="A51" s="43">
        <v>24</v>
      </c>
      <c r="B51" s="44">
        <v>-2053.9</v>
      </c>
      <c r="C51" s="44">
        <v>8469.2999999999993</v>
      </c>
      <c r="D51" s="8">
        <f t="shared" si="16"/>
        <v>-5261.5999999999995</v>
      </c>
      <c r="E51" s="61">
        <f t="shared" si="1"/>
        <v>-711.09411136267181</v>
      </c>
      <c r="F51" s="5">
        <v>-570.6</v>
      </c>
      <c r="G51" s="44">
        <v>-10415.1</v>
      </c>
      <c r="H51" s="8">
        <f t="shared" si="17"/>
        <v>4922.25</v>
      </c>
      <c r="I51" s="61">
        <f t="shared" si="3"/>
        <v>635.22250522879301</v>
      </c>
      <c r="J51" s="43">
        <f t="shared" si="4"/>
        <v>953.50011345768166</v>
      </c>
      <c r="K51" s="43">
        <f t="shared" si="15"/>
        <v>-41.774510890357597</v>
      </c>
      <c r="L51" s="43">
        <f t="shared" si="6"/>
        <v>138.22548910964241</v>
      </c>
      <c r="M51" s="43">
        <f t="shared" si="18"/>
        <v>-711.09411136267192</v>
      </c>
      <c r="N51" s="43">
        <f t="shared" si="19"/>
        <v>635.2225052287929</v>
      </c>
      <c r="O51" s="43">
        <f t="shared" si="14"/>
        <v>953.50011345768166</v>
      </c>
      <c r="P51" s="43">
        <f t="shared" si="9"/>
        <v>-711.09411136267192</v>
      </c>
      <c r="Q51" s="43">
        <f t="shared" si="10"/>
        <v>635.2225052287929</v>
      </c>
      <c r="R51" s="43">
        <f t="shared" si="11"/>
        <v>953.50011345768166</v>
      </c>
      <c r="S51" s="43">
        <f t="shared" si="12"/>
        <v>138.22548910964241</v>
      </c>
      <c r="T51" s="43">
        <f t="shared" si="13"/>
        <v>138.22548910964241</v>
      </c>
    </row>
    <row r="52" spans="1:20" x14ac:dyDescent="0.45">
      <c r="A52" s="43">
        <v>24.5</v>
      </c>
      <c r="B52" s="44">
        <v>-3401.5</v>
      </c>
      <c r="C52" s="44">
        <v>8999.7000000000007</v>
      </c>
      <c r="D52" s="8">
        <f t="shared" si="16"/>
        <v>-6200.6</v>
      </c>
      <c r="E52" s="61">
        <f t="shared" si="1"/>
        <v>-698.34101623281481</v>
      </c>
      <c r="F52" s="5">
        <v>575.29999999999995</v>
      </c>
      <c r="G52" s="44">
        <v>-11023.3</v>
      </c>
      <c r="H52" s="8">
        <f t="shared" si="17"/>
        <v>5799.2999999999993</v>
      </c>
      <c r="I52" s="61">
        <f t="shared" si="3"/>
        <v>623.29176697729179</v>
      </c>
      <c r="J52" s="43">
        <f t="shared" si="4"/>
        <v>936.04102566861627</v>
      </c>
      <c r="K52" s="43">
        <f t="shared" si="15"/>
        <v>-41.749935131461335</v>
      </c>
      <c r="L52" s="43">
        <f t="shared" si="6"/>
        <v>138.25006486853866</v>
      </c>
      <c r="M52" s="43">
        <f t="shared" si="18"/>
        <v>-698.34101623281481</v>
      </c>
      <c r="N52" s="43">
        <f t="shared" si="19"/>
        <v>623.2917669772919</v>
      </c>
      <c r="O52" s="43">
        <f t="shared" si="14"/>
        <v>936.04102566861638</v>
      </c>
      <c r="P52" s="43">
        <f t="shared" si="9"/>
        <v>-698.34101623281481</v>
      </c>
      <c r="Q52" s="43">
        <f t="shared" si="10"/>
        <v>623.2917669772919</v>
      </c>
      <c r="R52" s="43">
        <f t="shared" si="11"/>
        <v>936.04102566861638</v>
      </c>
      <c r="S52" s="43">
        <f t="shared" si="12"/>
        <v>138.25006486853866</v>
      </c>
      <c r="T52" s="43">
        <f t="shared" si="13"/>
        <v>138.25006486853866</v>
      </c>
    </row>
    <row r="53" spans="1:20" x14ac:dyDescent="0.45">
      <c r="A53" s="43">
        <v>25</v>
      </c>
      <c r="B53" s="44">
        <v>-4519.1000000000004</v>
      </c>
      <c r="C53" s="44">
        <v>4684.2</v>
      </c>
      <c r="D53" s="8">
        <f t="shared" si="16"/>
        <v>-4601.6499999999996</v>
      </c>
      <c r="E53" s="61">
        <f t="shared" si="1"/>
        <v>-683.31260140869279</v>
      </c>
      <c r="F53" s="5">
        <v>1476.5</v>
      </c>
      <c r="G53" s="44">
        <v>-6709.8</v>
      </c>
      <c r="H53" s="8">
        <f t="shared" si="17"/>
        <v>4093.15</v>
      </c>
      <c r="I53" s="61">
        <f t="shared" ref="I53:I54" si="20">0.5*SIN(H53/3600*PI()/180)*1000+I54</f>
        <v>609.23571912388786</v>
      </c>
      <c r="J53" s="43">
        <f t="shared" ref="J53:J54" si="21">SQRT(E53^2+I53^2)</f>
        <v>915.46942750717562</v>
      </c>
      <c r="K53" s="43">
        <f t="shared" ref="K53:K54" si="22">IF(E53&gt;=0,180-DEGREES(ASIN(-I53/J53)),IF(E53&lt;0,DEGREES(ASIN(-I53/J53)),360-DEGREES(ASIN(I53/J53))))</f>
        <v>-41.719925311301573</v>
      </c>
      <c r="L53" s="43">
        <f t="shared" ref="L53:L54" si="23">IF((K53+$L$1)&lt;=360,K53+$L$1,K53+$L$1-360)</f>
        <v>138.28007468869842</v>
      </c>
      <c r="M53" s="43">
        <f t="shared" si="18"/>
        <v>-683.31260140869267</v>
      </c>
      <c r="N53" s="43">
        <f t="shared" si="19"/>
        <v>609.23571912388809</v>
      </c>
      <c r="O53" s="43">
        <f t="shared" si="14"/>
        <v>915.46942750717574</v>
      </c>
      <c r="P53" s="43">
        <f t="shared" ref="P53:P54" si="24">M53</f>
        <v>-683.31260140869267</v>
      </c>
      <c r="Q53" s="43">
        <f t="shared" ref="Q53:Q54" si="25">N53</f>
        <v>609.23571912388809</v>
      </c>
      <c r="R53" s="43">
        <f t="shared" ref="R53:R54" si="26">SQRT(P53^2+Q53^2)</f>
        <v>915.46942750717574</v>
      </c>
      <c r="S53" s="43">
        <f t="shared" ref="S53:S54" si="27">IF(R53=0,0,IF(P53&gt;=0,DEGREES(ASIN(Q53/R53)),(180-DEGREES(ASIN(Q53/R53)))))</f>
        <v>138.28007468869839</v>
      </c>
      <c r="T53" s="43">
        <f t="shared" ref="T53:T54" si="28">IF(S53&lt;0,360+S53,S53)</f>
        <v>138.28007468869839</v>
      </c>
    </row>
    <row r="54" spans="1:20" x14ac:dyDescent="0.45">
      <c r="A54" s="43">
        <v>25.5</v>
      </c>
      <c r="B54" s="44">
        <v>-4103.5</v>
      </c>
      <c r="C54" s="44">
        <v>2343.5</v>
      </c>
      <c r="D54" s="8">
        <f t="shared" si="16"/>
        <v>-3223.5</v>
      </c>
      <c r="E54" s="61">
        <f t="shared" ref="E54" si="29">0.5*SIN(D54/3600*PI()/180)*1000+E55</f>
        <v>-672.15881231056358</v>
      </c>
      <c r="F54" s="5">
        <v>1314.2</v>
      </c>
      <c r="G54" s="44">
        <v>-4304.8999999999996</v>
      </c>
      <c r="H54" s="8">
        <f t="shared" si="17"/>
        <v>2809.5499999999997</v>
      </c>
      <c r="I54" s="61">
        <f t="shared" si="20"/>
        <v>599.31429471981289</v>
      </c>
      <c r="J54" s="43">
        <f t="shared" si="21"/>
        <v>900.54155530006176</v>
      </c>
      <c r="K54" s="43">
        <f t="shared" si="22"/>
        <v>-41.721027028505915</v>
      </c>
      <c r="L54" s="43">
        <f t="shared" si="23"/>
        <v>138.27897297149408</v>
      </c>
      <c r="M54" s="43">
        <f t="shared" si="18"/>
        <v>-672.15881231056369</v>
      </c>
      <c r="N54" s="43">
        <f t="shared" si="19"/>
        <v>599.31429471981278</v>
      </c>
      <c r="O54" s="43">
        <f t="shared" si="14"/>
        <v>900.54155530006176</v>
      </c>
      <c r="P54" s="43">
        <f t="shared" si="24"/>
        <v>-672.15881231056369</v>
      </c>
      <c r="Q54" s="43">
        <f t="shared" si="25"/>
        <v>599.31429471981278</v>
      </c>
      <c r="R54" s="43">
        <f t="shared" si="26"/>
        <v>900.54155530006176</v>
      </c>
      <c r="S54" s="43">
        <f t="shared" si="27"/>
        <v>138.27897297149408</v>
      </c>
      <c r="T54" s="43">
        <f t="shared" si="28"/>
        <v>138.27897297149408</v>
      </c>
    </row>
    <row r="55" spans="1:20" s="41" customFormat="1" x14ac:dyDescent="0.45">
      <c r="A55" s="43">
        <v>26</v>
      </c>
      <c r="B55" s="44">
        <v>-3600.6</v>
      </c>
      <c r="C55" s="44">
        <v>109.1</v>
      </c>
      <c r="D55" s="8">
        <f t="shared" si="16"/>
        <v>-1854.85</v>
      </c>
      <c r="E55" s="61">
        <f t="shared" ref="E55:E118" si="30">0.5*SIN(D55/3600*PI()/180)*1000+E56</f>
        <v>-664.34514587408376</v>
      </c>
      <c r="F55" s="5">
        <v>825.4</v>
      </c>
      <c r="G55" s="44">
        <v>-2072.5</v>
      </c>
      <c r="H55" s="8">
        <f t="shared" si="17"/>
        <v>1448.95</v>
      </c>
      <c r="I55" s="61">
        <f t="shared" ref="I55:I118" si="31">0.5*SIN(H55/3600*PI()/180)*1000+I56</f>
        <v>592.50396392676578</v>
      </c>
      <c r="J55" s="43">
        <f t="shared" ref="J55:J118" si="32">SQRT(E55^2+I55^2)</f>
        <v>890.17718467470718</v>
      </c>
      <c r="K55" s="43">
        <f t="shared" ref="K55:K118" si="33">IF(E55&gt;=0,180-DEGREES(ASIN(-I55/J55)),IF(E55&lt;0,DEGREES(ASIN(-I55/J55)),360-DEGREES(ASIN(I55/J55))))</f>
        <v>-41.728547291086095</v>
      </c>
      <c r="L55" s="43">
        <f t="shared" ref="L55:L118" si="34">IF((K55+$L$1)&lt;=360,K55+$L$1,K55+$L$1-360)</f>
        <v>138.2714527089139</v>
      </c>
      <c r="M55" s="43">
        <f t="shared" ref="M55:M118" si="35">J55*COS(RADIANS(L55))</f>
        <v>-664.34514587408353</v>
      </c>
      <c r="N55" s="43">
        <f t="shared" ref="N55:N118" si="36">J55*SIN(RADIANS(L55))</f>
        <v>592.503963926766</v>
      </c>
      <c r="O55" s="43">
        <f t="shared" ref="O55:O118" si="37">SQRT(N55^2+M55^2)</f>
        <v>890.17718467470718</v>
      </c>
      <c r="P55" s="43">
        <f t="shared" ref="P55:P118" si="38">M55</f>
        <v>-664.34514587408353</v>
      </c>
      <c r="Q55" s="43">
        <f t="shared" ref="Q55:Q118" si="39">N55</f>
        <v>592.503963926766</v>
      </c>
      <c r="R55" s="43">
        <f t="shared" ref="R55:R118" si="40">SQRT(P55^2+Q55^2)</f>
        <v>890.17718467470718</v>
      </c>
      <c r="S55" s="43">
        <f t="shared" ref="S55:S118" si="41">IF(R55=0,0,IF(P55&gt;=0,DEGREES(ASIN(Q55/R55)),(180-DEGREES(ASIN(Q55/R55)))))</f>
        <v>138.2714527089139</v>
      </c>
      <c r="T55" s="43">
        <f t="shared" ref="T55:T118" si="42">IF(S55&lt;0,360+S55,S55)</f>
        <v>138.2714527089139</v>
      </c>
    </row>
    <row r="56" spans="1:20" x14ac:dyDescent="0.45">
      <c r="A56" s="43">
        <v>26.5</v>
      </c>
      <c r="B56" s="44">
        <v>-2744.5</v>
      </c>
      <c r="C56" s="44">
        <v>-1655.2</v>
      </c>
      <c r="D56" s="8">
        <f t="shared" si="16"/>
        <v>-544.65</v>
      </c>
      <c r="E56" s="61">
        <f t="shared" si="30"/>
        <v>-659.84892319140579</v>
      </c>
      <c r="F56" s="5">
        <v>-64.099999999999994</v>
      </c>
      <c r="G56" s="44">
        <v>-363.4</v>
      </c>
      <c r="H56" s="8">
        <f t="shared" si="17"/>
        <v>149.64999999999998</v>
      </c>
      <c r="I56" s="61">
        <f t="shared" si="31"/>
        <v>588.99163889755005</v>
      </c>
      <c r="J56" s="43">
        <f t="shared" si="32"/>
        <v>884.48389025921767</v>
      </c>
      <c r="K56" s="43">
        <f t="shared" si="33"/>
        <v>-41.752607719031069</v>
      </c>
      <c r="L56" s="43">
        <f t="shared" si="34"/>
        <v>138.24739228096894</v>
      </c>
      <c r="M56" s="43">
        <f t="shared" si="35"/>
        <v>-659.8489231914059</v>
      </c>
      <c r="N56" s="43">
        <f t="shared" si="36"/>
        <v>588.99163889754993</v>
      </c>
      <c r="O56" s="43">
        <f t="shared" si="37"/>
        <v>884.48389025921767</v>
      </c>
      <c r="P56" s="43">
        <f t="shared" si="38"/>
        <v>-659.8489231914059</v>
      </c>
      <c r="Q56" s="43">
        <f t="shared" si="39"/>
        <v>588.99163889754993</v>
      </c>
      <c r="R56" s="43">
        <f t="shared" si="40"/>
        <v>884.48389025921767</v>
      </c>
      <c r="S56" s="43">
        <f t="shared" si="41"/>
        <v>138.24739228096894</v>
      </c>
      <c r="T56" s="43">
        <f t="shared" si="42"/>
        <v>138.24739228096894</v>
      </c>
    </row>
    <row r="57" spans="1:20" x14ac:dyDescent="0.45">
      <c r="A57" s="43">
        <v>27</v>
      </c>
      <c r="B57" s="44">
        <v>-1496</v>
      </c>
      <c r="C57" s="44">
        <v>-2671.6</v>
      </c>
      <c r="D57" s="8">
        <f t="shared" si="16"/>
        <v>587.79999999999995</v>
      </c>
      <c r="E57" s="61">
        <f t="shared" si="30"/>
        <v>-658.52865586857286</v>
      </c>
      <c r="F57" s="5">
        <v>-1282.3</v>
      </c>
      <c r="G57" s="44">
        <v>793.6</v>
      </c>
      <c r="H57" s="8">
        <f t="shared" si="17"/>
        <v>-1037.95</v>
      </c>
      <c r="I57" s="61">
        <f t="shared" si="31"/>
        <v>588.62887709248525</v>
      </c>
      <c r="J57" s="43">
        <f t="shared" si="32"/>
        <v>883.25757599198062</v>
      </c>
      <c r="K57" s="43">
        <f t="shared" si="33"/>
        <v>-41.792083997776068</v>
      </c>
      <c r="L57" s="43">
        <f t="shared" si="34"/>
        <v>138.20791600222393</v>
      </c>
      <c r="M57" s="43">
        <f t="shared" si="35"/>
        <v>-658.52865586857274</v>
      </c>
      <c r="N57" s="43">
        <f t="shared" si="36"/>
        <v>588.62887709248548</v>
      </c>
      <c r="O57" s="43">
        <f t="shared" si="37"/>
        <v>883.25757599198062</v>
      </c>
      <c r="P57" s="43">
        <f t="shared" si="38"/>
        <v>-658.52865586857274</v>
      </c>
      <c r="Q57" s="43">
        <f t="shared" si="39"/>
        <v>588.62887709248548</v>
      </c>
      <c r="R57" s="43">
        <f t="shared" si="40"/>
        <v>883.25757599198062</v>
      </c>
      <c r="S57" s="43">
        <f t="shared" si="41"/>
        <v>138.20791600222393</v>
      </c>
      <c r="T57" s="43">
        <f t="shared" si="42"/>
        <v>138.20791600222393</v>
      </c>
    </row>
    <row r="58" spans="1:20" x14ac:dyDescent="0.45">
      <c r="A58" s="43">
        <v>27.5</v>
      </c>
      <c r="B58" s="44">
        <v>-1.1000000000000001</v>
      </c>
      <c r="C58" s="44">
        <v>-2610.9</v>
      </c>
      <c r="D58" s="8">
        <f t="shared" si="16"/>
        <v>1304.9000000000001</v>
      </c>
      <c r="E58" s="61">
        <f t="shared" si="30"/>
        <v>-659.9535213487992</v>
      </c>
      <c r="F58" s="5">
        <v>-2641.5</v>
      </c>
      <c r="G58" s="44">
        <v>589.70000000000005</v>
      </c>
      <c r="H58" s="8">
        <f t="shared" si="17"/>
        <v>-1615.6</v>
      </c>
      <c r="I58" s="61">
        <f t="shared" si="31"/>
        <v>591.14492827530501</v>
      </c>
      <c r="J58" s="43">
        <f t="shared" si="32"/>
        <v>885.9971651005975</v>
      </c>
      <c r="K58" s="43">
        <f t="shared" si="33"/>
        <v>-41.851987074085571</v>
      </c>
      <c r="L58" s="43">
        <f t="shared" si="34"/>
        <v>138.14801292591443</v>
      </c>
      <c r="M58" s="43">
        <f t="shared" si="35"/>
        <v>-659.95352134879931</v>
      </c>
      <c r="N58" s="43">
        <f t="shared" si="36"/>
        <v>591.14492827530501</v>
      </c>
      <c r="O58" s="43">
        <f t="shared" si="37"/>
        <v>885.99716510059761</v>
      </c>
      <c r="P58" s="43">
        <f t="shared" si="38"/>
        <v>-659.95352134879931</v>
      </c>
      <c r="Q58" s="43">
        <f t="shared" si="39"/>
        <v>591.14492827530501</v>
      </c>
      <c r="R58" s="43">
        <f t="shared" si="40"/>
        <v>885.99716510059761</v>
      </c>
      <c r="S58" s="43">
        <f t="shared" si="41"/>
        <v>138.14801292591443</v>
      </c>
      <c r="T58" s="43">
        <f t="shared" si="42"/>
        <v>138.14801292591443</v>
      </c>
    </row>
    <row r="59" spans="1:20" x14ac:dyDescent="0.45">
      <c r="A59" s="43">
        <v>28</v>
      </c>
      <c r="B59" s="44">
        <v>1438.8</v>
      </c>
      <c r="C59" s="44">
        <v>146.80000000000001</v>
      </c>
      <c r="D59" s="8">
        <f t="shared" si="16"/>
        <v>646</v>
      </c>
      <c r="E59" s="61">
        <f t="shared" si="30"/>
        <v>-663.11666711160046</v>
      </c>
      <c r="F59" s="5">
        <v>-4329.2</v>
      </c>
      <c r="G59" s="44">
        <v>-2081.4</v>
      </c>
      <c r="H59" s="8">
        <f t="shared" si="17"/>
        <v>-1123.8999999999999</v>
      </c>
      <c r="I59" s="61">
        <f t="shared" si="31"/>
        <v>595.0612131467451</v>
      </c>
      <c r="J59" s="43">
        <f t="shared" si="32"/>
        <v>890.96664448949673</v>
      </c>
      <c r="K59" s="43">
        <f t="shared" si="33"/>
        <v>-41.903860586690946</v>
      </c>
      <c r="L59" s="43">
        <f t="shared" si="34"/>
        <v>138.09613941330906</v>
      </c>
      <c r="M59" s="43">
        <f t="shared" si="35"/>
        <v>-663.11666711160058</v>
      </c>
      <c r="N59" s="43">
        <f t="shared" si="36"/>
        <v>595.06121314674499</v>
      </c>
      <c r="O59" s="43">
        <f t="shared" si="37"/>
        <v>890.96664448949673</v>
      </c>
      <c r="P59" s="43">
        <f t="shared" si="38"/>
        <v>-663.11666711160058</v>
      </c>
      <c r="Q59" s="43">
        <f t="shared" si="39"/>
        <v>595.06121314674499</v>
      </c>
      <c r="R59" s="43">
        <f t="shared" si="40"/>
        <v>890.96664448949673</v>
      </c>
      <c r="S59" s="43">
        <f t="shared" si="41"/>
        <v>138.09613941330906</v>
      </c>
      <c r="T59" s="43">
        <f t="shared" si="42"/>
        <v>138.09613941330906</v>
      </c>
    </row>
    <row r="60" spans="1:20" x14ac:dyDescent="0.45">
      <c r="A60" s="43">
        <v>28.5</v>
      </c>
      <c r="B60" s="44">
        <v>1929.1</v>
      </c>
      <c r="C60" s="44">
        <v>1963</v>
      </c>
      <c r="D60" s="8">
        <f t="shared" si="16"/>
        <v>-16.950000000000045</v>
      </c>
      <c r="E60" s="61">
        <f t="shared" si="30"/>
        <v>-664.68261274157999</v>
      </c>
      <c r="F60" s="5">
        <v>-4825</v>
      </c>
      <c r="G60" s="44">
        <v>-3926.7</v>
      </c>
      <c r="H60" s="8">
        <f t="shared" si="17"/>
        <v>-449.15000000000009</v>
      </c>
      <c r="I60" s="61">
        <f t="shared" si="31"/>
        <v>597.78561014662796</v>
      </c>
      <c r="J60" s="43">
        <f t="shared" si="32"/>
        <v>893.95224222513673</v>
      </c>
      <c r="K60" s="43">
        <f t="shared" si="33"/>
        <v>-41.966787387060414</v>
      </c>
      <c r="L60" s="43">
        <f t="shared" si="34"/>
        <v>138.03321261293959</v>
      </c>
      <c r="M60" s="43">
        <f t="shared" si="35"/>
        <v>-664.6826127415801</v>
      </c>
      <c r="N60" s="43">
        <f t="shared" si="36"/>
        <v>597.78561014662785</v>
      </c>
      <c r="O60" s="43">
        <f t="shared" si="37"/>
        <v>893.95224222513662</v>
      </c>
      <c r="P60" s="43">
        <f t="shared" si="38"/>
        <v>-664.6826127415801</v>
      </c>
      <c r="Q60" s="43">
        <f t="shared" si="39"/>
        <v>597.78561014662785</v>
      </c>
      <c r="R60" s="43">
        <f t="shared" si="40"/>
        <v>893.95224222513662</v>
      </c>
      <c r="S60" s="43">
        <f t="shared" si="41"/>
        <v>138.03321261293959</v>
      </c>
      <c r="T60" s="43">
        <f t="shared" si="42"/>
        <v>138.03321261293959</v>
      </c>
    </row>
    <row r="61" spans="1:20" x14ac:dyDescent="0.45">
      <c r="A61" s="43">
        <v>29</v>
      </c>
      <c r="B61" s="44">
        <v>2023.3</v>
      </c>
      <c r="C61" s="44">
        <v>2501.1</v>
      </c>
      <c r="D61" s="8">
        <f t="shared" si="16"/>
        <v>-238.89999999999998</v>
      </c>
      <c r="E61" s="61">
        <f t="shared" si="30"/>
        <v>-664.64152478215215</v>
      </c>
      <c r="F61" s="5">
        <v>-4661.8</v>
      </c>
      <c r="G61" s="44">
        <v>-4466.7</v>
      </c>
      <c r="H61" s="8">
        <f t="shared" si="17"/>
        <v>-97.550000000000182</v>
      </c>
      <c r="I61" s="61">
        <f t="shared" si="31"/>
        <v>598.87437961054593</v>
      </c>
      <c r="J61" s="43">
        <f t="shared" si="32"/>
        <v>894.65014336256627</v>
      </c>
      <c r="K61" s="43">
        <f t="shared" si="33"/>
        <v>-42.020391814525226</v>
      </c>
      <c r="L61" s="43">
        <f t="shared" si="34"/>
        <v>137.97960818547477</v>
      </c>
      <c r="M61" s="43">
        <f t="shared" si="35"/>
        <v>-664.64152478215215</v>
      </c>
      <c r="N61" s="43">
        <f t="shared" si="36"/>
        <v>598.87437961054593</v>
      </c>
      <c r="O61" s="43">
        <f t="shared" si="37"/>
        <v>894.65014336256627</v>
      </c>
      <c r="P61" s="43">
        <f t="shared" si="38"/>
        <v>-664.64152478215215</v>
      </c>
      <c r="Q61" s="43">
        <f t="shared" si="39"/>
        <v>598.87437961054593</v>
      </c>
      <c r="R61" s="43">
        <f t="shared" si="40"/>
        <v>894.65014336256627</v>
      </c>
      <c r="S61" s="43">
        <f t="shared" si="41"/>
        <v>137.97960818547477</v>
      </c>
      <c r="T61" s="43">
        <f t="shared" si="42"/>
        <v>137.97960818547477</v>
      </c>
    </row>
    <row r="62" spans="1:20" x14ac:dyDescent="0.45">
      <c r="A62" s="43">
        <v>29.5</v>
      </c>
      <c r="B62" s="44">
        <v>1193.3</v>
      </c>
      <c r="C62" s="44">
        <v>3050.7</v>
      </c>
      <c r="D62" s="8">
        <f t="shared" si="16"/>
        <v>-928.69999999999993</v>
      </c>
      <c r="E62" s="61">
        <f t="shared" si="30"/>
        <v>-664.06241496954351</v>
      </c>
      <c r="F62" s="5">
        <v>-4313.3999999999996</v>
      </c>
      <c r="G62" s="44">
        <v>-4989</v>
      </c>
      <c r="H62" s="8">
        <f t="shared" si="17"/>
        <v>337.80000000000018</v>
      </c>
      <c r="I62" s="61">
        <f t="shared" si="31"/>
        <v>599.11084747469204</v>
      </c>
      <c r="J62" s="43">
        <f t="shared" si="32"/>
        <v>894.37838666697769</v>
      </c>
      <c r="K62" s="43">
        <f t="shared" si="33"/>
        <v>-42.056479727703419</v>
      </c>
      <c r="L62" s="43">
        <f t="shared" si="34"/>
        <v>137.94352027229658</v>
      </c>
      <c r="M62" s="43">
        <f t="shared" si="35"/>
        <v>-664.06241496954351</v>
      </c>
      <c r="N62" s="43">
        <f t="shared" si="36"/>
        <v>599.11084747469192</v>
      </c>
      <c r="O62" s="43">
        <f t="shared" si="37"/>
        <v>894.37838666697769</v>
      </c>
      <c r="P62" s="43">
        <f t="shared" si="38"/>
        <v>-664.06241496954351</v>
      </c>
      <c r="Q62" s="43">
        <f t="shared" si="39"/>
        <v>599.11084747469192</v>
      </c>
      <c r="R62" s="43">
        <f t="shared" si="40"/>
        <v>894.37838666697769</v>
      </c>
      <c r="S62" s="43">
        <f t="shared" si="41"/>
        <v>137.94352027229658</v>
      </c>
      <c r="T62" s="43">
        <f t="shared" si="42"/>
        <v>137.94352027229658</v>
      </c>
    </row>
    <row r="63" spans="1:20" x14ac:dyDescent="0.45">
      <c r="A63" s="43">
        <v>30</v>
      </c>
      <c r="B63" s="44">
        <v>701.2</v>
      </c>
      <c r="C63" s="44">
        <v>4200.3</v>
      </c>
      <c r="D63" s="8">
        <f t="shared" si="16"/>
        <v>-1749.5500000000002</v>
      </c>
      <c r="E63" s="61">
        <f t="shared" si="30"/>
        <v>-661.81119024753787</v>
      </c>
      <c r="F63" s="5">
        <v>-3339.2</v>
      </c>
      <c r="G63" s="44">
        <v>-6186.9</v>
      </c>
      <c r="H63" s="8">
        <f t="shared" si="17"/>
        <v>1423.85</v>
      </c>
      <c r="I63" s="61">
        <f t="shared" si="31"/>
        <v>598.29199753333273</v>
      </c>
      <c r="J63" s="43">
        <f t="shared" si="32"/>
        <v>892.15882321999607</v>
      </c>
      <c r="K63" s="43">
        <f t="shared" si="33"/>
        <v>-42.114280893899334</v>
      </c>
      <c r="L63" s="43">
        <f t="shared" si="34"/>
        <v>137.88571910610068</v>
      </c>
      <c r="M63" s="43">
        <f t="shared" si="35"/>
        <v>-661.81119024753798</v>
      </c>
      <c r="N63" s="43">
        <f t="shared" si="36"/>
        <v>598.29199753333273</v>
      </c>
      <c r="O63" s="43">
        <f t="shared" si="37"/>
        <v>892.15882321999618</v>
      </c>
      <c r="P63" s="43">
        <f t="shared" si="38"/>
        <v>-661.81119024753798</v>
      </c>
      <c r="Q63" s="43">
        <f t="shared" si="39"/>
        <v>598.29199753333273</v>
      </c>
      <c r="R63" s="43">
        <f t="shared" si="40"/>
        <v>892.15882321999618</v>
      </c>
      <c r="S63" s="43">
        <f t="shared" si="41"/>
        <v>137.88571910610068</v>
      </c>
      <c r="T63" s="43">
        <f t="shared" si="42"/>
        <v>137.88571910610068</v>
      </c>
    </row>
    <row r="64" spans="1:20" x14ac:dyDescent="0.45">
      <c r="A64" s="43">
        <v>30.5</v>
      </c>
      <c r="B64" s="44">
        <v>342</v>
      </c>
      <c r="C64" s="44">
        <v>4745.3</v>
      </c>
      <c r="D64" s="8">
        <f t="shared" si="16"/>
        <v>-2201.65</v>
      </c>
      <c r="E64" s="61">
        <f t="shared" si="30"/>
        <v>-657.57021222211415</v>
      </c>
      <c r="F64" s="5">
        <v>-3075.1</v>
      </c>
      <c r="G64" s="44">
        <v>-6615.6</v>
      </c>
      <c r="H64" s="8">
        <f t="shared" si="17"/>
        <v>1770.2500000000002</v>
      </c>
      <c r="I64" s="61">
        <f t="shared" si="31"/>
        <v>594.84051514573491</v>
      </c>
      <c r="J64" s="43">
        <f t="shared" si="32"/>
        <v>886.69827024793483</v>
      </c>
      <c r="K64" s="43">
        <f t="shared" si="33"/>
        <v>-42.132613322151776</v>
      </c>
      <c r="L64" s="43">
        <f t="shared" si="34"/>
        <v>137.86738667784823</v>
      </c>
      <c r="M64" s="43">
        <f t="shared" si="35"/>
        <v>-657.57021222211426</v>
      </c>
      <c r="N64" s="43">
        <f t="shared" si="36"/>
        <v>594.84051514573491</v>
      </c>
      <c r="O64" s="43">
        <f t="shared" si="37"/>
        <v>886.69827024793483</v>
      </c>
      <c r="P64" s="43">
        <f t="shared" si="38"/>
        <v>-657.57021222211426</v>
      </c>
      <c r="Q64" s="43">
        <f t="shared" si="39"/>
        <v>594.84051514573491</v>
      </c>
      <c r="R64" s="43">
        <f t="shared" si="40"/>
        <v>886.69827024793483</v>
      </c>
      <c r="S64" s="43">
        <f t="shared" si="41"/>
        <v>137.86738667784823</v>
      </c>
      <c r="T64" s="43">
        <f t="shared" si="42"/>
        <v>137.86738667784823</v>
      </c>
    </row>
    <row r="65" spans="1:20" x14ac:dyDescent="0.45">
      <c r="A65" s="43">
        <v>31</v>
      </c>
      <c r="B65" s="44">
        <v>-1087.5</v>
      </c>
      <c r="C65" s="44">
        <v>3633.4</v>
      </c>
      <c r="D65" s="8">
        <f t="shared" si="16"/>
        <v>-2360.4499999999998</v>
      </c>
      <c r="E65" s="61">
        <f t="shared" si="30"/>
        <v>-652.23336335816464</v>
      </c>
      <c r="F65" s="5">
        <v>-1793.6</v>
      </c>
      <c r="G65" s="44">
        <v>-5625.3</v>
      </c>
      <c r="H65" s="8">
        <f t="shared" si="17"/>
        <v>1915.8500000000001</v>
      </c>
      <c r="I65" s="61">
        <f t="shared" si="31"/>
        <v>590.54936073078966</v>
      </c>
      <c r="J65" s="43">
        <f t="shared" si="32"/>
        <v>879.8618685549726</v>
      </c>
      <c r="K65" s="43">
        <f t="shared" si="33"/>
        <v>-42.158525766929301</v>
      </c>
      <c r="L65" s="43">
        <f t="shared" si="34"/>
        <v>137.8414742330707</v>
      </c>
      <c r="M65" s="43">
        <f t="shared" si="35"/>
        <v>-652.23336335816441</v>
      </c>
      <c r="N65" s="43">
        <f t="shared" si="36"/>
        <v>590.54936073078989</v>
      </c>
      <c r="O65" s="43">
        <f t="shared" si="37"/>
        <v>879.8618685549726</v>
      </c>
      <c r="P65" s="43">
        <f t="shared" si="38"/>
        <v>-652.23336335816441</v>
      </c>
      <c r="Q65" s="43">
        <f t="shared" si="39"/>
        <v>590.54936073078989</v>
      </c>
      <c r="R65" s="43">
        <f t="shared" si="40"/>
        <v>879.8618685549726</v>
      </c>
      <c r="S65" s="43">
        <f t="shared" si="41"/>
        <v>137.8414742330707</v>
      </c>
      <c r="T65" s="43">
        <f t="shared" si="42"/>
        <v>137.8414742330707</v>
      </c>
    </row>
    <row r="66" spans="1:20" x14ac:dyDescent="0.45">
      <c r="A66" s="43">
        <v>31.5</v>
      </c>
      <c r="B66" s="44">
        <v>-1695</v>
      </c>
      <c r="C66" s="44">
        <v>3428.2</v>
      </c>
      <c r="D66" s="8">
        <f t="shared" si="16"/>
        <v>-2561.6</v>
      </c>
      <c r="E66" s="61">
        <f t="shared" si="30"/>
        <v>-646.51159597950209</v>
      </c>
      <c r="F66" s="5">
        <v>-1152</v>
      </c>
      <c r="G66" s="44">
        <v>-5406.6</v>
      </c>
      <c r="H66" s="8">
        <f t="shared" si="17"/>
        <v>2127.3000000000002</v>
      </c>
      <c r="I66" s="61">
        <f t="shared" si="31"/>
        <v>585.90527605288071</v>
      </c>
      <c r="J66" s="43">
        <f t="shared" si="32"/>
        <v>872.50343050475476</v>
      </c>
      <c r="K66" s="43">
        <f t="shared" si="33"/>
        <v>-42.184644872258154</v>
      </c>
      <c r="L66" s="43">
        <f t="shared" si="34"/>
        <v>137.81535512774184</v>
      </c>
      <c r="M66" s="43">
        <f t="shared" si="35"/>
        <v>-646.51159597950209</v>
      </c>
      <c r="N66" s="43">
        <f t="shared" si="36"/>
        <v>585.90527605288082</v>
      </c>
      <c r="O66" s="43">
        <f t="shared" si="37"/>
        <v>872.50343050475476</v>
      </c>
      <c r="P66" s="43">
        <f t="shared" si="38"/>
        <v>-646.51159597950209</v>
      </c>
      <c r="Q66" s="43">
        <f t="shared" si="39"/>
        <v>585.90527605288082</v>
      </c>
      <c r="R66" s="43">
        <f t="shared" si="40"/>
        <v>872.50343050475476</v>
      </c>
      <c r="S66" s="43">
        <f t="shared" si="41"/>
        <v>137.81535512774184</v>
      </c>
      <c r="T66" s="43">
        <f t="shared" si="42"/>
        <v>137.81535512774184</v>
      </c>
    </row>
    <row r="67" spans="1:20" x14ac:dyDescent="0.45">
      <c r="A67" s="43">
        <v>32</v>
      </c>
      <c r="B67" s="44">
        <v>-2704.8</v>
      </c>
      <c r="C67" s="44">
        <v>3648.6</v>
      </c>
      <c r="D67" s="8">
        <f t="shared" ref="D67:D98" si="43">(B67-C67)/2</f>
        <v>-3176.7</v>
      </c>
      <c r="E67" s="61">
        <f t="shared" si="30"/>
        <v>-640.30226196694184</v>
      </c>
      <c r="F67" s="5">
        <v>-66.7</v>
      </c>
      <c r="G67" s="44">
        <v>-5641.4</v>
      </c>
      <c r="H67" s="8">
        <f t="shared" ref="H67:H98" si="44">(F67-G67)/2</f>
        <v>2787.35</v>
      </c>
      <c r="I67" s="61">
        <f t="shared" si="31"/>
        <v>580.74864675082222</v>
      </c>
      <c r="J67" s="43">
        <f t="shared" si="32"/>
        <v>864.43968984706703</v>
      </c>
      <c r="K67" s="43">
        <f t="shared" si="33"/>
        <v>-42.207758439333205</v>
      </c>
      <c r="L67" s="43">
        <f t="shared" si="34"/>
        <v>137.79224156066681</v>
      </c>
      <c r="M67" s="43">
        <f t="shared" si="35"/>
        <v>-640.30226196694196</v>
      </c>
      <c r="N67" s="43">
        <f t="shared" si="36"/>
        <v>580.74864675082199</v>
      </c>
      <c r="O67" s="43">
        <f t="shared" si="37"/>
        <v>864.43968984706703</v>
      </c>
      <c r="P67" s="43">
        <f t="shared" si="38"/>
        <v>-640.30226196694196</v>
      </c>
      <c r="Q67" s="43">
        <f t="shared" si="39"/>
        <v>580.74864675082199</v>
      </c>
      <c r="R67" s="43">
        <f t="shared" si="40"/>
        <v>864.43968984706703</v>
      </c>
      <c r="S67" s="43">
        <f t="shared" si="41"/>
        <v>137.79224156066681</v>
      </c>
      <c r="T67" s="43">
        <f t="shared" si="42"/>
        <v>137.79224156066681</v>
      </c>
    </row>
    <row r="68" spans="1:20" x14ac:dyDescent="0.45">
      <c r="A68" s="43">
        <v>32.5</v>
      </c>
      <c r="B68" s="44">
        <v>-3848.3</v>
      </c>
      <c r="C68" s="44">
        <v>3855.6</v>
      </c>
      <c r="D68" s="8">
        <f t="shared" si="43"/>
        <v>-3851.95</v>
      </c>
      <c r="E68" s="61">
        <f t="shared" si="30"/>
        <v>-632.60202827857438</v>
      </c>
      <c r="F68" s="5">
        <v>1107</v>
      </c>
      <c r="G68" s="44">
        <v>-5788.1</v>
      </c>
      <c r="H68" s="8">
        <f t="shared" si="44"/>
        <v>3447.55</v>
      </c>
      <c r="I68" s="61">
        <f t="shared" si="31"/>
        <v>573.99212532360661</v>
      </c>
      <c r="J68" s="43">
        <f t="shared" si="32"/>
        <v>854.19686613548117</v>
      </c>
      <c r="K68" s="43">
        <f t="shared" si="33"/>
        <v>-42.219062717541043</v>
      </c>
      <c r="L68" s="43">
        <f t="shared" si="34"/>
        <v>137.78093728245895</v>
      </c>
      <c r="M68" s="43">
        <f t="shared" si="35"/>
        <v>-632.60202827857427</v>
      </c>
      <c r="N68" s="43">
        <f t="shared" si="36"/>
        <v>573.99212532360673</v>
      </c>
      <c r="O68" s="43">
        <f t="shared" si="37"/>
        <v>854.19686613548117</v>
      </c>
      <c r="P68" s="43">
        <f t="shared" si="38"/>
        <v>-632.60202827857427</v>
      </c>
      <c r="Q68" s="43">
        <f t="shared" si="39"/>
        <v>573.99212532360673</v>
      </c>
      <c r="R68" s="43">
        <f t="shared" si="40"/>
        <v>854.19686613548117</v>
      </c>
      <c r="S68" s="43">
        <f t="shared" si="41"/>
        <v>137.78093728245895</v>
      </c>
      <c r="T68" s="43">
        <f t="shared" si="42"/>
        <v>137.78093728245895</v>
      </c>
    </row>
    <row r="69" spans="1:20" x14ac:dyDescent="0.45">
      <c r="A69" s="43">
        <v>33</v>
      </c>
      <c r="B69" s="44">
        <v>-4772.8999999999996</v>
      </c>
      <c r="C69" s="44">
        <v>3561.7</v>
      </c>
      <c r="D69" s="8">
        <f t="shared" si="43"/>
        <v>-4167.2999999999993</v>
      </c>
      <c r="E69" s="61">
        <f t="shared" si="30"/>
        <v>-623.26518070617271</v>
      </c>
      <c r="F69" s="5">
        <v>1931.7</v>
      </c>
      <c r="G69" s="44">
        <v>-5527.1</v>
      </c>
      <c r="H69" s="8">
        <f t="shared" si="44"/>
        <v>3729.4</v>
      </c>
      <c r="I69" s="61">
        <f t="shared" si="31"/>
        <v>565.63541739902917</v>
      </c>
      <c r="J69" s="43">
        <f t="shared" si="32"/>
        <v>841.66674574731303</v>
      </c>
      <c r="K69" s="43">
        <f t="shared" si="33"/>
        <v>-42.224864951489863</v>
      </c>
      <c r="L69" s="43">
        <f t="shared" si="34"/>
        <v>137.77513504851015</v>
      </c>
      <c r="M69" s="43">
        <f t="shared" si="35"/>
        <v>-623.26518070617283</v>
      </c>
      <c r="N69" s="43">
        <f t="shared" si="36"/>
        <v>565.63541739902905</v>
      </c>
      <c r="O69" s="43">
        <f t="shared" si="37"/>
        <v>841.66674574731303</v>
      </c>
      <c r="P69" s="43">
        <f t="shared" si="38"/>
        <v>-623.26518070617283</v>
      </c>
      <c r="Q69" s="43">
        <f t="shared" si="39"/>
        <v>565.63541739902905</v>
      </c>
      <c r="R69" s="43">
        <f t="shared" si="40"/>
        <v>841.66674574731303</v>
      </c>
      <c r="S69" s="43">
        <f t="shared" si="41"/>
        <v>137.77513504851015</v>
      </c>
      <c r="T69" s="43">
        <f t="shared" si="42"/>
        <v>137.77513504851015</v>
      </c>
    </row>
    <row r="70" spans="1:20" x14ac:dyDescent="0.45">
      <c r="A70" s="43">
        <v>33.5</v>
      </c>
      <c r="B70" s="44">
        <v>-4972</v>
      </c>
      <c r="C70" s="44">
        <v>2990</v>
      </c>
      <c r="D70" s="8">
        <f t="shared" si="43"/>
        <v>-3981</v>
      </c>
      <c r="E70" s="61">
        <f t="shared" si="30"/>
        <v>-613.16404766447897</v>
      </c>
      <c r="F70" s="5">
        <v>2459.8000000000002</v>
      </c>
      <c r="G70" s="44">
        <v>-4862.3</v>
      </c>
      <c r="H70" s="8">
        <f t="shared" si="44"/>
        <v>3661.05</v>
      </c>
      <c r="I70" s="61">
        <f t="shared" si="31"/>
        <v>556.59558924059127</v>
      </c>
      <c r="J70" s="43">
        <f t="shared" si="32"/>
        <v>828.11158626743565</v>
      </c>
      <c r="K70" s="43">
        <f t="shared" si="33"/>
        <v>-42.23138772321839</v>
      </c>
      <c r="L70" s="43">
        <f t="shared" si="34"/>
        <v>137.7686122767816</v>
      </c>
      <c r="M70" s="43">
        <f t="shared" si="35"/>
        <v>-613.16404766447886</v>
      </c>
      <c r="N70" s="43">
        <f t="shared" si="36"/>
        <v>556.59558924059149</v>
      </c>
      <c r="O70" s="43">
        <f t="shared" si="37"/>
        <v>828.11158626743565</v>
      </c>
      <c r="P70" s="43">
        <f t="shared" si="38"/>
        <v>-613.16404766447886</v>
      </c>
      <c r="Q70" s="43">
        <f t="shared" si="39"/>
        <v>556.59558924059149</v>
      </c>
      <c r="R70" s="43">
        <f t="shared" si="40"/>
        <v>828.11158626743565</v>
      </c>
      <c r="S70" s="43">
        <f t="shared" si="41"/>
        <v>137.7686122767816</v>
      </c>
      <c r="T70" s="43">
        <f t="shared" si="42"/>
        <v>137.7686122767816</v>
      </c>
    </row>
    <row r="71" spans="1:20" x14ac:dyDescent="0.45">
      <c r="A71" s="43">
        <v>34</v>
      </c>
      <c r="B71" s="44">
        <v>-3467.3</v>
      </c>
      <c r="C71" s="44">
        <v>4222.1000000000004</v>
      </c>
      <c r="D71" s="8">
        <f t="shared" si="43"/>
        <v>-3844.7000000000003</v>
      </c>
      <c r="E71" s="61">
        <f t="shared" si="30"/>
        <v>-603.51443045920803</v>
      </c>
      <c r="F71" s="5">
        <v>335.7</v>
      </c>
      <c r="G71" s="44">
        <v>-6212.8</v>
      </c>
      <c r="H71" s="8">
        <f t="shared" si="44"/>
        <v>3274.25</v>
      </c>
      <c r="I71" s="61">
        <f t="shared" si="31"/>
        <v>547.72141956967266</v>
      </c>
      <c r="J71" s="43">
        <f t="shared" si="32"/>
        <v>815.00209891013139</v>
      </c>
      <c r="K71" s="43">
        <f t="shared" si="33"/>
        <v>-42.225412280376645</v>
      </c>
      <c r="L71" s="43">
        <f t="shared" si="34"/>
        <v>137.77458771962336</v>
      </c>
      <c r="M71" s="43">
        <f t="shared" si="35"/>
        <v>-603.5144304592078</v>
      </c>
      <c r="N71" s="43">
        <f t="shared" si="36"/>
        <v>547.72141956967278</v>
      </c>
      <c r="O71" s="43">
        <f t="shared" si="37"/>
        <v>815.00209891013139</v>
      </c>
      <c r="P71" s="43">
        <f t="shared" si="38"/>
        <v>-603.5144304592078</v>
      </c>
      <c r="Q71" s="43">
        <f t="shared" si="39"/>
        <v>547.72141956967278</v>
      </c>
      <c r="R71" s="43">
        <f t="shared" si="40"/>
        <v>815.00209891013139</v>
      </c>
      <c r="S71" s="43">
        <f t="shared" si="41"/>
        <v>137.77458771962336</v>
      </c>
      <c r="T71" s="43">
        <f t="shared" si="42"/>
        <v>137.77458771962336</v>
      </c>
    </row>
    <row r="72" spans="1:20" x14ac:dyDescent="0.45">
      <c r="A72" s="43">
        <v>34.5</v>
      </c>
      <c r="B72" s="44">
        <v>-2585.6999999999998</v>
      </c>
      <c r="C72" s="44">
        <v>4446.2</v>
      </c>
      <c r="D72" s="8">
        <f t="shared" si="43"/>
        <v>-3515.95</v>
      </c>
      <c r="E72" s="61">
        <f t="shared" si="30"/>
        <v>-594.19515432406945</v>
      </c>
      <c r="F72" s="5">
        <v>-239.3</v>
      </c>
      <c r="G72" s="44">
        <v>-6299.7</v>
      </c>
      <c r="H72" s="8">
        <f t="shared" si="44"/>
        <v>3030.2</v>
      </c>
      <c r="I72" s="61">
        <f t="shared" si="31"/>
        <v>539.78474692203213</v>
      </c>
      <c r="J72" s="43">
        <f t="shared" si="32"/>
        <v>802.76737255065802</v>
      </c>
      <c r="K72" s="43">
        <f t="shared" si="33"/>
        <v>-42.252951673830424</v>
      </c>
      <c r="L72" s="43">
        <f t="shared" si="34"/>
        <v>137.74704832616959</v>
      </c>
      <c r="M72" s="43">
        <f t="shared" si="35"/>
        <v>-594.19515432406945</v>
      </c>
      <c r="N72" s="43">
        <f t="shared" si="36"/>
        <v>539.78474692203213</v>
      </c>
      <c r="O72" s="43">
        <f t="shared" si="37"/>
        <v>802.76737255065802</v>
      </c>
      <c r="P72" s="43">
        <f t="shared" si="38"/>
        <v>-594.19515432406945</v>
      </c>
      <c r="Q72" s="43">
        <f t="shared" si="39"/>
        <v>539.78474692203213</v>
      </c>
      <c r="R72" s="43">
        <f t="shared" si="40"/>
        <v>802.76737255065802</v>
      </c>
      <c r="S72" s="43">
        <f t="shared" si="41"/>
        <v>137.74704832616959</v>
      </c>
      <c r="T72" s="43">
        <f t="shared" si="42"/>
        <v>137.74704832616959</v>
      </c>
    </row>
    <row r="73" spans="1:20" x14ac:dyDescent="0.45">
      <c r="A73" s="43">
        <v>35</v>
      </c>
      <c r="B73" s="44">
        <v>-1763.4</v>
      </c>
      <c r="C73" s="44">
        <v>4870.3</v>
      </c>
      <c r="D73" s="8">
        <f t="shared" si="43"/>
        <v>-3316.8500000000004</v>
      </c>
      <c r="E73" s="61">
        <f t="shared" si="30"/>
        <v>-585.67266374270855</v>
      </c>
      <c r="F73" s="5">
        <v>-1015.3</v>
      </c>
      <c r="G73" s="44">
        <v>-6859</v>
      </c>
      <c r="H73" s="8">
        <f t="shared" si="44"/>
        <v>2921.85</v>
      </c>
      <c r="I73" s="61">
        <f t="shared" si="31"/>
        <v>532.43959905154827</v>
      </c>
      <c r="J73" s="43">
        <f t="shared" si="32"/>
        <v>791.52030655798922</v>
      </c>
      <c r="K73" s="43">
        <f t="shared" si="33"/>
        <v>-42.274219524185781</v>
      </c>
      <c r="L73" s="43">
        <f t="shared" si="34"/>
        <v>137.72578047581422</v>
      </c>
      <c r="M73" s="43">
        <f t="shared" si="35"/>
        <v>-585.67266374270844</v>
      </c>
      <c r="N73" s="43">
        <f t="shared" si="36"/>
        <v>532.43959905154827</v>
      </c>
      <c r="O73" s="43">
        <f t="shared" si="37"/>
        <v>791.5203065579891</v>
      </c>
      <c r="P73" s="43">
        <f t="shared" si="38"/>
        <v>-585.67266374270844</v>
      </c>
      <c r="Q73" s="43">
        <f t="shared" si="39"/>
        <v>532.43959905154827</v>
      </c>
      <c r="R73" s="43">
        <f t="shared" si="40"/>
        <v>791.5203065579891</v>
      </c>
      <c r="S73" s="43">
        <f t="shared" si="41"/>
        <v>137.72578047581422</v>
      </c>
      <c r="T73" s="43">
        <f t="shared" si="42"/>
        <v>137.72578047581422</v>
      </c>
    </row>
    <row r="74" spans="1:20" x14ac:dyDescent="0.45">
      <c r="A74" s="43">
        <v>35.5</v>
      </c>
      <c r="B74" s="44">
        <v>-698.7</v>
      </c>
      <c r="C74" s="44">
        <v>5420.3</v>
      </c>
      <c r="D74" s="8">
        <f t="shared" si="43"/>
        <v>-3059.5</v>
      </c>
      <c r="E74" s="61">
        <f t="shared" si="30"/>
        <v>-577.63273896133819</v>
      </c>
      <c r="F74" s="5">
        <v>-2032.3</v>
      </c>
      <c r="G74" s="44">
        <v>-7325.5</v>
      </c>
      <c r="H74" s="8">
        <f t="shared" si="44"/>
        <v>2646.6</v>
      </c>
      <c r="I74" s="61">
        <f t="shared" si="31"/>
        <v>525.35707165226427</v>
      </c>
      <c r="J74" s="43">
        <f t="shared" si="32"/>
        <v>780.80704009058456</v>
      </c>
      <c r="K74" s="43">
        <f t="shared" si="33"/>
        <v>-42.286524798832346</v>
      </c>
      <c r="L74" s="43">
        <f t="shared" si="34"/>
        <v>137.71347520116765</v>
      </c>
      <c r="M74" s="43">
        <f t="shared" si="35"/>
        <v>-577.63273896133808</v>
      </c>
      <c r="N74" s="43">
        <f t="shared" si="36"/>
        <v>525.35707165226438</v>
      </c>
      <c r="O74" s="43">
        <f t="shared" si="37"/>
        <v>780.80704009058456</v>
      </c>
      <c r="P74" s="43">
        <f t="shared" si="38"/>
        <v>-577.63273896133808</v>
      </c>
      <c r="Q74" s="43">
        <f t="shared" si="39"/>
        <v>525.35707165226438</v>
      </c>
      <c r="R74" s="43">
        <f t="shared" si="40"/>
        <v>780.80704009058456</v>
      </c>
      <c r="S74" s="43">
        <f t="shared" si="41"/>
        <v>137.71347520116763</v>
      </c>
      <c r="T74" s="43">
        <f t="shared" si="42"/>
        <v>137.71347520116763</v>
      </c>
    </row>
    <row r="75" spans="1:20" x14ac:dyDescent="0.45">
      <c r="A75" s="43">
        <v>36</v>
      </c>
      <c r="B75" s="44">
        <v>360.9</v>
      </c>
      <c r="C75" s="44">
        <v>5755.8</v>
      </c>
      <c r="D75" s="8">
        <f t="shared" si="43"/>
        <v>-2697.4500000000003</v>
      </c>
      <c r="E75" s="61">
        <f t="shared" si="30"/>
        <v>-570.21657362512008</v>
      </c>
      <c r="F75" s="5">
        <v>-3130.5</v>
      </c>
      <c r="G75" s="44">
        <v>-7666.5</v>
      </c>
      <c r="H75" s="8">
        <f t="shared" si="44"/>
        <v>2268</v>
      </c>
      <c r="I75" s="61">
        <f t="shared" si="31"/>
        <v>518.94170824744378</v>
      </c>
      <c r="J75" s="43">
        <f t="shared" si="32"/>
        <v>771.00417469398121</v>
      </c>
      <c r="K75" s="43">
        <f t="shared" si="33"/>
        <v>-42.304647133765236</v>
      </c>
      <c r="L75" s="43">
        <f t="shared" si="34"/>
        <v>137.69535286623477</v>
      </c>
      <c r="M75" s="43">
        <f t="shared" si="35"/>
        <v>-570.2165736251203</v>
      </c>
      <c r="N75" s="43">
        <f t="shared" si="36"/>
        <v>518.94170824744367</v>
      </c>
      <c r="O75" s="43">
        <f t="shared" si="37"/>
        <v>771.00417469398133</v>
      </c>
      <c r="P75" s="43">
        <f t="shared" si="38"/>
        <v>-570.2165736251203</v>
      </c>
      <c r="Q75" s="43">
        <f t="shared" si="39"/>
        <v>518.94170824744367</v>
      </c>
      <c r="R75" s="43">
        <f t="shared" si="40"/>
        <v>771.00417469398133</v>
      </c>
      <c r="S75" s="43">
        <f t="shared" si="41"/>
        <v>137.69535286623477</v>
      </c>
      <c r="T75" s="43">
        <f t="shared" si="42"/>
        <v>137.69535286623477</v>
      </c>
    </row>
    <row r="76" spans="1:20" x14ac:dyDescent="0.45">
      <c r="A76" s="43">
        <v>36.5</v>
      </c>
      <c r="B76" s="44">
        <v>900</v>
      </c>
      <c r="C76" s="44">
        <v>5691.5</v>
      </c>
      <c r="D76" s="8">
        <f t="shared" si="43"/>
        <v>-2395.75</v>
      </c>
      <c r="E76" s="61">
        <f t="shared" si="30"/>
        <v>-563.67795668480869</v>
      </c>
      <c r="F76" s="5">
        <v>-3563.6</v>
      </c>
      <c r="G76" s="44">
        <v>-7702.1</v>
      </c>
      <c r="H76" s="8">
        <f t="shared" si="44"/>
        <v>2069.25</v>
      </c>
      <c r="I76" s="61">
        <f t="shared" si="31"/>
        <v>513.44403188583465</v>
      </c>
      <c r="J76" s="43">
        <f t="shared" si="32"/>
        <v>762.46810604217615</v>
      </c>
      <c r="K76" s="43">
        <f t="shared" si="33"/>
        <v>-42.329821584872661</v>
      </c>
      <c r="L76" s="43">
        <f t="shared" si="34"/>
        <v>137.67017841512734</v>
      </c>
      <c r="M76" s="43">
        <f t="shared" si="35"/>
        <v>-563.67795668480892</v>
      </c>
      <c r="N76" s="43">
        <f t="shared" si="36"/>
        <v>513.44403188583453</v>
      </c>
      <c r="O76" s="43">
        <f t="shared" si="37"/>
        <v>762.46810604217615</v>
      </c>
      <c r="P76" s="43">
        <f t="shared" si="38"/>
        <v>-563.67795668480892</v>
      </c>
      <c r="Q76" s="43">
        <f t="shared" si="39"/>
        <v>513.44403188583453</v>
      </c>
      <c r="R76" s="43">
        <f t="shared" si="40"/>
        <v>762.46810604217615</v>
      </c>
      <c r="S76" s="43">
        <f t="shared" si="41"/>
        <v>137.67017841512734</v>
      </c>
      <c r="T76" s="43">
        <f t="shared" si="42"/>
        <v>137.67017841512734</v>
      </c>
    </row>
    <row r="77" spans="1:20" x14ac:dyDescent="0.45">
      <c r="A77" s="43">
        <v>37</v>
      </c>
      <c r="B77" s="44">
        <v>-2821.2</v>
      </c>
      <c r="C77" s="44">
        <v>8138.5</v>
      </c>
      <c r="D77" s="8">
        <f t="shared" si="43"/>
        <v>-5479.85</v>
      </c>
      <c r="E77" s="61">
        <f t="shared" si="30"/>
        <v>-557.8706253786853</v>
      </c>
      <c r="F77" s="5">
        <v>-265</v>
      </c>
      <c r="G77" s="44">
        <v>-10091.9</v>
      </c>
      <c r="H77" s="8">
        <f t="shared" si="44"/>
        <v>4913.45</v>
      </c>
      <c r="I77" s="61">
        <f t="shared" si="31"/>
        <v>508.42811247330633</v>
      </c>
      <c r="J77" s="43">
        <f t="shared" si="32"/>
        <v>754.79717819661619</v>
      </c>
      <c r="K77" s="43">
        <f t="shared" si="33"/>
        <v>-42.345190796220258</v>
      </c>
      <c r="L77" s="43">
        <f t="shared" si="34"/>
        <v>137.65480920377973</v>
      </c>
      <c r="M77" s="43">
        <f t="shared" si="35"/>
        <v>-557.87062537868508</v>
      </c>
      <c r="N77" s="43">
        <f t="shared" si="36"/>
        <v>508.42811247330638</v>
      </c>
      <c r="O77" s="43">
        <f t="shared" si="37"/>
        <v>754.79717819661607</v>
      </c>
      <c r="P77" s="43">
        <f t="shared" si="38"/>
        <v>-557.87062537868508</v>
      </c>
      <c r="Q77" s="43">
        <f t="shared" si="39"/>
        <v>508.42811247330638</v>
      </c>
      <c r="R77" s="43">
        <f t="shared" si="40"/>
        <v>754.79717819661607</v>
      </c>
      <c r="S77" s="43">
        <f t="shared" si="41"/>
        <v>137.65480920377973</v>
      </c>
      <c r="T77" s="43">
        <f t="shared" si="42"/>
        <v>137.65480920377973</v>
      </c>
    </row>
    <row r="78" spans="1:20" x14ac:dyDescent="0.45">
      <c r="A78" s="43">
        <v>37.5</v>
      </c>
      <c r="B78" s="44">
        <v>-1823.1</v>
      </c>
      <c r="C78" s="44">
        <v>8651.7000000000007</v>
      </c>
      <c r="D78" s="8">
        <f t="shared" si="43"/>
        <v>-5237.4000000000005</v>
      </c>
      <c r="E78" s="61">
        <f t="shared" si="30"/>
        <v>-544.58865667696523</v>
      </c>
      <c r="F78" s="5">
        <v>-731.4</v>
      </c>
      <c r="G78" s="44">
        <v>-10605</v>
      </c>
      <c r="H78" s="8">
        <f t="shared" si="44"/>
        <v>4936.8</v>
      </c>
      <c r="I78" s="61">
        <f t="shared" si="31"/>
        <v>496.51869996091619</v>
      </c>
      <c r="J78" s="43">
        <f t="shared" si="32"/>
        <v>736.958360012355</v>
      </c>
      <c r="K78" s="43">
        <f t="shared" si="33"/>
        <v>-42.356419643153167</v>
      </c>
      <c r="L78" s="43">
        <f t="shared" si="34"/>
        <v>137.64358035684683</v>
      </c>
      <c r="M78" s="43">
        <f t="shared" si="35"/>
        <v>-544.58865667696523</v>
      </c>
      <c r="N78" s="43">
        <f t="shared" si="36"/>
        <v>496.51869996091625</v>
      </c>
      <c r="O78" s="43">
        <f t="shared" si="37"/>
        <v>736.958360012355</v>
      </c>
      <c r="P78" s="43">
        <f t="shared" si="38"/>
        <v>-544.58865667696523</v>
      </c>
      <c r="Q78" s="43">
        <f t="shared" si="39"/>
        <v>496.51869996091625</v>
      </c>
      <c r="R78" s="43">
        <f t="shared" si="40"/>
        <v>736.958360012355</v>
      </c>
      <c r="S78" s="43">
        <f t="shared" si="41"/>
        <v>137.64358035684683</v>
      </c>
      <c r="T78" s="43">
        <f t="shared" si="42"/>
        <v>137.64358035684683</v>
      </c>
    </row>
    <row r="79" spans="1:20" x14ac:dyDescent="0.45">
      <c r="A79" s="43">
        <v>38</v>
      </c>
      <c r="B79" s="44">
        <v>-1300.4000000000001</v>
      </c>
      <c r="C79" s="44">
        <v>9783.5</v>
      </c>
      <c r="D79" s="8">
        <f t="shared" si="43"/>
        <v>-5541.95</v>
      </c>
      <c r="E79" s="61">
        <f t="shared" si="30"/>
        <v>-531.89420500516553</v>
      </c>
      <c r="F79" s="5">
        <v>-1626.6</v>
      </c>
      <c r="G79" s="44">
        <v>-11701.9</v>
      </c>
      <c r="H79" s="8">
        <f t="shared" si="44"/>
        <v>5037.6499999999996</v>
      </c>
      <c r="I79" s="61">
        <f t="shared" si="31"/>
        <v>484.55270158615315</v>
      </c>
      <c r="J79" s="43">
        <f t="shared" si="32"/>
        <v>719.51564676003863</v>
      </c>
      <c r="K79" s="43">
        <f t="shared" si="33"/>
        <v>-42.333348638870063</v>
      </c>
      <c r="L79" s="43">
        <f t="shared" si="34"/>
        <v>137.66665136112994</v>
      </c>
      <c r="M79" s="43">
        <f t="shared" si="35"/>
        <v>-531.89420500516565</v>
      </c>
      <c r="N79" s="43">
        <f t="shared" si="36"/>
        <v>484.55270158615309</v>
      </c>
      <c r="O79" s="43">
        <f t="shared" si="37"/>
        <v>719.51564676003863</v>
      </c>
      <c r="P79" s="43">
        <f t="shared" si="38"/>
        <v>-531.89420500516565</v>
      </c>
      <c r="Q79" s="43">
        <f t="shared" si="39"/>
        <v>484.55270158615309</v>
      </c>
      <c r="R79" s="43">
        <f t="shared" si="40"/>
        <v>719.51564676003863</v>
      </c>
      <c r="S79" s="43">
        <f t="shared" si="41"/>
        <v>137.66665136112994</v>
      </c>
      <c r="T79" s="43">
        <f t="shared" si="42"/>
        <v>137.66665136112994</v>
      </c>
    </row>
    <row r="80" spans="1:20" x14ac:dyDescent="0.45">
      <c r="A80" s="43">
        <v>38.5</v>
      </c>
      <c r="B80" s="44">
        <v>-26.5</v>
      </c>
      <c r="C80" s="44">
        <v>10763.2</v>
      </c>
      <c r="D80" s="8">
        <f t="shared" si="43"/>
        <v>-5394.85</v>
      </c>
      <c r="E80" s="61">
        <f t="shared" si="30"/>
        <v>-518.46175538090699</v>
      </c>
      <c r="F80" s="5">
        <v>-2986.7</v>
      </c>
      <c r="G80" s="44">
        <v>-12663.1</v>
      </c>
      <c r="H80" s="8">
        <f t="shared" si="44"/>
        <v>4838.2000000000007</v>
      </c>
      <c r="I80" s="61">
        <f t="shared" si="31"/>
        <v>472.34230737089075</v>
      </c>
      <c r="J80" s="43">
        <f t="shared" si="32"/>
        <v>701.36284983245901</v>
      </c>
      <c r="K80" s="43">
        <f t="shared" si="33"/>
        <v>-42.33494859118872</v>
      </c>
      <c r="L80" s="43">
        <f t="shared" si="34"/>
        <v>137.66505140881128</v>
      </c>
      <c r="M80" s="43">
        <f t="shared" si="35"/>
        <v>-518.46175538090688</v>
      </c>
      <c r="N80" s="43">
        <f t="shared" si="36"/>
        <v>472.34230737089075</v>
      </c>
      <c r="O80" s="43">
        <f t="shared" si="37"/>
        <v>701.36284983245889</v>
      </c>
      <c r="P80" s="43">
        <f t="shared" si="38"/>
        <v>-518.46175538090688</v>
      </c>
      <c r="Q80" s="43">
        <f t="shared" si="39"/>
        <v>472.34230737089075</v>
      </c>
      <c r="R80" s="43">
        <f t="shared" si="40"/>
        <v>701.36284983245889</v>
      </c>
      <c r="S80" s="43">
        <f t="shared" si="41"/>
        <v>137.66505140881128</v>
      </c>
      <c r="T80" s="43">
        <f t="shared" si="42"/>
        <v>137.66505140881128</v>
      </c>
    </row>
    <row r="81" spans="1:20" x14ac:dyDescent="0.45">
      <c r="A81" s="43">
        <v>39</v>
      </c>
      <c r="B81" s="44">
        <v>1436.9</v>
      </c>
      <c r="C81" s="44">
        <v>11957.5</v>
      </c>
      <c r="D81" s="8">
        <f t="shared" si="43"/>
        <v>-5260.3</v>
      </c>
      <c r="E81" s="61">
        <f t="shared" si="30"/>
        <v>-505.38576090539874</v>
      </c>
      <c r="F81" s="5">
        <v>-4032.4</v>
      </c>
      <c r="G81" s="44">
        <v>-13922.5</v>
      </c>
      <c r="H81" s="8">
        <f t="shared" si="44"/>
        <v>4945.05</v>
      </c>
      <c r="I81" s="61">
        <f t="shared" si="31"/>
        <v>460.61525504293093</v>
      </c>
      <c r="J81" s="43">
        <f t="shared" si="32"/>
        <v>683.79907904602589</v>
      </c>
      <c r="K81" s="43">
        <f t="shared" si="33"/>
        <v>-42.34645541632981</v>
      </c>
      <c r="L81" s="43">
        <f t="shared" si="34"/>
        <v>137.6535445836702</v>
      </c>
      <c r="M81" s="43">
        <f t="shared" si="35"/>
        <v>-505.3857609053988</v>
      </c>
      <c r="N81" s="43">
        <f t="shared" si="36"/>
        <v>460.61525504293081</v>
      </c>
      <c r="O81" s="43">
        <f t="shared" si="37"/>
        <v>683.79907904602589</v>
      </c>
      <c r="P81" s="43">
        <f t="shared" si="38"/>
        <v>-505.3857609053988</v>
      </c>
      <c r="Q81" s="43">
        <f t="shared" si="39"/>
        <v>460.61525504293081</v>
      </c>
      <c r="R81" s="43">
        <f t="shared" si="40"/>
        <v>683.79907904602589</v>
      </c>
      <c r="S81" s="43">
        <f t="shared" si="41"/>
        <v>137.6535445836702</v>
      </c>
      <c r="T81" s="43">
        <f t="shared" si="42"/>
        <v>137.6535445836702</v>
      </c>
    </row>
    <row r="82" spans="1:20" x14ac:dyDescent="0.45">
      <c r="A82" s="43">
        <v>39.5</v>
      </c>
      <c r="B82" s="44">
        <v>2188.6</v>
      </c>
      <c r="C82" s="44">
        <v>12365.1</v>
      </c>
      <c r="D82" s="8">
        <f t="shared" si="43"/>
        <v>-5088.25</v>
      </c>
      <c r="E82" s="61">
        <f t="shared" si="30"/>
        <v>-492.63581603949518</v>
      </c>
      <c r="F82" s="5">
        <v>-5054.8</v>
      </c>
      <c r="G82" s="44">
        <v>-14245.2</v>
      </c>
      <c r="H82" s="8">
        <f t="shared" si="44"/>
        <v>4595.2000000000007</v>
      </c>
      <c r="I82" s="61">
        <f t="shared" si="31"/>
        <v>448.62926384121266</v>
      </c>
      <c r="J82" s="43">
        <f t="shared" si="32"/>
        <v>666.30193127410928</v>
      </c>
      <c r="K82" s="43">
        <f t="shared" si="33"/>
        <v>-42.323224790584526</v>
      </c>
      <c r="L82" s="43">
        <f t="shared" si="34"/>
        <v>137.67677520941547</v>
      </c>
      <c r="M82" s="43">
        <f t="shared" si="35"/>
        <v>-492.63581603949518</v>
      </c>
      <c r="N82" s="43">
        <f t="shared" si="36"/>
        <v>448.62926384121283</v>
      </c>
      <c r="O82" s="43">
        <f t="shared" si="37"/>
        <v>666.30193127410928</v>
      </c>
      <c r="P82" s="43">
        <f t="shared" si="38"/>
        <v>-492.63581603949518</v>
      </c>
      <c r="Q82" s="43">
        <f t="shared" si="39"/>
        <v>448.62926384121283</v>
      </c>
      <c r="R82" s="43">
        <f t="shared" si="40"/>
        <v>666.30193127410928</v>
      </c>
      <c r="S82" s="43">
        <f t="shared" si="41"/>
        <v>137.67677520941547</v>
      </c>
      <c r="T82" s="43">
        <f t="shared" si="42"/>
        <v>137.67677520941547</v>
      </c>
    </row>
    <row r="83" spans="1:20" x14ac:dyDescent="0.45">
      <c r="A83" s="43">
        <v>40</v>
      </c>
      <c r="B83" s="44">
        <v>1648.9</v>
      </c>
      <c r="C83" s="44">
        <v>9415.2000000000007</v>
      </c>
      <c r="D83" s="8">
        <f t="shared" si="43"/>
        <v>-3883.1500000000005</v>
      </c>
      <c r="E83" s="61">
        <f t="shared" si="30"/>
        <v>-480.30280091204162</v>
      </c>
      <c r="F83" s="5">
        <v>-4563.5</v>
      </c>
      <c r="G83" s="44">
        <v>-11380.6</v>
      </c>
      <c r="H83" s="8">
        <f t="shared" si="44"/>
        <v>3408.55</v>
      </c>
      <c r="I83" s="61">
        <f t="shared" si="31"/>
        <v>437.49110609899861</v>
      </c>
      <c r="J83" s="43">
        <f t="shared" si="32"/>
        <v>649.68396046052851</v>
      </c>
      <c r="K83" s="43">
        <f t="shared" si="33"/>
        <v>-42.329299491584209</v>
      </c>
      <c r="L83" s="43">
        <f t="shared" si="34"/>
        <v>137.67070050841579</v>
      </c>
      <c r="M83" s="43">
        <f t="shared" si="35"/>
        <v>-480.30280091204156</v>
      </c>
      <c r="N83" s="43">
        <f t="shared" si="36"/>
        <v>437.49110609899873</v>
      </c>
      <c r="O83" s="43">
        <f t="shared" si="37"/>
        <v>649.68396046052851</v>
      </c>
      <c r="P83" s="43">
        <f t="shared" si="38"/>
        <v>-480.30280091204156</v>
      </c>
      <c r="Q83" s="43">
        <f t="shared" si="39"/>
        <v>437.49110609899873</v>
      </c>
      <c r="R83" s="43">
        <f t="shared" si="40"/>
        <v>649.68396046052851</v>
      </c>
      <c r="S83" s="43">
        <f t="shared" si="41"/>
        <v>137.67070050841579</v>
      </c>
      <c r="T83" s="43">
        <f t="shared" si="42"/>
        <v>137.67070050841579</v>
      </c>
    </row>
    <row r="84" spans="1:20" x14ac:dyDescent="0.45">
      <c r="A84" s="43">
        <v>40.5</v>
      </c>
      <c r="B84" s="44">
        <v>1991.3</v>
      </c>
      <c r="C84" s="44">
        <v>9091.9</v>
      </c>
      <c r="D84" s="8">
        <f t="shared" si="43"/>
        <v>-3550.2999999999997</v>
      </c>
      <c r="E84" s="61">
        <f t="shared" si="30"/>
        <v>-470.89033570015317</v>
      </c>
      <c r="F84" s="5">
        <v>-4670.1000000000004</v>
      </c>
      <c r="G84" s="44">
        <v>-11038.9</v>
      </c>
      <c r="H84" s="8">
        <f t="shared" si="44"/>
        <v>3184.3999999999996</v>
      </c>
      <c r="I84" s="61">
        <f t="shared" si="31"/>
        <v>429.22892378599528</v>
      </c>
      <c r="J84" s="43">
        <f t="shared" si="32"/>
        <v>637.16181403964151</v>
      </c>
      <c r="K84" s="43">
        <f t="shared" si="33"/>
        <v>-42.349994782076408</v>
      </c>
      <c r="L84" s="43">
        <f t="shared" si="34"/>
        <v>137.65000521792359</v>
      </c>
      <c r="M84" s="43">
        <f t="shared" si="35"/>
        <v>-470.89033570015317</v>
      </c>
      <c r="N84" s="43">
        <f t="shared" si="36"/>
        <v>429.22892378599528</v>
      </c>
      <c r="O84" s="43">
        <f t="shared" si="37"/>
        <v>637.16181403964151</v>
      </c>
      <c r="P84" s="43">
        <f t="shared" si="38"/>
        <v>-470.89033570015317</v>
      </c>
      <c r="Q84" s="43">
        <f t="shared" si="39"/>
        <v>429.22892378599528</v>
      </c>
      <c r="R84" s="43">
        <f t="shared" si="40"/>
        <v>637.16181403964151</v>
      </c>
      <c r="S84" s="43">
        <f t="shared" si="41"/>
        <v>137.65000521792359</v>
      </c>
      <c r="T84" s="43">
        <f t="shared" si="42"/>
        <v>137.65000521792359</v>
      </c>
    </row>
    <row r="85" spans="1:20" x14ac:dyDescent="0.45">
      <c r="A85" s="43">
        <v>41</v>
      </c>
      <c r="B85" s="44">
        <v>1797.1</v>
      </c>
      <c r="C85" s="44">
        <v>8123.7</v>
      </c>
      <c r="D85" s="8">
        <f t="shared" si="43"/>
        <v>-3163.3</v>
      </c>
      <c r="E85" s="61">
        <f t="shared" si="30"/>
        <v>-462.28459058430599</v>
      </c>
      <c r="F85" s="5">
        <v>-4891.8</v>
      </c>
      <c r="G85" s="44">
        <v>-10047.200000000001</v>
      </c>
      <c r="H85" s="8">
        <f t="shared" si="44"/>
        <v>2577.7000000000003</v>
      </c>
      <c r="I85" s="61">
        <f t="shared" si="31"/>
        <v>421.51002698987492</v>
      </c>
      <c r="J85" s="43">
        <f t="shared" si="32"/>
        <v>625.60190660251703</v>
      </c>
      <c r="K85" s="43">
        <f t="shared" si="33"/>
        <v>-42.358487002882924</v>
      </c>
      <c r="L85" s="43">
        <f t="shared" si="34"/>
        <v>137.64151299711708</v>
      </c>
      <c r="M85" s="43">
        <f t="shared" si="35"/>
        <v>-462.28459058430599</v>
      </c>
      <c r="N85" s="43">
        <f t="shared" si="36"/>
        <v>421.5100269898748</v>
      </c>
      <c r="O85" s="43">
        <f t="shared" si="37"/>
        <v>625.60190660251703</v>
      </c>
      <c r="P85" s="43">
        <f t="shared" si="38"/>
        <v>-462.28459058430599</v>
      </c>
      <c r="Q85" s="43">
        <f t="shared" si="39"/>
        <v>421.5100269898748</v>
      </c>
      <c r="R85" s="43">
        <f t="shared" si="40"/>
        <v>625.60190660251703</v>
      </c>
      <c r="S85" s="43">
        <f t="shared" si="41"/>
        <v>137.64151299711708</v>
      </c>
      <c r="T85" s="43">
        <f t="shared" si="42"/>
        <v>137.64151299711708</v>
      </c>
    </row>
    <row r="86" spans="1:20" x14ac:dyDescent="0.45">
      <c r="A86" s="43">
        <v>41.5</v>
      </c>
      <c r="B86" s="44">
        <v>1839.1</v>
      </c>
      <c r="C86" s="44">
        <v>7237.5</v>
      </c>
      <c r="D86" s="8">
        <f t="shared" si="43"/>
        <v>-2699.2</v>
      </c>
      <c r="E86" s="61">
        <f t="shared" si="30"/>
        <v>-454.61683557656022</v>
      </c>
      <c r="F86" s="5">
        <v>-4384.6000000000004</v>
      </c>
      <c r="G86" s="44">
        <v>-9177.2000000000007</v>
      </c>
      <c r="H86" s="8">
        <f t="shared" si="44"/>
        <v>2396.3000000000002</v>
      </c>
      <c r="I86" s="61">
        <f t="shared" si="31"/>
        <v>415.26166850453183</v>
      </c>
      <c r="J86" s="43">
        <f t="shared" si="32"/>
        <v>615.72617332610844</v>
      </c>
      <c r="K86" s="43">
        <f t="shared" si="33"/>
        <v>-42.409582625822658</v>
      </c>
      <c r="L86" s="43">
        <f t="shared" si="34"/>
        <v>137.59041737417735</v>
      </c>
      <c r="M86" s="43">
        <f t="shared" si="35"/>
        <v>-454.61683557656033</v>
      </c>
      <c r="N86" s="43">
        <f t="shared" si="36"/>
        <v>415.26166850453171</v>
      </c>
      <c r="O86" s="43">
        <f t="shared" si="37"/>
        <v>615.72617332610844</v>
      </c>
      <c r="P86" s="43">
        <f t="shared" si="38"/>
        <v>-454.61683557656033</v>
      </c>
      <c r="Q86" s="43">
        <f t="shared" si="39"/>
        <v>415.26166850453171</v>
      </c>
      <c r="R86" s="43">
        <f t="shared" si="40"/>
        <v>615.72617332610844</v>
      </c>
      <c r="S86" s="43">
        <f t="shared" si="41"/>
        <v>137.59041737417738</v>
      </c>
      <c r="T86" s="43">
        <f t="shared" si="42"/>
        <v>137.59041737417738</v>
      </c>
    </row>
    <row r="87" spans="1:20" x14ac:dyDescent="0.45">
      <c r="A87" s="43">
        <v>42</v>
      </c>
      <c r="B87" s="44">
        <v>1482.2</v>
      </c>
      <c r="C87" s="44">
        <v>6226</v>
      </c>
      <c r="D87" s="8">
        <f t="shared" si="43"/>
        <v>-2371.9</v>
      </c>
      <c r="E87" s="61">
        <f t="shared" si="30"/>
        <v>-448.07397687952101</v>
      </c>
      <c r="F87" s="5">
        <v>-4388.8999999999996</v>
      </c>
      <c r="G87" s="44">
        <v>-8129.7</v>
      </c>
      <c r="H87" s="8">
        <f t="shared" si="44"/>
        <v>1870.4</v>
      </c>
      <c r="I87" s="61">
        <f t="shared" si="31"/>
        <v>409.45300405073624</v>
      </c>
      <c r="J87" s="43">
        <f t="shared" si="32"/>
        <v>606.97780130973638</v>
      </c>
      <c r="K87" s="43">
        <f t="shared" si="33"/>
        <v>-42.421277160700868</v>
      </c>
      <c r="L87" s="43">
        <f t="shared" si="34"/>
        <v>137.57872283929913</v>
      </c>
      <c r="M87" s="43">
        <f t="shared" si="35"/>
        <v>-448.07397687952113</v>
      </c>
      <c r="N87" s="43">
        <f t="shared" si="36"/>
        <v>409.45300405073618</v>
      </c>
      <c r="O87" s="43">
        <f t="shared" si="37"/>
        <v>606.97780130973638</v>
      </c>
      <c r="P87" s="43">
        <f t="shared" si="38"/>
        <v>-448.07397687952113</v>
      </c>
      <c r="Q87" s="43">
        <f t="shared" si="39"/>
        <v>409.45300405073618</v>
      </c>
      <c r="R87" s="43">
        <f t="shared" si="40"/>
        <v>606.97780130973638</v>
      </c>
      <c r="S87" s="43">
        <f t="shared" si="41"/>
        <v>137.57872283929913</v>
      </c>
      <c r="T87" s="43">
        <f t="shared" si="42"/>
        <v>137.57872283929913</v>
      </c>
    </row>
    <row r="88" spans="1:20" x14ac:dyDescent="0.45">
      <c r="A88" s="43">
        <v>42.5</v>
      </c>
      <c r="B88" s="44">
        <v>1180.9000000000001</v>
      </c>
      <c r="C88" s="44">
        <v>5697.3</v>
      </c>
      <c r="D88" s="8">
        <f t="shared" si="43"/>
        <v>-2258.1999999999998</v>
      </c>
      <c r="E88" s="61">
        <f t="shared" si="30"/>
        <v>-442.32445574386355</v>
      </c>
      <c r="F88" s="5">
        <v>-4090.6</v>
      </c>
      <c r="G88" s="44">
        <v>-7669.6</v>
      </c>
      <c r="H88" s="8">
        <f t="shared" si="44"/>
        <v>1789.5000000000002</v>
      </c>
      <c r="I88" s="61">
        <f t="shared" si="31"/>
        <v>404.91908864125139</v>
      </c>
      <c r="J88" s="43">
        <f t="shared" si="32"/>
        <v>599.67523918798474</v>
      </c>
      <c r="K88" s="43">
        <f t="shared" si="33"/>
        <v>-42.472062390886911</v>
      </c>
      <c r="L88" s="43">
        <f t="shared" si="34"/>
        <v>137.52793760911308</v>
      </c>
      <c r="M88" s="43">
        <f t="shared" si="35"/>
        <v>-442.32445574386355</v>
      </c>
      <c r="N88" s="43">
        <f t="shared" si="36"/>
        <v>404.91908864125139</v>
      </c>
      <c r="O88" s="43">
        <f t="shared" si="37"/>
        <v>599.67523918798474</v>
      </c>
      <c r="P88" s="43">
        <f t="shared" si="38"/>
        <v>-442.32445574386355</v>
      </c>
      <c r="Q88" s="43">
        <f t="shared" si="39"/>
        <v>404.91908864125139</v>
      </c>
      <c r="R88" s="43">
        <f t="shared" si="40"/>
        <v>599.67523918798474</v>
      </c>
      <c r="S88" s="43">
        <f t="shared" si="41"/>
        <v>137.52793760911308</v>
      </c>
      <c r="T88" s="43">
        <f t="shared" si="42"/>
        <v>137.52793760911308</v>
      </c>
    </row>
    <row r="89" spans="1:20" x14ac:dyDescent="0.45">
      <c r="A89" s="43">
        <v>43</v>
      </c>
      <c r="B89" s="44">
        <v>-122.6</v>
      </c>
      <c r="C89" s="44">
        <v>6873.6</v>
      </c>
      <c r="D89" s="8">
        <f t="shared" si="43"/>
        <v>-3498.1000000000004</v>
      </c>
      <c r="E89" s="61">
        <f t="shared" si="30"/>
        <v>-436.85053382276561</v>
      </c>
      <c r="F89" s="5">
        <v>-2727.2</v>
      </c>
      <c r="G89" s="44">
        <v>-8776.1</v>
      </c>
      <c r="H89" s="8">
        <f t="shared" si="44"/>
        <v>3024.4500000000003</v>
      </c>
      <c r="I89" s="61">
        <f t="shared" si="31"/>
        <v>400.5812726468036</v>
      </c>
      <c r="J89" s="43">
        <f t="shared" si="32"/>
        <v>592.70881965478463</v>
      </c>
      <c r="K89" s="43">
        <f t="shared" si="33"/>
        <v>-42.520063474579828</v>
      </c>
      <c r="L89" s="43">
        <f t="shared" si="34"/>
        <v>137.47993652542016</v>
      </c>
      <c r="M89" s="43">
        <f t="shared" si="35"/>
        <v>-436.85053382276539</v>
      </c>
      <c r="N89" s="43">
        <f t="shared" si="36"/>
        <v>400.58127264680382</v>
      </c>
      <c r="O89" s="43">
        <f t="shared" si="37"/>
        <v>592.70881965478463</v>
      </c>
      <c r="P89" s="43">
        <f t="shared" si="38"/>
        <v>-436.85053382276539</v>
      </c>
      <c r="Q89" s="43">
        <f t="shared" si="39"/>
        <v>400.58127264680382</v>
      </c>
      <c r="R89" s="43">
        <f t="shared" si="40"/>
        <v>592.70881965478463</v>
      </c>
      <c r="S89" s="43">
        <f t="shared" si="41"/>
        <v>137.47993652542016</v>
      </c>
      <c r="T89" s="43">
        <f t="shared" si="42"/>
        <v>137.47993652542016</v>
      </c>
    </row>
    <row r="90" spans="1:20" x14ac:dyDescent="0.45">
      <c r="A90" s="43">
        <v>43.5</v>
      </c>
      <c r="B90" s="44">
        <v>-1381.8</v>
      </c>
      <c r="C90" s="44">
        <v>7627.2</v>
      </c>
      <c r="D90" s="8">
        <f t="shared" si="43"/>
        <v>-4504.5</v>
      </c>
      <c r="E90" s="61">
        <f t="shared" si="30"/>
        <v>-428.37130660825432</v>
      </c>
      <c r="F90" s="5">
        <v>-1256</v>
      </c>
      <c r="G90" s="44">
        <v>-9617.1</v>
      </c>
      <c r="H90" s="8">
        <f t="shared" si="44"/>
        <v>4180.55</v>
      </c>
      <c r="I90" s="61">
        <f t="shared" si="31"/>
        <v>393.25006166843662</v>
      </c>
      <c r="J90" s="43">
        <f t="shared" si="32"/>
        <v>581.50458925746432</v>
      </c>
      <c r="K90" s="43">
        <f t="shared" si="33"/>
        <v>-42.552309527656909</v>
      </c>
      <c r="L90" s="43">
        <f t="shared" si="34"/>
        <v>137.44769047234308</v>
      </c>
      <c r="M90" s="43">
        <f t="shared" si="35"/>
        <v>-428.37130660825432</v>
      </c>
      <c r="N90" s="43">
        <f t="shared" si="36"/>
        <v>393.25006166843667</v>
      </c>
      <c r="O90" s="43">
        <f t="shared" si="37"/>
        <v>581.50458925746432</v>
      </c>
      <c r="P90" s="43">
        <f t="shared" si="38"/>
        <v>-428.37130660825432</v>
      </c>
      <c r="Q90" s="43">
        <f t="shared" si="39"/>
        <v>393.25006166843667</v>
      </c>
      <c r="R90" s="43">
        <f t="shared" si="40"/>
        <v>581.50458925746432</v>
      </c>
      <c r="S90" s="43">
        <f t="shared" si="41"/>
        <v>137.44769047234308</v>
      </c>
      <c r="T90" s="43">
        <f t="shared" si="42"/>
        <v>137.44769047234308</v>
      </c>
    </row>
    <row r="91" spans="1:20" x14ac:dyDescent="0.45">
      <c r="A91" s="43">
        <v>44</v>
      </c>
      <c r="B91" s="44">
        <v>-2874.5</v>
      </c>
      <c r="C91" s="44">
        <v>8510.7000000000007</v>
      </c>
      <c r="D91" s="8">
        <f t="shared" si="43"/>
        <v>-5692.6</v>
      </c>
      <c r="E91" s="61">
        <f t="shared" si="30"/>
        <v>-417.4529583816273</v>
      </c>
      <c r="F91" s="5">
        <v>-35.9</v>
      </c>
      <c r="G91" s="44">
        <v>-10434.5</v>
      </c>
      <c r="H91" s="8">
        <f t="shared" si="44"/>
        <v>5199.3</v>
      </c>
      <c r="I91" s="61">
        <f t="shared" si="31"/>
        <v>383.11681629627105</v>
      </c>
      <c r="J91" s="43">
        <f t="shared" si="32"/>
        <v>566.60874277632126</v>
      </c>
      <c r="K91" s="43">
        <f t="shared" si="33"/>
        <v>-42.544110317302078</v>
      </c>
      <c r="L91" s="43">
        <f t="shared" si="34"/>
        <v>137.45588968269792</v>
      </c>
      <c r="M91" s="43">
        <f t="shared" si="35"/>
        <v>-417.4529583816273</v>
      </c>
      <c r="N91" s="43">
        <f t="shared" si="36"/>
        <v>383.11681629627111</v>
      </c>
      <c r="O91" s="43">
        <f t="shared" si="37"/>
        <v>566.60874277632126</v>
      </c>
      <c r="P91" s="43">
        <f t="shared" si="38"/>
        <v>-417.4529583816273</v>
      </c>
      <c r="Q91" s="43">
        <f t="shared" si="39"/>
        <v>383.11681629627111</v>
      </c>
      <c r="R91" s="43">
        <f t="shared" si="40"/>
        <v>566.60874277632126</v>
      </c>
      <c r="S91" s="43">
        <f t="shared" si="41"/>
        <v>137.45588968269792</v>
      </c>
      <c r="T91" s="43">
        <f t="shared" si="42"/>
        <v>137.45588968269792</v>
      </c>
    </row>
    <row r="92" spans="1:20" x14ac:dyDescent="0.45">
      <c r="A92" s="43">
        <v>44.5</v>
      </c>
      <c r="B92" s="44">
        <v>-3932.9</v>
      </c>
      <c r="C92" s="44">
        <v>9326.2999999999993</v>
      </c>
      <c r="D92" s="8">
        <f t="shared" si="43"/>
        <v>-6629.5999999999995</v>
      </c>
      <c r="E92" s="61">
        <f t="shared" si="30"/>
        <v>-403.65545827253698</v>
      </c>
      <c r="F92" s="5">
        <v>1217.2</v>
      </c>
      <c r="G92" s="44">
        <v>-11284.6</v>
      </c>
      <c r="H92" s="8">
        <f t="shared" si="44"/>
        <v>6250.9000000000005</v>
      </c>
      <c r="I92" s="61">
        <f t="shared" si="31"/>
        <v>370.51469207546455</v>
      </c>
      <c r="J92" s="43">
        <f t="shared" si="32"/>
        <v>547.92231752045666</v>
      </c>
      <c r="K92" s="43">
        <f t="shared" si="33"/>
        <v>-42.548772169240699</v>
      </c>
      <c r="L92" s="43">
        <f t="shared" si="34"/>
        <v>137.45122783075931</v>
      </c>
      <c r="M92" s="43">
        <f t="shared" si="35"/>
        <v>-403.65545827253709</v>
      </c>
      <c r="N92" s="43">
        <f t="shared" si="36"/>
        <v>370.51469207546438</v>
      </c>
      <c r="O92" s="43">
        <f t="shared" si="37"/>
        <v>547.92231752045666</v>
      </c>
      <c r="P92" s="43">
        <f t="shared" si="38"/>
        <v>-403.65545827253709</v>
      </c>
      <c r="Q92" s="43">
        <f t="shared" si="39"/>
        <v>370.51469207546438</v>
      </c>
      <c r="R92" s="43">
        <f t="shared" si="40"/>
        <v>547.92231752045666</v>
      </c>
      <c r="S92" s="43">
        <f t="shared" si="41"/>
        <v>137.45122783075931</v>
      </c>
      <c r="T92" s="43">
        <f t="shared" si="42"/>
        <v>137.45122783075931</v>
      </c>
    </row>
    <row r="93" spans="1:20" x14ac:dyDescent="0.45">
      <c r="A93" s="43">
        <v>45</v>
      </c>
      <c r="B93" s="44">
        <v>-4585.3</v>
      </c>
      <c r="C93" s="44">
        <v>10224.299999999999</v>
      </c>
      <c r="D93" s="8">
        <f t="shared" si="43"/>
        <v>-7404.7999999999993</v>
      </c>
      <c r="E93" s="61">
        <f t="shared" si="30"/>
        <v>-387.58762120381539</v>
      </c>
      <c r="F93" s="5">
        <v>1650.6</v>
      </c>
      <c r="G93" s="44">
        <v>-12135.6</v>
      </c>
      <c r="H93" s="8">
        <f t="shared" si="44"/>
        <v>6893.1</v>
      </c>
      <c r="I93" s="61">
        <f t="shared" si="31"/>
        <v>355.36440214791725</v>
      </c>
      <c r="J93" s="43">
        <f t="shared" si="32"/>
        <v>525.84030125540869</v>
      </c>
      <c r="K93" s="43">
        <f t="shared" si="33"/>
        <v>-42.51653131529568</v>
      </c>
      <c r="L93" s="43">
        <f t="shared" si="34"/>
        <v>137.48346868470432</v>
      </c>
      <c r="M93" s="43">
        <f t="shared" si="35"/>
        <v>-387.58762120381533</v>
      </c>
      <c r="N93" s="43">
        <f t="shared" si="36"/>
        <v>355.3644021479173</v>
      </c>
      <c r="O93" s="43">
        <f t="shared" si="37"/>
        <v>525.84030125540858</v>
      </c>
      <c r="P93" s="43">
        <f t="shared" si="38"/>
        <v>-387.58762120381533</v>
      </c>
      <c r="Q93" s="43">
        <f t="shared" si="39"/>
        <v>355.3644021479173</v>
      </c>
      <c r="R93" s="43">
        <f t="shared" si="40"/>
        <v>525.84030125540858</v>
      </c>
      <c r="S93" s="43">
        <f t="shared" si="41"/>
        <v>137.48346868470429</v>
      </c>
      <c r="T93" s="43">
        <f t="shared" si="42"/>
        <v>137.48346868470429</v>
      </c>
    </row>
    <row r="94" spans="1:20" x14ac:dyDescent="0.45">
      <c r="A94" s="43">
        <v>45.5</v>
      </c>
      <c r="B94" s="44">
        <v>-4160.6000000000004</v>
      </c>
      <c r="C94" s="44">
        <v>11325.3</v>
      </c>
      <c r="D94" s="8">
        <f t="shared" si="43"/>
        <v>-7742.95</v>
      </c>
      <c r="E94" s="61">
        <f t="shared" si="30"/>
        <v>-369.64173474946705</v>
      </c>
      <c r="F94" s="5">
        <v>1491.8</v>
      </c>
      <c r="G94" s="44">
        <v>-13281.6</v>
      </c>
      <c r="H94" s="8">
        <f t="shared" si="44"/>
        <v>7386.7</v>
      </c>
      <c r="I94" s="61">
        <f t="shared" si="31"/>
        <v>338.65816623918869</v>
      </c>
      <c r="J94" s="43">
        <f t="shared" si="32"/>
        <v>501.3226163151682</v>
      </c>
      <c r="K94" s="43">
        <f t="shared" si="33"/>
        <v>-42.495274662446747</v>
      </c>
      <c r="L94" s="43">
        <f t="shared" si="34"/>
        <v>137.50472533755325</v>
      </c>
      <c r="M94" s="43">
        <f t="shared" si="35"/>
        <v>-369.64173474946716</v>
      </c>
      <c r="N94" s="43">
        <f t="shared" si="36"/>
        <v>338.65816623918863</v>
      </c>
      <c r="O94" s="43">
        <f t="shared" si="37"/>
        <v>501.3226163151682</v>
      </c>
      <c r="P94" s="43">
        <f t="shared" si="38"/>
        <v>-369.64173474946716</v>
      </c>
      <c r="Q94" s="43">
        <f t="shared" si="39"/>
        <v>338.65816623918863</v>
      </c>
      <c r="R94" s="43">
        <f t="shared" si="40"/>
        <v>501.3226163151682</v>
      </c>
      <c r="S94" s="43">
        <f t="shared" si="41"/>
        <v>137.50472533755325</v>
      </c>
      <c r="T94" s="43">
        <f t="shared" si="42"/>
        <v>137.50472533755325</v>
      </c>
    </row>
    <row r="95" spans="1:20" x14ac:dyDescent="0.45">
      <c r="A95" s="43">
        <v>46</v>
      </c>
      <c r="B95" s="44">
        <v>-1836.7</v>
      </c>
      <c r="C95" s="44">
        <v>12264.4</v>
      </c>
      <c r="D95" s="8">
        <f t="shared" si="43"/>
        <v>-7050.55</v>
      </c>
      <c r="E95" s="61">
        <f t="shared" si="30"/>
        <v>-350.87670219264771</v>
      </c>
      <c r="F95" s="5">
        <v>-1114.9000000000001</v>
      </c>
      <c r="G95" s="44">
        <v>-14303.8</v>
      </c>
      <c r="H95" s="8">
        <f t="shared" si="44"/>
        <v>6594.45</v>
      </c>
      <c r="I95" s="61">
        <f t="shared" si="31"/>
        <v>320.75612722218801</v>
      </c>
      <c r="J95" s="43">
        <f t="shared" si="32"/>
        <v>475.3934720756738</v>
      </c>
      <c r="K95" s="43">
        <f t="shared" si="33"/>
        <v>-42.432188902847244</v>
      </c>
      <c r="L95" s="43">
        <f t="shared" si="34"/>
        <v>137.56781109715274</v>
      </c>
      <c r="M95" s="43">
        <f t="shared" si="35"/>
        <v>-350.8767021926476</v>
      </c>
      <c r="N95" s="43">
        <f t="shared" si="36"/>
        <v>320.75612722218807</v>
      </c>
      <c r="O95" s="43">
        <f t="shared" si="37"/>
        <v>475.3934720756738</v>
      </c>
      <c r="P95" s="43">
        <f t="shared" si="38"/>
        <v>-350.8767021926476</v>
      </c>
      <c r="Q95" s="43">
        <f t="shared" si="39"/>
        <v>320.75612722218807</v>
      </c>
      <c r="R95" s="43">
        <f t="shared" si="40"/>
        <v>475.3934720756738</v>
      </c>
      <c r="S95" s="43">
        <f t="shared" si="41"/>
        <v>137.56781109715274</v>
      </c>
      <c r="T95" s="43">
        <f t="shared" si="42"/>
        <v>137.56781109715274</v>
      </c>
    </row>
    <row r="96" spans="1:20" x14ac:dyDescent="0.45">
      <c r="A96" s="43">
        <v>46.5</v>
      </c>
      <c r="B96" s="44">
        <v>-896.6</v>
      </c>
      <c r="C96" s="44">
        <v>13228.8</v>
      </c>
      <c r="D96" s="8">
        <f t="shared" si="43"/>
        <v>-7062.7</v>
      </c>
      <c r="E96" s="61">
        <f t="shared" si="30"/>
        <v>-333.78901472392528</v>
      </c>
      <c r="F96" s="5">
        <v>-1908.3</v>
      </c>
      <c r="G96" s="44">
        <v>-15102</v>
      </c>
      <c r="H96" s="8">
        <f t="shared" si="44"/>
        <v>6596.85</v>
      </c>
      <c r="I96" s="61">
        <f t="shared" si="31"/>
        <v>304.77345238326512</v>
      </c>
      <c r="J96" s="43">
        <f t="shared" si="32"/>
        <v>451.99774737047437</v>
      </c>
      <c r="K96" s="43">
        <f t="shared" si="33"/>
        <v>-42.398333599196299</v>
      </c>
      <c r="L96" s="43">
        <f t="shared" si="34"/>
        <v>137.60166640080371</v>
      </c>
      <c r="M96" s="43">
        <f t="shared" si="35"/>
        <v>-333.78901472392528</v>
      </c>
      <c r="N96" s="43">
        <f t="shared" si="36"/>
        <v>304.77345238326512</v>
      </c>
      <c r="O96" s="43">
        <f t="shared" si="37"/>
        <v>451.99774737047437</v>
      </c>
      <c r="P96" s="43">
        <f t="shared" si="38"/>
        <v>-333.78901472392528</v>
      </c>
      <c r="Q96" s="43">
        <f t="shared" si="39"/>
        <v>304.77345238326512</v>
      </c>
      <c r="R96" s="43">
        <f t="shared" si="40"/>
        <v>451.99774737047437</v>
      </c>
      <c r="S96" s="43">
        <f t="shared" si="41"/>
        <v>137.60166640080371</v>
      </c>
      <c r="T96" s="43">
        <f t="shared" si="42"/>
        <v>137.60166640080371</v>
      </c>
    </row>
    <row r="97" spans="1:20" x14ac:dyDescent="0.45">
      <c r="A97" s="43">
        <v>47</v>
      </c>
      <c r="B97" s="44">
        <v>141.6</v>
      </c>
      <c r="C97" s="44">
        <v>13826.5</v>
      </c>
      <c r="D97" s="8">
        <f t="shared" si="43"/>
        <v>-6842.45</v>
      </c>
      <c r="E97" s="61">
        <f t="shared" si="30"/>
        <v>-316.6718920583383</v>
      </c>
      <c r="F97" s="5">
        <v>-2718.4</v>
      </c>
      <c r="G97" s="44">
        <v>-15813.6</v>
      </c>
      <c r="H97" s="8">
        <f t="shared" si="44"/>
        <v>6547.6</v>
      </c>
      <c r="I97" s="61">
        <f t="shared" si="31"/>
        <v>288.78496275425852</v>
      </c>
      <c r="J97" s="43">
        <f t="shared" si="32"/>
        <v>428.57652984360487</v>
      </c>
      <c r="K97" s="43">
        <f t="shared" si="33"/>
        <v>-42.362859328932934</v>
      </c>
      <c r="L97" s="43">
        <f t="shared" si="34"/>
        <v>137.63714067106707</v>
      </c>
      <c r="M97" s="43">
        <f t="shared" si="35"/>
        <v>-316.67189205833824</v>
      </c>
      <c r="N97" s="43">
        <f t="shared" si="36"/>
        <v>288.78496275425857</v>
      </c>
      <c r="O97" s="43">
        <f t="shared" si="37"/>
        <v>428.57652984360487</v>
      </c>
      <c r="P97" s="43">
        <f t="shared" si="38"/>
        <v>-316.67189205833824</v>
      </c>
      <c r="Q97" s="43">
        <f t="shared" si="39"/>
        <v>288.78496275425857</v>
      </c>
      <c r="R97" s="43">
        <f t="shared" si="40"/>
        <v>428.57652984360487</v>
      </c>
      <c r="S97" s="43">
        <f t="shared" si="41"/>
        <v>137.63714067106704</v>
      </c>
      <c r="T97" s="43">
        <f t="shared" si="42"/>
        <v>137.63714067106704</v>
      </c>
    </row>
    <row r="98" spans="1:20" x14ac:dyDescent="0.45">
      <c r="A98" s="43">
        <v>47.5</v>
      </c>
      <c r="B98" s="44">
        <v>978.6</v>
      </c>
      <c r="C98" s="44">
        <v>14415.5</v>
      </c>
      <c r="D98" s="8">
        <f t="shared" si="43"/>
        <v>-6718.45</v>
      </c>
      <c r="E98" s="61">
        <f t="shared" si="30"/>
        <v>-300.08836716280086</v>
      </c>
      <c r="F98" s="5">
        <v>-3806.2</v>
      </c>
      <c r="G98" s="44">
        <v>-16341.6</v>
      </c>
      <c r="H98" s="8">
        <f t="shared" si="44"/>
        <v>6267.7000000000007</v>
      </c>
      <c r="I98" s="61">
        <f t="shared" si="31"/>
        <v>272.91579789585018</v>
      </c>
      <c r="J98" s="43">
        <f t="shared" si="32"/>
        <v>405.63044861987925</v>
      </c>
      <c r="K98" s="43">
        <f t="shared" si="33"/>
        <v>-42.284996889267056</v>
      </c>
      <c r="L98" s="43">
        <f t="shared" si="34"/>
        <v>137.71500311073294</v>
      </c>
      <c r="M98" s="43">
        <f t="shared" si="35"/>
        <v>-300.08836716280075</v>
      </c>
      <c r="N98" s="43">
        <f t="shared" si="36"/>
        <v>272.91579789585023</v>
      </c>
      <c r="O98" s="43">
        <f t="shared" si="37"/>
        <v>405.63044861987925</v>
      </c>
      <c r="P98" s="43">
        <f t="shared" si="38"/>
        <v>-300.08836716280075</v>
      </c>
      <c r="Q98" s="43">
        <f t="shared" si="39"/>
        <v>272.91579789585023</v>
      </c>
      <c r="R98" s="43">
        <f t="shared" si="40"/>
        <v>405.63044861987925</v>
      </c>
      <c r="S98" s="43">
        <f t="shared" si="41"/>
        <v>137.71500311073294</v>
      </c>
      <c r="T98" s="43">
        <f t="shared" si="42"/>
        <v>137.71500311073294</v>
      </c>
    </row>
    <row r="99" spans="1:20" x14ac:dyDescent="0.45">
      <c r="A99" s="43">
        <v>48</v>
      </c>
      <c r="B99" s="44">
        <v>1563.6</v>
      </c>
      <c r="C99" s="44">
        <v>14321.1</v>
      </c>
      <c r="D99" s="8">
        <f t="shared" ref="D99:D130" si="45">(B99-C99)/2</f>
        <v>-6378.75</v>
      </c>
      <c r="E99" s="61">
        <f t="shared" si="30"/>
        <v>-283.80526435318052</v>
      </c>
      <c r="F99" s="5">
        <v>-4467.5</v>
      </c>
      <c r="G99" s="44">
        <v>-16203.6</v>
      </c>
      <c r="H99" s="8">
        <f t="shared" ref="H99:H130" si="46">(F99-G99)/2</f>
        <v>5868.05</v>
      </c>
      <c r="I99" s="61">
        <f t="shared" si="31"/>
        <v>257.72480236870479</v>
      </c>
      <c r="J99" s="43">
        <f t="shared" si="32"/>
        <v>383.3634070051113</v>
      </c>
      <c r="K99" s="43">
        <f t="shared" si="33"/>
        <v>-42.242726162449564</v>
      </c>
      <c r="L99" s="43">
        <f t="shared" si="34"/>
        <v>137.75727383755043</v>
      </c>
      <c r="M99" s="43">
        <f t="shared" si="35"/>
        <v>-283.80526435318052</v>
      </c>
      <c r="N99" s="43">
        <f t="shared" si="36"/>
        <v>257.72480236870479</v>
      </c>
      <c r="O99" s="43">
        <f t="shared" si="37"/>
        <v>383.3634070051113</v>
      </c>
      <c r="P99" s="43">
        <f t="shared" si="38"/>
        <v>-283.80526435318052</v>
      </c>
      <c r="Q99" s="43">
        <f t="shared" si="39"/>
        <v>257.72480236870479</v>
      </c>
      <c r="R99" s="43">
        <f t="shared" si="40"/>
        <v>383.3634070051113</v>
      </c>
      <c r="S99" s="43">
        <f t="shared" si="41"/>
        <v>137.75727383755043</v>
      </c>
      <c r="T99" s="43">
        <f t="shared" si="42"/>
        <v>137.75727383755043</v>
      </c>
    </row>
    <row r="100" spans="1:20" x14ac:dyDescent="0.45">
      <c r="A100" s="43">
        <v>48.5</v>
      </c>
      <c r="B100" s="44">
        <v>2123.1</v>
      </c>
      <c r="C100" s="44">
        <v>13662.7</v>
      </c>
      <c r="D100" s="8">
        <f t="shared" si="45"/>
        <v>-5769.8</v>
      </c>
      <c r="E100" s="61">
        <f t="shared" si="30"/>
        <v>-268.34520251418093</v>
      </c>
      <c r="F100" s="5">
        <v>-5171.2</v>
      </c>
      <c r="G100" s="44">
        <v>-15503.9</v>
      </c>
      <c r="H100" s="8">
        <f t="shared" si="46"/>
        <v>5166.3500000000004</v>
      </c>
      <c r="I100" s="61">
        <f t="shared" si="31"/>
        <v>243.50216646206559</v>
      </c>
      <c r="J100" s="43">
        <f t="shared" si="32"/>
        <v>362.35680314311236</v>
      </c>
      <c r="K100" s="43">
        <f t="shared" si="33"/>
        <v>-42.221271308919071</v>
      </c>
      <c r="L100" s="43">
        <f t="shared" si="34"/>
        <v>137.77872869108091</v>
      </c>
      <c r="M100" s="43">
        <f t="shared" si="35"/>
        <v>-268.34520251418087</v>
      </c>
      <c r="N100" s="43">
        <f t="shared" si="36"/>
        <v>243.50216646206573</v>
      </c>
      <c r="O100" s="43">
        <f t="shared" si="37"/>
        <v>362.35680314311236</v>
      </c>
      <c r="P100" s="43">
        <f t="shared" si="38"/>
        <v>-268.34520251418087</v>
      </c>
      <c r="Q100" s="43">
        <f t="shared" si="39"/>
        <v>243.50216646206573</v>
      </c>
      <c r="R100" s="43">
        <f t="shared" si="40"/>
        <v>362.35680314311236</v>
      </c>
      <c r="S100" s="43">
        <f t="shared" si="41"/>
        <v>137.77872869108089</v>
      </c>
      <c r="T100" s="43">
        <f t="shared" si="42"/>
        <v>137.77872869108089</v>
      </c>
    </row>
    <row r="101" spans="1:20" x14ac:dyDescent="0.45">
      <c r="A101" s="43">
        <v>49</v>
      </c>
      <c r="B101" s="44">
        <v>1901.5</v>
      </c>
      <c r="C101" s="44">
        <v>11801.1</v>
      </c>
      <c r="D101" s="8">
        <f t="shared" si="45"/>
        <v>-4949.8</v>
      </c>
      <c r="E101" s="61">
        <f t="shared" si="30"/>
        <v>-254.36063655984498</v>
      </c>
      <c r="F101" s="5">
        <v>-4561.8999999999996</v>
      </c>
      <c r="G101" s="44">
        <v>-13723.5</v>
      </c>
      <c r="H101" s="8">
        <f t="shared" si="46"/>
        <v>4580.8</v>
      </c>
      <c r="I101" s="61">
        <f t="shared" si="31"/>
        <v>230.97989008180352</v>
      </c>
      <c r="J101" s="43">
        <f t="shared" si="32"/>
        <v>343.58556875010277</v>
      </c>
      <c r="K101" s="43">
        <f t="shared" si="33"/>
        <v>-42.2419710137236</v>
      </c>
      <c r="L101" s="43">
        <f t="shared" si="34"/>
        <v>137.7580289862764</v>
      </c>
      <c r="M101" s="43">
        <f t="shared" si="35"/>
        <v>-254.36063655984503</v>
      </c>
      <c r="N101" s="43">
        <f t="shared" si="36"/>
        <v>230.97989008180349</v>
      </c>
      <c r="O101" s="43">
        <f t="shared" si="37"/>
        <v>343.58556875010277</v>
      </c>
      <c r="P101" s="43">
        <f t="shared" si="38"/>
        <v>-254.36063655984503</v>
      </c>
      <c r="Q101" s="43">
        <f t="shared" si="39"/>
        <v>230.97989008180349</v>
      </c>
      <c r="R101" s="43">
        <f t="shared" si="40"/>
        <v>343.58556875010277</v>
      </c>
      <c r="S101" s="43">
        <f t="shared" si="41"/>
        <v>137.7580289862764</v>
      </c>
      <c r="T101" s="43">
        <f t="shared" si="42"/>
        <v>137.7580289862764</v>
      </c>
    </row>
    <row r="102" spans="1:20" x14ac:dyDescent="0.45">
      <c r="A102" s="43">
        <v>49.5</v>
      </c>
      <c r="B102" s="44">
        <v>1834.6</v>
      </c>
      <c r="C102" s="44">
        <v>10798.1</v>
      </c>
      <c r="D102" s="8">
        <f t="shared" si="45"/>
        <v>-4481.75</v>
      </c>
      <c r="E102" s="61">
        <f t="shared" si="30"/>
        <v>-242.36313434524263</v>
      </c>
      <c r="F102" s="5">
        <v>-4924.8999999999996</v>
      </c>
      <c r="G102" s="44">
        <v>-12797.3</v>
      </c>
      <c r="H102" s="8">
        <f t="shared" si="46"/>
        <v>3936.2</v>
      </c>
      <c r="I102" s="61">
        <f t="shared" si="31"/>
        <v>219.87663028974811</v>
      </c>
      <c r="J102" s="43">
        <f t="shared" si="32"/>
        <v>327.23939469022474</v>
      </c>
      <c r="K102" s="43">
        <f t="shared" si="33"/>
        <v>-42.214936938441525</v>
      </c>
      <c r="L102" s="43">
        <f t="shared" si="34"/>
        <v>137.78506306155847</v>
      </c>
      <c r="M102" s="43">
        <f t="shared" si="35"/>
        <v>-242.36313434524257</v>
      </c>
      <c r="N102" s="43">
        <f t="shared" si="36"/>
        <v>219.87663028974816</v>
      </c>
      <c r="O102" s="43">
        <f t="shared" si="37"/>
        <v>327.23939469022474</v>
      </c>
      <c r="P102" s="43">
        <f t="shared" si="38"/>
        <v>-242.36313434524257</v>
      </c>
      <c r="Q102" s="43">
        <f t="shared" si="39"/>
        <v>219.87663028974816</v>
      </c>
      <c r="R102" s="43">
        <f t="shared" si="40"/>
        <v>327.23939469022474</v>
      </c>
      <c r="S102" s="43">
        <f t="shared" si="41"/>
        <v>137.78506306155847</v>
      </c>
      <c r="T102" s="43">
        <f t="shared" si="42"/>
        <v>137.78506306155847</v>
      </c>
    </row>
    <row r="103" spans="1:20" x14ac:dyDescent="0.45">
      <c r="A103" s="43">
        <v>50</v>
      </c>
      <c r="B103" s="44">
        <v>1748.2</v>
      </c>
      <c r="C103" s="44">
        <v>10177.4</v>
      </c>
      <c r="D103" s="8">
        <f t="shared" si="45"/>
        <v>-4214.5999999999995</v>
      </c>
      <c r="E103" s="61">
        <f t="shared" si="30"/>
        <v>-231.49992059125663</v>
      </c>
      <c r="F103" s="5">
        <v>-4558.3999999999996</v>
      </c>
      <c r="G103" s="44">
        <v>-12074.1</v>
      </c>
      <c r="H103" s="8">
        <f t="shared" si="46"/>
        <v>3757.8500000000004</v>
      </c>
      <c r="I103" s="61">
        <f t="shared" si="31"/>
        <v>210.33559134963642</v>
      </c>
      <c r="J103" s="43">
        <f t="shared" si="32"/>
        <v>312.78311051295492</v>
      </c>
      <c r="K103" s="43">
        <f t="shared" si="33"/>
        <v>-42.257575439249365</v>
      </c>
      <c r="L103" s="43">
        <f t="shared" si="34"/>
        <v>137.74242456075064</v>
      </c>
      <c r="M103" s="43">
        <f t="shared" si="35"/>
        <v>-231.49992059125668</v>
      </c>
      <c r="N103" s="43">
        <f t="shared" si="36"/>
        <v>210.33559134963633</v>
      </c>
      <c r="O103" s="43">
        <f t="shared" si="37"/>
        <v>312.78311051295486</v>
      </c>
      <c r="P103" s="43">
        <f t="shared" si="38"/>
        <v>-231.49992059125668</v>
      </c>
      <c r="Q103" s="43">
        <f t="shared" si="39"/>
        <v>210.33559134963633</v>
      </c>
      <c r="R103" s="43">
        <f t="shared" si="40"/>
        <v>312.78311051295486</v>
      </c>
      <c r="S103" s="43">
        <f t="shared" si="41"/>
        <v>137.74242456075064</v>
      </c>
      <c r="T103" s="43">
        <f t="shared" si="42"/>
        <v>137.74242456075064</v>
      </c>
    </row>
    <row r="104" spans="1:20" x14ac:dyDescent="0.45">
      <c r="A104" s="43">
        <v>50.5</v>
      </c>
      <c r="B104" s="44">
        <v>1392.9</v>
      </c>
      <c r="C104" s="44">
        <v>9832.1</v>
      </c>
      <c r="D104" s="8">
        <f t="shared" si="45"/>
        <v>-4219.6000000000004</v>
      </c>
      <c r="E104" s="61">
        <f t="shared" si="30"/>
        <v>-221.28415278082602</v>
      </c>
      <c r="F104" s="5">
        <v>-4007.5</v>
      </c>
      <c r="G104" s="44">
        <v>-11742.9</v>
      </c>
      <c r="H104" s="8">
        <f t="shared" si="46"/>
        <v>3867.7</v>
      </c>
      <c r="I104" s="61">
        <f t="shared" si="31"/>
        <v>201.2268098035801</v>
      </c>
      <c r="J104" s="43">
        <f t="shared" si="32"/>
        <v>299.09681585676259</v>
      </c>
      <c r="K104" s="43">
        <f t="shared" si="33"/>
        <v>-42.28210839488289</v>
      </c>
      <c r="L104" s="43">
        <f t="shared" si="34"/>
        <v>137.7178916051171</v>
      </c>
      <c r="M104" s="43">
        <f t="shared" si="35"/>
        <v>-221.28415278082596</v>
      </c>
      <c r="N104" s="43">
        <f t="shared" si="36"/>
        <v>201.22680980358012</v>
      </c>
      <c r="O104" s="43">
        <f t="shared" si="37"/>
        <v>299.09681585676253</v>
      </c>
      <c r="P104" s="43">
        <f t="shared" si="38"/>
        <v>-221.28415278082596</v>
      </c>
      <c r="Q104" s="43">
        <f t="shared" si="39"/>
        <v>201.22680980358012</v>
      </c>
      <c r="R104" s="43">
        <f t="shared" si="40"/>
        <v>299.09681585676253</v>
      </c>
      <c r="S104" s="43">
        <f t="shared" si="41"/>
        <v>137.7178916051171</v>
      </c>
      <c r="T104" s="43">
        <f t="shared" si="42"/>
        <v>137.7178916051171</v>
      </c>
    </row>
    <row r="105" spans="1:20" x14ac:dyDescent="0.45">
      <c r="A105" s="43">
        <v>51</v>
      </c>
      <c r="B105" s="44">
        <v>725.8</v>
      </c>
      <c r="C105" s="44">
        <v>9832.7000000000007</v>
      </c>
      <c r="D105" s="8">
        <f t="shared" si="45"/>
        <v>-4553.4500000000007</v>
      </c>
      <c r="E105" s="61">
        <f t="shared" si="30"/>
        <v>-211.05626716143851</v>
      </c>
      <c r="F105" s="5">
        <v>-3740.3</v>
      </c>
      <c r="G105" s="44">
        <v>-11780.1</v>
      </c>
      <c r="H105" s="8">
        <f t="shared" si="46"/>
        <v>4019.9</v>
      </c>
      <c r="I105" s="61">
        <f t="shared" si="31"/>
        <v>191.8517898382818</v>
      </c>
      <c r="J105" s="43">
        <f t="shared" si="32"/>
        <v>285.22246961323498</v>
      </c>
      <c r="K105" s="43">
        <f t="shared" si="33"/>
        <v>-42.271081275643432</v>
      </c>
      <c r="L105" s="43">
        <f t="shared" si="34"/>
        <v>137.72891872435656</v>
      </c>
      <c r="M105" s="43">
        <f t="shared" si="35"/>
        <v>-211.05626716143848</v>
      </c>
      <c r="N105" s="43">
        <f t="shared" si="36"/>
        <v>191.8517898382818</v>
      </c>
      <c r="O105" s="43">
        <f t="shared" si="37"/>
        <v>285.22246961323498</v>
      </c>
      <c r="P105" s="43">
        <f t="shared" si="38"/>
        <v>-211.05626716143848</v>
      </c>
      <c r="Q105" s="43">
        <f t="shared" si="39"/>
        <v>191.8517898382818</v>
      </c>
      <c r="R105" s="43">
        <f t="shared" si="40"/>
        <v>285.22246961323498</v>
      </c>
      <c r="S105" s="43">
        <f t="shared" si="41"/>
        <v>137.72891872435656</v>
      </c>
      <c r="T105" s="43">
        <f t="shared" si="42"/>
        <v>137.72891872435656</v>
      </c>
    </row>
    <row r="106" spans="1:20" x14ac:dyDescent="0.45">
      <c r="A106" s="43">
        <v>51.5</v>
      </c>
      <c r="B106" s="44">
        <v>865.8</v>
      </c>
      <c r="C106" s="44">
        <v>10315.6</v>
      </c>
      <c r="D106" s="8">
        <f t="shared" si="45"/>
        <v>-4724.9000000000005</v>
      </c>
      <c r="E106" s="61">
        <f t="shared" si="30"/>
        <v>-200.01928938885575</v>
      </c>
      <c r="F106" s="5">
        <v>-3600.6</v>
      </c>
      <c r="G106" s="44">
        <v>-12256.1</v>
      </c>
      <c r="H106" s="8">
        <f t="shared" si="46"/>
        <v>4327.75</v>
      </c>
      <c r="I106" s="61">
        <f t="shared" si="31"/>
        <v>182.10789410664788</v>
      </c>
      <c r="J106" s="43">
        <f t="shared" si="32"/>
        <v>270.50138857976475</v>
      </c>
      <c r="K106" s="43">
        <f t="shared" si="33"/>
        <v>-42.316346988994219</v>
      </c>
      <c r="L106" s="43">
        <f t="shared" si="34"/>
        <v>137.68365301100579</v>
      </c>
      <c r="M106" s="43">
        <f t="shared" si="35"/>
        <v>-200.01928938885573</v>
      </c>
      <c r="N106" s="43">
        <f t="shared" si="36"/>
        <v>182.10789410664788</v>
      </c>
      <c r="O106" s="43">
        <f t="shared" si="37"/>
        <v>270.50138857976475</v>
      </c>
      <c r="P106" s="43">
        <f t="shared" si="38"/>
        <v>-200.01928938885573</v>
      </c>
      <c r="Q106" s="43">
        <f t="shared" si="39"/>
        <v>182.10789410664788</v>
      </c>
      <c r="R106" s="43">
        <f t="shared" si="40"/>
        <v>270.50138857976475</v>
      </c>
      <c r="S106" s="43">
        <f t="shared" si="41"/>
        <v>137.68365301100579</v>
      </c>
      <c r="T106" s="43">
        <f t="shared" si="42"/>
        <v>137.68365301100579</v>
      </c>
    </row>
    <row r="107" spans="1:20" x14ac:dyDescent="0.45">
      <c r="A107" s="43">
        <v>52</v>
      </c>
      <c r="B107" s="44">
        <v>906.2</v>
      </c>
      <c r="C107" s="44">
        <v>8425.4</v>
      </c>
      <c r="D107" s="8">
        <f t="shared" si="45"/>
        <v>-3759.6</v>
      </c>
      <c r="E107" s="61">
        <f t="shared" si="30"/>
        <v>-188.56681021525023</v>
      </c>
      <c r="F107" s="5">
        <v>-3986.9</v>
      </c>
      <c r="G107" s="44">
        <v>-10386.200000000001</v>
      </c>
      <c r="H107" s="8">
        <f t="shared" si="46"/>
        <v>3199.6500000000005</v>
      </c>
      <c r="I107" s="61">
        <f t="shared" si="31"/>
        <v>171.61790176241863</v>
      </c>
      <c r="J107" s="43">
        <f t="shared" si="32"/>
        <v>254.97087308178826</v>
      </c>
      <c r="K107" s="43">
        <f t="shared" si="33"/>
        <v>-42.305868138055835</v>
      </c>
      <c r="L107" s="43">
        <f t="shared" si="34"/>
        <v>137.69413186194416</v>
      </c>
      <c r="M107" s="43">
        <f t="shared" si="35"/>
        <v>-188.56681021525026</v>
      </c>
      <c r="N107" s="43">
        <f t="shared" si="36"/>
        <v>171.61790176241863</v>
      </c>
      <c r="O107" s="43">
        <f t="shared" si="37"/>
        <v>254.97087308178826</v>
      </c>
      <c r="P107" s="43">
        <f t="shared" si="38"/>
        <v>-188.56681021525026</v>
      </c>
      <c r="Q107" s="43">
        <f t="shared" si="39"/>
        <v>171.61790176241863</v>
      </c>
      <c r="R107" s="43">
        <f t="shared" si="40"/>
        <v>254.97087308178826</v>
      </c>
      <c r="S107" s="43">
        <f t="shared" si="41"/>
        <v>137.69413186194416</v>
      </c>
      <c r="T107" s="43">
        <f t="shared" si="42"/>
        <v>137.69413186194416</v>
      </c>
    </row>
    <row r="108" spans="1:20" x14ac:dyDescent="0.45">
      <c r="A108" s="43">
        <v>52.5</v>
      </c>
      <c r="B108" s="44">
        <v>727.8</v>
      </c>
      <c r="C108" s="44">
        <v>8836</v>
      </c>
      <c r="D108" s="8">
        <f t="shared" si="45"/>
        <v>-4054.1</v>
      </c>
      <c r="E108" s="61">
        <f t="shared" si="30"/>
        <v>-179.45378725380701</v>
      </c>
      <c r="F108" s="5">
        <v>-3449</v>
      </c>
      <c r="G108" s="44">
        <v>-10781.7</v>
      </c>
      <c r="H108" s="8">
        <f t="shared" si="46"/>
        <v>3666.3500000000004</v>
      </c>
      <c r="I108" s="61">
        <f t="shared" si="31"/>
        <v>163.86204234960053</v>
      </c>
      <c r="J108" s="43">
        <f t="shared" si="32"/>
        <v>243.011173987364</v>
      </c>
      <c r="K108" s="43">
        <f t="shared" si="33"/>
        <v>-42.39968950716726</v>
      </c>
      <c r="L108" s="43">
        <f t="shared" si="34"/>
        <v>137.60031049283273</v>
      </c>
      <c r="M108" s="43">
        <f t="shared" si="35"/>
        <v>-179.45378725380701</v>
      </c>
      <c r="N108" s="43">
        <f t="shared" si="36"/>
        <v>163.86204234960056</v>
      </c>
      <c r="O108" s="43">
        <f t="shared" si="37"/>
        <v>243.01117398736403</v>
      </c>
      <c r="P108" s="43">
        <f t="shared" si="38"/>
        <v>-179.45378725380701</v>
      </c>
      <c r="Q108" s="43">
        <f t="shared" si="39"/>
        <v>163.86204234960056</v>
      </c>
      <c r="R108" s="43">
        <f t="shared" si="40"/>
        <v>243.01117398736403</v>
      </c>
      <c r="S108" s="43">
        <f t="shared" si="41"/>
        <v>137.60031049283273</v>
      </c>
      <c r="T108" s="43">
        <f t="shared" si="42"/>
        <v>137.60031049283273</v>
      </c>
    </row>
    <row r="109" spans="1:20" x14ac:dyDescent="0.45">
      <c r="A109" s="43">
        <v>53</v>
      </c>
      <c r="B109" s="44">
        <v>541.9</v>
      </c>
      <c r="C109" s="44">
        <v>8951.6</v>
      </c>
      <c r="D109" s="8">
        <f t="shared" si="45"/>
        <v>-4204.8500000000004</v>
      </c>
      <c r="E109" s="61">
        <f t="shared" si="30"/>
        <v>-169.62700426074539</v>
      </c>
      <c r="F109" s="5">
        <v>-3312.5</v>
      </c>
      <c r="G109" s="44">
        <v>-10877.7</v>
      </c>
      <c r="H109" s="8">
        <f t="shared" si="46"/>
        <v>3782.6000000000004</v>
      </c>
      <c r="I109" s="61">
        <f t="shared" si="31"/>
        <v>154.97502714273674</v>
      </c>
      <c r="J109" s="43">
        <f t="shared" si="32"/>
        <v>229.76200645965582</v>
      </c>
      <c r="K109" s="43">
        <f t="shared" si="33"/>
        <v>-42.415521416373991</v>
      </c>
      <c r="L109" s="43">
        <f t="shared" si="34"/>
        <v>137.58447858362601</v>
      </c>
      <c r="M109" s="43">
        <f t="shared" si="35"/>
        <v>-169.62700426074542</v>
      </c>
      <c r="N109" s="43">
        <f t="shared" si="36"/>
        <v>154.97502714273671</v>
      </c>
      <c r="O109" s="43">
        <f t="shared" si="37"/>
        <v>229.76200645965582</v>
      </c>
      <c r="P109" s="43">
        <f t="shared" si="38"/>
        <v>-169.62700426074542</v>
      </c>
      <c r="Q109" s="43">
        <f t="shared" si="39"/>
        <v>154.97502714273671</v>
      </c>
      <c r="R109" s="43">
        <f t="shared" si="40"/>
        <v>229.76200645965582</v>
      </c>
      <c r="S109" s="43">
        <f t="shared" si="41"/>
        <v>137.58447858362601</v>
      </c>
      <c r="T109" s="43">
        <f t="shared" si="42"/>
        <v>137.58447858362601</v>
      </c>
    </row>
    <row r="110" spans="1:20" x14ac:dyDescent="0.45">
      <c r="A110" s="43">
        <v>53.5</v>
      </c>
      <c r="B110" s="44">
        <v>512.29999999999995</v>
      </c>
      <c r="C110" s="44">
        <v>8606.7000000000007</v>
      </c>
      <c r="D110" s="8">
        <f t="shared" si="45"/>
        <v>-4047.2000000000003</v>
      </c>
      <c r="E110" s="61">
        <f t="shared" si="30"/>
        <v>-159.43486619504009</v>
      </c>
      <c r="F110" s="5">
        <v>-3283.1</v>
      </c>
      <c r="G110" s="44">
        <v>-10529.7</v>
      </c>
      <c r="H110" s="8">
        <f t="shared" si="46"/>
        <v>3623.3</v>
      </c>
      <c r="I110" s="61">
        <f t="shared" si="31"/>
        <v>145.80625992586047</v>
      </c>
      <c r="J110" s="43">
        <f t="shared" si="32"/>
        <v>216.05309993656172</v>
      </c>
      <c r="K110" s="43">
        <f t="shared" si="33"/>
        <v>-42.443518288866429</v>
      </c>
      <c r="L110" s="43">
        <f t="shared" si="34"/>
        <v>137.55648171113359</v>
      </c>
      <c r="M110" s="43">
        <f t="shared" si="35"/>
        <v>-159.43486619504012</v>
      </c>
      <c r="N110" s="43">
        <f t="shared" si="36"/>
        <v>145.80625992586047</v>
      </c>
      <c r="O110" s="43">
        <f t="shared" si="37"/>
        <v>216.05309993656172</v>
      </c>
      <c r="P110" s="43">
        <f t="shared" si="38"/>
        <v>-159.43486619504012</v>
      </c>
      <c r="Q110" s="43">
        <f t="shared" si="39"/>
        <v>145.80625992586047</v>
      </c>
      <c r="R110" s="43">
        <f t="shared" si="40"/>
        <v>216.05309993656172</v>
      </c>
      <c r="S110" s="43">
        <f t="shared" si="41"/>
        <v>137.55648171113359</v>
      </c>
      <c r="T110" s="43">
        <f t="shared" si="42"/>
        <v>137.55648171113359</v>
      </c>
    </row>
    <row r="111" spans="1:20" x14ac:dyDescent="0.45">
      <c r="A111" s="43">
        <v>54</v>
      </c>
      <c r="B111" s="44">
        <v>520.4</v>
      </c>
      <c r="C111" s="44">
        <v>8498.7999999999993</v>
      </c>
      <c r="D111" s="8">
        <f t="shared" si="45"/>
        <v>-3989.2</v>
      </c>
      <c r="E111" s="61">
        <f t="shared" si="30"/>
        <v>-149.62480604883143</v>
      </c>
      <c r="F111" s="5">
        <v>-3366.1</v>
      </c>
      <c r="G111" s="44">
        <v>-10409.1</v>
      </c>
      <c r="H111" s="8">
        <f t="shared" si="46"/>
        <v>3521.5</v>
      </c>
      <c r="I111" s="61">
        <f t="shared" si="31"/>
        <v>137.02358457146261</v>
      </c>
      <c r="J111" s="43">
        <f t="shared" si="32"/>
        <v>202.88677954456074</v>
      </c>
      <c r="K111" s="43">
        <f t="shared" si="33"/>
        <v>-42.482866550151108</v>
      </c>
      <c r="L111" s="43">
        <f t="shared" si="34"/>
        <v>137.5171334498489</v>
      </c>
      <c r="M111" s="43">
        <f t="shared" si="35"/>
        <v>-149.62480604883146</v>
      </c>
      <c r="N111" s="43">
        <f t="shared" si="36"/>
        <v>137.02358457146258</v>
      </c>
      <c r="O111" s="43">
        <f t="shared" si="37"/>
        <v>202.88677954456074</v>
      </c>
      <c r="P111" s="43">
        <f t="shared" si="38"/>
        <v>-149.62480604883146</v>
      </c>
      <c r="Q111" s="43">
        <f t="shared" si="39"/>
        <v>137.02358457146258</v>
      </c>
      <c r="R111" s="43">
        <f t="shared" si="40"/>
        <v>202.88677954456074</v>
      </c>
      <c r="S111" s="43">
        <f t="shared" si="41"/>
        <v>137.5171334498489</v>
      </c>
      <c r="T111" s="43">
        <f t="shared" si="42"/>
        <v>137.5171334498489</v>
      </c>
    </row>
    <row r="112" spans="1:20" x14ac:dyDescent="0.45">
      <c r="A112" s="43">
        <v>54.5</v>
      </c>
      <c r="B112" s="44">
        <v>765.7</v>
      </c>
      <c r="C112" s="44">
        <v>8404.2000000000007</v>
      </c>
      <c r="D112" s="8">
        <f t="shared" si="45"/>
        <v>-3819.2500000000005</v>
      </c>
      <c r="E112" s="61">
        <f t="shared" si="30"/>
        <v>-139.95531519237565</v>
      </c>
      <c r="F112" s="5">
        <v>-3479</v>
      </c>
      <c r="G112" s="44">
        <v>-10478.799999999999</v>
      </c>
      <c r="H112" s="8">
        <f t="shared" si="46"/>
        <v>3499.8999999999996</v>
      </c>
      <c r="I112" s="61">
        <f t="shared" si="31"/>
        <v>128.48764236802313</v>
      </c>
      <c r="J112" s="43">
        <f t="shared" si="32"/>
        <v>189.99095897407915</v>
      </c>
      <c r="K112" s="43">
        <f t="shared" si="33"/>
        <v>-42.553856481230902</v>
      </c>
      <c r="L112" s="43">
        <f t="shared" si="34"/>
        <v>137.44614351876911</v>
      </c>
      <c r="M112" s="43">
        <f t="shared" si="35"/>
        <v>-139.95531519237568</v>
      </c>
      <c r="N112" s="43">
        <f t="shared" si="36"/>
        <v>128.48764236802307</v>
      </c>
      <c r="O112" s="43">
        <f t="shared" si="37"/>
        <v>189.99095897407915</v>
      </c>
      <c r="P112" s="43">
        <f t="shared" si="38"/>
        <v>-139.95531519237568</v>
      </c>
      <c r="Q112" s="43">
        <f t="shared" si="39"/>
        <v>128.48764236802307</v>
      </c>
      <c r="R112" s="43">
        <f t="shared" si="40"/>
        <v>189.99095897407915</v>
      </c>
      <c r="S112" s="43">
        <f t="shared" si="41"/>
        <v>137.44614351876913</v>
      </c>
      <c r="T112" s="43">
        <f t="shared" si="42"/>
        <v>137.44614351876913</v>
      </c>
    </row>
    <row r="113" spans="1:20" x14ac:dyDescent="0.45">
      <c r="A113" s="43">
        <v>55</v>
      </c>
      <c r="B113" s="44">
        <v>1495.4</v>
      </c>
      <c r="C113" s="44">
        <v>10884.4</v>
      </c>
      <c r="D113" s="8">
        <f t="shared" si="45"/>
        <v>-4694.5</v>
      </c>
      <c r="E113" s="61">
        <f t="shared" si="30"/>
        <v>-130.69772095214915</v>
      </c>
      <c r="F113" s="5">
        <v>-4373.5</v>
      </c>
      <c r="G113" s="44">
        <v>-12797.4</v>
      </c>
      <c r="H113" s="8">
        <f t="shared" si="46"/>
        <v>4211.95</v>
      </c>
      <c r="I113" s="61">
        <f t="shared" si="31"/>
        <v>120.00405245817214</v>
      </c>
      <c r="J113" s="43">
        <f t="shared" si="32"/>
        <v>177.43411979793959</v>
      </c>
      <c r="K113" s="43">
        <f t="shared" si="33"/>
        <v>-42.557532694295077</v>
      </c>
      <c r="L113" s="43">
        <f t="shared" si="34"/>
        <v>137.44246730570492</v>
      </c>
      <c r="M113" s="43">
        <f t="shared" si="35"/>
        <v>-130.69772095214913</v>
      </c>
      <c r="N113" s="43">
        <f t="shared" si="36"/>
        <v>120.00405245817215</v>
      </c>
      <c r="O113" s="43">
        <f t="shared" si="37"/>
        <v>177.43411979793959</v>
      </c>
      <c r="P113" s="43">
        <f t="shared" si="38"/>
        <v>-130.69772095214913</v>
      </c>
      <c r="Q113" s="43">
        <f t="shared" si="39"/>
        <v>120.00405245817215</v>
      </c>
      <c r="R113" s="43">
        <f t="shared" si="40"/>
        <v>177.43411979793959</v>
      </c>
      <c r="S113" s="43">
        <f t="shared" si="41"/>
        <v>137.44246730570492</v>
      </c>
      <c r="T113" s="43">
        <f t="shared" si="42"/>
        <v>137.44246730570492</v>
      </c>
    </row>
    <row r="114" spans="1:20" x14ac:dyDescent="0.45">
      <c r="A114" s="43">
        <v>55.5</v>
      </c>
      <c r="B114" s="44">
        <v>887.5</v>
      </c>
      <c r="C114" s="44">
        <v>11037.8</v>
      </c>
      <c r="D114" s="8">
        <f t="shared" si="45"/>
        <v>-5075.1499999999996</v>
      </c>
      <c r="E114" s="61">
        <f t="shared" si="30"/>
        <v>-119.31891424895892</v>
      </c>
      <c r="F114" s="5">
        <v>-3617.3</v>
      </c>
      <c r="G114" s="44">
        <v>-12979.4</v>
      </c>
      <c r="H114" s="8">
        <f t="shared" si="46"/>
        <v>4681.0499999999993</v>
      </c>
      <c r="I114" s="61">
        <f t="shared" si="31"/>
        <v>109.79470708892302</v>
      </c>
      <c r="J114" s="43">
        <f t="shared" si="32"/>
        <v>162.14771352779789</v>
      </c>
      <c r="K114" s="43">
        <f t="shared" si="33"/>
        <v>-42.619596488259141</v>
      </c>
      <c r="L114" s="43">
        <f t="shared" si="34"/>
        <v>137.38040351174087</v>
      </c>
      <c r="M114" s="43">
        <f t="shared" si="35"/>
        <v>-119.3189142489589</v>
      </c>
      <c r="N114" s="43">
        <f t="shared" si="36"/>
        <v>109.79470708892302</v>
      </c>
      <c r="O114" s="43">
        <f t="shared" si="37"/>
        <v>162.14771352779789</v>
      </c>
      <c r="P114" s="43">
        <f t="shared" si="38"/>
        <v>-119.3189142489589</v>
      </c>
      <c r="Q114" s="43">
        <f t="shared" si="39"/>
        <v>109.79470708892302</v>
      </c>
      <c r="R114" s="43">
        <f t="shared" si="40"/>
        <v>162.14771352779789</v>
      </c>
      <c r="S114" s="43">
        <f t="shared" si="41"/>
        <v>137.38040351174087</v>
      </c>
      <c r="T114" s="43">
        <f t="shared" si="42"/>
        <v>137.38040351174087</v>
      </c>
    </row>
    <row r="115" spans="1:20" x14ac:dyDescent="0.45">
      <c r="A115" s="43">
        <v>56</v>
      </c>
      <c r="B115" s="44">
        <v>63.2</v>
      </c>
      <c r="C115" s="44">
        <v>11088.1</v>
      </c>
      <c r="D115" s="8">
        <f t="shared" si="45"/>
        <v>-5512.45</v>
      </c>
      <c r="E115" s="61">
        <f t="shared" si="30"/>
        <v>-107.01764478083182</v>
      </c>
      <c r="F115" s="5">
        <v>-3071.8</v>
      </c>
      <c r="G115" s="44">
        <v>-12996.4</v>
      </c>
      <c r="H115" s="8">
        <f t="shared" si="46"/>
        <v>4962.2999999999993</v>
      </c>
      <c r="I115" s="61">
        <f t="shared" si="31"/>
        <v>98.448495685982749</v>
      </c>
      <c r="J115" s="43">
        <f t="shared" si="32"/>
        <v>145.41280066510399</v>
      </c>
      <c r="K115" s="43">
        <f t="shared" si="33"/>
        <v>-42.611812302330222</v>
      </c>
      <c r="L115" s="43">
        <f t="shared" si="34"/>
        <v>137.38818769766976</v>
      </c>
      <c r="M115" s="43">
        <f t="shared" si="35"/>
        <v>-107.01764478083179</v>
      </c>
      <c r="N115" s="43">
        <f t="shared" si="36"/>
        <v>98.448495685982792</v>
      </c>
      <c r="O115" s="43">
        <f t="shared" si="37"/>
        <v>145.41280066510399</v>
      </c>
      <c r="P115" s="43">
        <f t="shared" si="38"/>
        <v>-107.01764478083179</v>
      </c>
      <c r="Q115" s="43">
        <f t="shared" si="39"/>
        <v>98.448495685982792</v>
      </c>
      <c r="R115" s="43">
        <f t="shared" si="40"/>
        <v>145.41280066510399</v>
      </c>
      <c r="S115" s="43">
        <f t="shared" si="41"/>
        <v>137.38818769766976</v>
      </c>
      <c r="T115" s="43">
        <f t="shared" si="42"/>
        <v>137.38818769766976</v>
      </c>
    </row>
    <row r="116" spans="1:20" x14ac:dyDescent="0.45">
      <c r="A116" s="43">
        <v>56.5</v>
      </c>
      <c r="B116" s="44">
        <v>-153.19999999999999</v>
      </c>
      <c r="C116" s="44">
        <v>11092.1</v>
      </c>
      <c r="D116" s="8">
        <f t="shared" si="45"/>
        <v>-5622.6500000000005</v>
      </c>
      <c r="E116" s="61">
        <f t="shared" si="30"/>
        <v>-93.656679501808497</v>
      </c>
      <c r="F116" s="5">
        <v>-2530.5</v>
      </c>
      <c r="G116" s="44">
        <v>-13079.5</v>
      </c>
      <c r="H116" s="8">
        <f t="shared" si="46"/>
        <v>5274.5</v>
      </c>
      <c r="I116" s="61">
        <f t="shared" si="31"/>
        <v>86.420701362630126</v>
      </c>
      <c r="J116" s="43">
        <f t="shared" si="32"/>
        <v>127.43669502664206</v>
      </c>
      <c r="K116" s="43">
        <f t="shared" si="33"/>
        <v>-42.69894429096346</v>
      </c>
      <c r="L116" s="43">
        <f t="shared" si="34"/>
        <v>137.30105570903655</v>
      </c>
      <c r="M116" s="43">
        <f t="shared" si="35"/>
        <v>-93.656679501808526</v>
      </c>
      <c r="N116" s="43">
        <f t="shared" si="36"/>
        <v>86.420701362630098</v>
      </c>
      <c r="O116" s="43">
        <f t="shared" si="37"/>
        <v>127.43669502664206</v>
      </c>
      <c r="P116" s="43">
        <f t="shared" si="38"/>
        <v>-93.656679501808526</v>
      </c>
      <c r="Q116" s="43">
        <f t="shared" si="39"/>
        <v>86.420701362630098</v>
      </c>
      <c r="R116" s="43">
        <f t="shared" si="40"/>
        <v>127.43669502664206</v>
      </c>
      <c r="S116" s="43">
        <f t="shared" si="41"/>
        <v>137.30105570903655</v>
      </c>
      <c r="T116" s="43">
        <f t="shared" si="42"/>
        <v>137.30105570903655</v>
      </c>
    </row>
    <row r="117" spans="1:20" x14ac:dyDescent="0.45">
      <c r="A117" s="43">
        <v>57</v>
      </c>
      <c r="B117" s="44">
        <v>-568.79999999999995</v>
      </c>
      <c r="C117" s="44">
        <v>11106.6</v>
      </c>
      <c r="D117" s="8">
        <f t="shared" si="45"/>
        <v>-5837.7</v>
      </c>
      <c r="E117" s="61">
        <f t="shared" si="30"/>
        <v>-80.028679195566824</v>
      </c>
      <c r="F117" s="5">
        <v>-2286.6999999999998</v>
      </c>
      <c r="G117" s="44">
        <v>-13049.6</v>
      </c>
      <c r="H117" s="8">
        <f t="shared" si="46"/>
        <v>5381.4500000000007</v>
      </c>
      <c r="I117" s="61">
        <f t="shared" si="31"/>
        <v>73.636345948710201</v>
      </c>
      <c r="J117" s="43">
        <f t="shared" si="32"/>
        <v>108.75155602778784</v>
      </c>
      <c r="K117" s="43">
        <f t="shared" si="33"/>
        <v>-42.617918136788106</v>
      </c>
      <c r="L117" s="43">
        <f t="shared" si="34"/>
        <v>137.38208186321191</v>
      </c>
      <c r="M117" s="43">
        <f t="shared" si="35"/>
        <v>-80.028679195566852</v>
      </c>
      <c r="N117" s="43">
        <f t="shared" si="36"/>
        <v>73.636345948710172</v>
      </c>
      <c r="O117" s="43">
        <f t="shared" si="37"/>
        <v>108.75155602778784</v>
      </c>
      <c r="P117" s="43">
        <f t="shared" si="38"/>
        <v>-80.028679195566852</v>
      </c>
      <c r="Q117" s="43">
        <f t="shared" si="39"/>
        <v>73.636345948710172</v>
      </c>
      <c r="R117" s="43">
        <f t="shared" si="40"/>
        <v>108.75155602778784</v>
      </c>
      <c r="S117" s="43">
        <f t="shared" si="41"/>
        <v>137.38208186321191</v>
      </c>
      <c r="T117" s="43">
        <f t="shared" si="42"/>
        <v>137.38208186321191</v>
      </c>
    </row>
    <row r="118" spans="1:20" x14ac:dyDescent="0.45">
      <c r="A118" s="43">
        <v>57.5</v>
      </c>
      <c r="B118" s="44">
        <v>-362.3</v>
      </c>
      <c r="C118" s="44">
        <v>11469.2</v>
      </c>
      <c r="D118" s="8">
        <f t="shared" si="45"/>
        <v>-5915.75</v>
      </c>
      <c r="E118" s="61">
        <f t="shared" si="30"/>
        <v>-65.879584148542705</v>
      </c>
      <c r="F118" s="5">
        <v>-2474.9</v>
      </c>
      <c r="G118" s="44">
        <v>-13309.6</v>
      </c>
      <c r="H118" s="8">
        <f t="shared" si="46"/>
        <v>5417.35</v>
      </c>
      <c r="I118" s="61">
        <f t="shared" si="31"/>
        <v>60.592822907679462</v>
      </c>
      <c r="J118" s="43">
        <f t="shared" si="32"/>
        <v>89.507596300572857</v>
      </c>
      <c r="K118" s="43">
        <f t="shared" si="33"/>
        <v>-42.606332752254083</v>
      </c>
      <c r="L118" s="43">
        <f t="shared" si="34"/>
        <v>137.39366724774592</v>
      </c>
      <c r="M118" s="43">
        <f t="shared" si="35"/>
        <v>-65.879584148542705</v>
      </c>
      <c r="N118" s="43">
        <f t="shared" si="36"/>
        <v>60.592822907679462</v>
      </c>
      <c r="O118" s="43">
        <f t="shared" si="37"/>
        <v>89.507596300572857</v>
      </c>
      <c r="P118" s="43">
        <f t="shared" si="38"/>
        <v>-65.879584148542705</v>
      </c>
      <c r="Q118" s="43">
        <f t="shared" si="39"/>
        <v>60.592822907679462</v>
      </c>
      <c r="R118" s="43">
        <f t="shared" si="40"/>
        <v>89.507596300572857</v>
      </c>
      <c r="S118" s="43">
        <f t="shared" si="41"/>
        <v>137.39366724774592</v>
      </c>
      <c r="T118" s="43">
        <f t="shared" si="42"/>
        <v>137.39366724774592</v>
      </c>
    </row>
    <row r="119" spans="1:20" x14ac:dyDescent="0.45">
      <c r="A119" s="43">
        <v>58</v>
      </c>
      <c r="B119" s="44">
        <v>526.1</v>
      </c>
      <c r="C119" s="44">
        <v>11108.4</v>
      </c>
      <c r="D119" s="8">
        <f t="shared" si="45"/>
        <v>-5291.15</v>
      </c>
      <c r="E119" s="61">
        <f t="shared" ref="E119:E124" si="47">0.5*SIN(D119/3600*PI()/180)*1000+E120</f>
        <v>-51.541367349033536</v>
      </c>
      <c r="F119" s="5">
        <v>-3398.8</v>
      </c>
      <c r="G119" s="44">
        <v>-13150.1</v>
      </c>
      <c r="H119" s="8">
        <f t="shared" si="46"/>
        <v>4875.6499999999996</v>
      </c>
      <c r="I119" s="61">
        <f t="shared" ref="I119:I123" si="48">0.5*SIN(H119/3600*PI()/180)*1000+I120</f>
        <v>47.46230562534366</v>
      </c>
      <c r="J119" s="43">
        <f t="shared" ref="J119:J123" si="49">SQRT(E119^2+I119^2)</f>
        <v>70.065562179158661</v>
      </c>
      <c r="K119" s="43">
        <f t="shared" ref="K119:K123" si="50">IF(E119&gt;=0,180-DEGREES(ASIN(-I119/J119)),IF(E119&lt;0,DEGREES(ASIN(-I119/J119)),360-DEGREES(ASIN(I119/J119))))</f>
        <v>-42.640684395309158</v>
      </c>
      <c r="L119" s="43">
        <f t="shared" ref="L119:L123" si="51">IF((K119+$L$1)&lt;=360,K119+$L$1,K119+$L$1-360)</f>
        <v>137.35931560469083</v>
      </c>
      <c r="M119" s="43">
        <f t="shared" ref="M119:M123" si="52">J119*COS(RADIANS(L119))</f>
        <v>-51.541367349033528</v>
      </c>
      <c r="N119" s="43">
        <f t="shared" ref="N119:N123" si="53">J119*SIN(RADIANS(L119))</f>
        <v>47.462305625343667</v>
      </c>
      <c r="O119" s="43">
        <f t="shared" ref="O119:O123" si="54">SQRT(N119^2+M119^2)</f>
        <v>70.065562179158661</v>
      </c>
      <c r="P119" s="43">
        <f t="shared" ref="P119:P123" si="55">M119</f>
        <v>-51.541367349033528</v>
      </c>
      <c r="Q119" s="43">
        <f t="shared" ref="Q119:Q123" si="56">N119</f>
        <v>47.462305625343667</v>
      </c>
      <c r="R119" s="43">
        <f t="shared" ref="R119:R123" si="57">SQRT(P119^2+Q119^2)</f>
        <v>70.065562179158661</v>
      </c>
      <c r="S119" s="43">
        <f t="shared" ref="S119:S123" si="58">IF(R119=0,0,IF(P119&gt;=0,DEGREES(ASIN(Q119/R119)),(180-DEGREES(ASIN(Q119/R119)))))</f>
        <v>137.35931560469083</v>
      </c>
      <c r="T119" s="43">
        <f t="shared" ref="T119:T123" si="59">IF(S119&lt;0,360+S119,S119)</f>
        <v>137.35931560469083</v>
      </c>
    </row>
    <row r="120" spans="1:20" x14ac:dyDescent="0.45">
      <c r="A120" s="43">
        <v>58.5</v>
      </c>
      <c r="B120" s="44">
        <v>708.5</v>
      </c>
      <c r="C120" s="44">
        <v>11143</v>
      </c>
      <c r="D120" s="8">
        <f t="shared" si="45"/>
        <v>-5217.25</v>
      </c>
      <c r="E120" s="61">
        <f t="shared" si="47"/>
        <v>-38.716664433110829</v>
      </c>
      <c r="F120" s="5">
        <v>-3420.3</v>
      </c>
      <c r="G120" s="44">
        <v>-13032.1</v>
      </c>
      <c r="H120" s="8">
        <f t="shared" si="46"/>
        <v>4805.8999999999996</v>
      </c>
      <c r="I120" s="61">
        <f t="shared" si="48"/>
        <v>35.644497102008529</v>
      </c>
      <c r="J120" s="43">
        <f t="shared" si="49"/>
        <v>52.626136837898365</v>
      </c>
      <c r="K120" s="43">
        <f t="shared" si="50"/>
        <v>-42.634219631301846</v>
      </c>
      <c r="L120" s="43">
        <f t="shared" si="51"/>
        <v>137.36578036869815</v>
      </c>
      <c r="M120" s="43">
        <f t="shared" si="52"/>
        <v>-38.716664433110829</v>
      </c>
      <c r="N120" s="43">
        <f t="shared" si="53"/>
        <v>35.644497102008529</v>
      </c>
      <c r="O120" s="43">
        <f t="shared" si="54"/>
        <v>52.626136837898365</v>
      </c>
      <c r="P120" s="43">
        <f t="shared" si="55"/>
        <v>-38.716664433110829</v>
      </c>
      <c r="Q120" s="43">
        <f t="shared" si="56"/>
        <v>35.644497102008529</v>
      </c>
      <c r="R120" s="43">
        <f t="shared" si="57"/>
        <v>52.626136837898365</v>
      </c>
      <c r="S120" s="43">
        <f t="shared" si="58"/>
        <v>137.36578036869815</v>
      </c>
      <c r="T120" s="43">
        <f t="shared" si="59"/>
        <v>137.36578036869815</v>
      </c>
    </row>
    <row r="121" spans="1:20" x14ac:dyDescent="0.45">
      <c r="A121" s="43">
        <v>59</v>
      </c>
      <c r="B121" s="44">
        <v>695.3</v>
      </c>
      <c r="C121" s="44">
        <v>11079.3</v>
      </c>
      <c r="D121" s="8">
        <f t="shared" si="45"/>
        <v>-5192</v>
      </c>
      <c r="E121" s="61">
        <f t="shared" si="47"/>
        <v>-26.071042054992301</v>
      </c>
      <c r="F121" s="5">
        <v>-3562.2</v>
      </c>
      <c r="G121" s="44">
        <v>-13073.4</v>
      </c>
      <c r="H121" s="8">
        <f t="shared" si="46"/>
        <v>4755.6000000000004</v>
      </c>
      <c r="I121" s="61">
        <f t="shared" si="48"/>
        <v>23.995720788542812</v>
      </c>
      <c r="J121" s="43">
        <f t="shared" si="49"/>
        <v>35.432948649454545</v>
      </c>
      <c r="K121" s="43">
        <f t="shared" si="50"/>
        <v>-42.626387021873605</v>
      </c>
      <c r="L121" s="43">
        <f t="shared" si="51"/>
        <v>137.3736129781264</v>
      </c>
      <c r="M121" s="43">
        <f t="shared" si="52"/>
        <v>-26.071042054992294</v>
      </c>
      <c r="N121" s="43">
        <f t="shared" si="53"/>
        <v>23.995720788542815</v>
      </c>
      <c r="O121" s="43">
        <f t="shared" si="54"/>
        <v>35.432948649454545</v>
      </c>
      <c r="P121" s="43">
        <f t="shared" si="55"/>
        <v>-26.071042054992294</v>
      </c>
      <c r="Q121" s="43">
        <f t="shared" si="56"/>
        <v>23.995720788542815</v>
      </c>
      <c r="R121" s="43">
        <f t="shared" si="57"/>
        <v>35.432948649454545</v>
      </c>
      <c r="S121" s="43">
        <f t="shared" si="58"/>
        <v>137.3736129781264</v>
      </c>
      <c r="T121" s="43">
        <f t="shared" si="59"/>
        <v>137.3736129781264</v>
      </c>
    </row>
    <row r="122" spans="1:20" x14ac:dyDescent="0.45">
      <c r="A122" s="43">
        <v>59.5</v>
      </c>
      <c r="B122" s="44">
        <v>563.5</v>
      </c>
      <c r="C122" s="44">
        <v>11193.1</v>
      </c>
      <c r="D122" s="8">
        <f t="shared" si="45"/>
        <v>-5314.8</v>
      </c>
      <c r="E122" s="61">
        <f>0.5*SIN(D123/3600*PI()/180)*1000+E123</f>
        <v>-13.48660791990898</v>
      </c>
      <c r="F122" s="5">
        <v>-3385.2</v>
      </c>
      <c r="G122" s="44">
        <v>-13136.6</v>
      </c>
      <c r="H122" s="8">
        <f t="shared" si="46"/>
        <v>4875.7000000000007</v>
      </c>
      <c r="I122" s="61">
        <f>0.5*SIN(H123/3600*PI()/180)*1000+I123</f>
        <v>12.468842366032959</v>
      </c>
      <c r="J122" s="43">
        <f t="shared" si="49"/>
        <v>18.367379321349304</v>
      </c>
      <c r="K122" s="43">
        <f t="shared" si="50"/>
        <v>-42.754467354032343</v>
      </c>
      <c r="L122" s="43">
        <f t="shared" si="51"/>
        <v>137.24553264596767</v>
      </c>
      <c r="M122" s="43">
        <f t="shared" si="52"/>
        <v>-13.486607919908982</v>
      </c>
      <c r="N122" s="43">
        <f t="shared" si="53"/>
        <v>12.468842366032957</v>
      </c>
      <c r="O122" s="43">
        <f t="shared" si="54"/>
        <v>18.367379321349304</v>
      </c>
      <c r="P122" s="43">
        <f t="shared" si="55"/>
        <v>-13.486607919908982</v>
      </c>
      <c r="Q122" s="43">
        <f t="shared" si="56"/>
        <v>12.468842366032957</v>
      </c>
      <c r="R122" s="43">
        <f t="shared" si="57"/>
        <v>18.367379321349304</v>
      </c>
      <c r="S122" s="43">
        <f t="shared" si="58"/>
        <v>137.24553264596767</v>
      </c>
      <c r="T122" s="43">
        <f t="shared" si="59"/>
        <v>137.24553264596767</v>
      </c>
    </row>
    <row r="123" spans="1:20" s="41" customFormat="1" x14ac:dyDescent="0.45">
      <c r="A123" s="59">
        <v>60</v>
      </c>
      <c r="B123" s="60">
        <v>431.7</v>
      </c>
      <c r="C123" s="60">
        <v>11560.3</v>
      </c>
      <c r="D123" s="61">
        <f t="shared" si="45"/>
        <v>-5564.2999999999993</v>
      </c>
      <c r="E123" s="61">
        <v>0</v>
      </c>
      <c r="F123" s="60">
        <v>-3223.5</v>
      </c>
      <c r="G123" s="60">
        <v>-13512.1</v>
      </c>
      <c r="H123" s="61">
        <f t="shared" si="46"/>
        <v>5144.3</v>
      </c>
      <c r="I123" s="61">
        <v>0</v>
      </c>
      <c r="J123" s="59">
        <f t="shared" si="49"/>
        <v>0</v>
      </c>
      <c r="K123" s="59" t="e">
        <f t="shared" si="50"/>
        <v>#DIV/0!</v>
      </c>
      <c r="L123" s="59" t="e">
        <f t="shared" si="51"/>
        <v>#DIV/0!</v>
      </c>
      <c r="M123" s="59" t="e">
        <f t="shared" si="52"/>
        <v>#DIV/0!</v>
      </c>
      <c r="N123" s="59" t="e">
        <f t="shared" si="53"/>
        <v>#DIV/0!</v>
      </c>
      <c r="O123" s="59" t="e">
        <f t="shared" si="54"/>
        <v>#DIV/0!</v>
      </c>
      <c r="P123" s="59" t="e">
        <f t="shared" si="55"/>
        <v>#DIV/0!</v>
      </c>
      <c r="Q123" s="59" t="e">
        <f t="shared" si="56"/>
        <v>#DIV/0!</v>
      </c>
      <c r="R123" s="59" t="e">
        <f t="shared" si="57"/>
        <v>#DIV/0!</v>
      </c>
      <c r="S123" s="59" t="e">
        <f t="shared" si="58"/>
        <v>#DIV/0!</v>
      </c>
      <c r="T123" s="59" t="e">
        <f t="shared" si="59"/>
        <v>#DIV/0!</v>
      </c>
    </row>
    <row r="124" spans="1:20" x14ac:dyDescent="0.45">
      <c r="A124" s="43"/>
      <c r="B124" s="44"/>
      <c r="C124" s="44"/>
      <c r="D124" s="8"/>
      <c r="E124" s="61"/>
      <c r="F124" s="5"/>
      <c r="G124" s="44"/>
      <c r="H124" s="8"/>
      <c r="I124" s="61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</row>
    <row r="125" spans="1:20" s="41" customFormat="1" x14ac:dyDescent="0.45">
      <c r="A125" s="43"/>
      <c r="B125" s="45"/>
      <c r="C125" s="45"/>
      <c r="D125" s="8"/>
      <c r="E125" s="61"/>
      <c r="F125" s="45"/>
      <c r="G125" s="45"/>
      <c r="H125" s="8"/>
      <c r="I125" s="6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</row>
  </sheetData>
  <mergeCells count="1">
    <mergeCell ref="B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5"/>
  <sheetViews>
    <sheetView zoomScale="85" zoomScaleNormal="85" workbookViewId="0">
      <pane ySplit="2" topLeftCell="A108" activePane="bottomLeft" state="frozen"/>
      <selection pane="bottomLeft" activeCell="I124" sqref="I124"/>
    </sheetView>
  </sheetViews>
  <sheetFormatPr defaultRowHeight="14.25" x14ac:dyDescent="0.45"/>
  <cols>
    <col min="1" max="1" width="9.1328125" style="7"/>
    <col min="2" max="3" width="9.3984375" style="12" customWidth="1"/>
    <col min="4" max="4" width="9.3984375" style="13" customWidth="1"/>
    <col min="5" max="5" width="17.59765625" style="13" customWidth="1"/>
    <col min="6" max="7" width="9.3984375" style="12" customWidth="1"/>
    <col min="8" max="8" width="9.3984375" style="13" customWidth="1"/>
    <col min="9" max="9" width="20" style="13" customWidth="1"/>
    <col min="10" max="10" width="18.86328125" style="38" customWidth="1"/>
    <col min="11" max="11" width="16.86328125" style="38" customWidth="1"/>
    <col min="12" max="12" width="19.3984375" style="38" customWidth="1"/>
    <col min="13" max="18" width="13.3984375" style="16" customWidth="1"/>
    <col min="19" max="19" width="13.3984375" style="16" hidden="1" customWidth="1"/>
    <col min="20" max="20" width="13.3984375" style="16" customWidth="1"/>
  </cols>
  <sheetData>
    <row r="1" spans="1:20" x14ac:dyDescent="0.45">
      <c r="B1" s="53" t="s">
        <v>196</v>
      </c>
      <c r="C1" s="53"/>
      <c r="D1" s="53"/>
      <c r="E1" s="53"/>
      <c r="F1" s="53"/>
      <c r="G1" s="53"/>
      <c r="H1" s="53"/>
      <c r="I1" s="53"/>
      <c r="K1" s="38" t="s">
        <v>1</v>
      </c>
      <c r="L1" s="39">
        <v>180</v>
      </c>
      <c r="M1" s="54"/>
      <c r="N1" s="55"/>
      <c r="O1" s="55"/>
      <c r="P1" s="55"/>
      <c r="Q1" s="55"/>
      <c r="R1" s="55"/>
      <c r="S1" s="55"/>
      <c r="T1" s="56"/>
    </row>
    <row r="2" spans="1:20" ht="85.5" x14ac:dyDescent="0.45">
      <c r="A2" s="7" t="s">
        <v>2</v>
      </c>
      <c r="B2" s="9" t="s">
        <v>99</v>
      </c>
      <c r="C2" s="9" t="s">
        <v>100</v>
      </c>
      <c r="D2" s="10" t="s">
        <v>101</v>
      </c>
      <c r="E2" s="10" t="s">
        <v>201</v>
      </c>
      <c r="F2" s="9" t="s">
        <v>187</v>
      </c>
      <c r="G2" s="9" t="s">
        <v>188</v>
      </c>
      <c r="H2" s="10" t="s">
        <v>189</v>
      </c>
      <c r="I2" s="10" t="s">
        <v>202</v>
      </c>
      <c r="J2" s="10" t="s">
        <v>203</v>
      </c>
      <c r="K2" s="10" t="s">
        <v>192</v>
      </c>
      <c r="L2" s="10" t="s">
        <v>193</v>
      </c>
      <c r="M2" s="15" t="s">
        <v>17</v>
      </c>
      <c r="N2" s="15" t="s">
        <v>18</v>
      </c>
      <c r="O2" s="15" t="s">
        <v>197</v>
      </c>
      <c r="P2" s="14" t="s">
        <v>19</v>
      </c>
      <c r="Q2" s="14" t="s">
        <v>20</v>
      </c>
      <c r="R2" s="14" t="s">
        <v>21</v>
      </c>
      <c r="S2" s="14"/>
      <c r="T2" s="14" t="s">
        <v>22</v>
      </c>
    </row>
    <row r="3" spans="1:20" x14ac:dyDescent="0.45">
      <c r="A3" s="7">
        <v>0</v>
      </c>
      <c r="B3" s="42">
        <v>-3344.9</v>
      </c>
      <c r="C3" s="42">
        <v>-5497.5</v>
      </c>
      <c r="D3" s="8">
        <f t="shared" ref="D3:D33" si="0">(B3-C3)/2</f>
        <v>1076.3</v>
      </c>
      <c r="E3" s="8">
        <f t="shared" ref="E3:E43" si="1">0.5*SIN(D3/3600*PI()/180)*1000+E4</f>
        <v>-715.0091968180576</v>
      </c>
      <c r="F3" s="42">
        <v>804</v>
      </c>
      <c r="G3" s="42">
        <v>3778.5</v>
      </c>
      <c r="H3" s="8">
        <f>(F3-G3)/2</f>
        <v>-1487.25</v>
      </c>
      <c r="I3" s="8">
        <f t="shared" ref="I3:I43" si="2">0.5*SIN(H3/3600*PI()/180)*1000+I4</f>
        <v>624.14734673295811</v>
      </c>
      <c r="J3" s="38">
        <f t="shared" ref="J3:J51" si="3">SQRT(E3^2+I3^2)</f>
        <v>949.10382043704533</v>
      </c>
      <c r="K3" s="38">
        <f t="shared" ref="K3:K33" si="4">IF(E3&gt;=0,180-DEGREES(ASIN(-I3/J3)),IF(E3&lt;0,DEGREES(ASIN(-I3/J3)),360-DEGREES(ASIN(I3/J3))))</f>
        <v>-41.118427144512459</v>
      </c>
      <c r="L3" s="38">
        <f t="shared" ref="L3:L18" si="5">IF((K3+$L$1)&lt;=360,K3+$L$1,K3+$L$1-360)</f>
        <v>138.88157285548755</v>
      </c>
      <c r="M3" s="16">
        <f t="shared" ref="M3:M51" si="6">J3*COS(RADIANS(L3))</f>
        <v>-715.0091968180576</v>
      </c>
      <c r="N3" s="16">
        <f t="shared" ref="N3:N51" si="7">J3*SIN(RADIANS(L3))</f>
        <v>624.14734673295811</v>
      </c>
      <c r="O3" s="16">
        <f t="shared" ref="O3:O54" si="8">SQRT(N3^2+M3^2)</f>
        <v>949.10382043704533</v>
      </c>
      <c r="P3" s="16">
        <f>M3-'"0" цикл 24.06'!M3</f>
        <v>-2.4653862119596397</v>
      </c>
      <c r="Q3" s="16">
        <f>N3-'"0" цикл 24.06'!N3</f>
        <v>37.4459463265365</v>
      </c>
      <c r="R3" s="16">
        <f t="shared" ref="R3:R51" si="9">SQRT(P3^2+Q3^2)</f>
        <v>37.52701727374523</v>
      </c>
      <c r="S3" s="16">
        <f t="shared" ref="S3:S51" si="10">IF(R3=0,0,IF(P3&gt;=0,DEGREES(ASIN(Q3/R3)),(180-DEGREES(ASIN(Q3/R3)))))</f>
        <v>93.766833693277732</v>
      </c>
      <c r="T3" s="16">
        <f t="shared" ref="T3:T51" si="11">IF(S3&lt;0,360+S3,S3)</f>
        <v>93.766833693277732</v>
      </c>
    </row>
    <row r="4" spans="1:20" x14ac:dyDescent="0.45">
      <c r="A4" s="7">
        <v>0.5</v>
      </c>
      <c r="B4" s="42">
        <v>-2776</v>
      </c>
      <c r="C4" s="42">
        <v>-7311</v>
      </c>
      <c r="D4" s="8">
        <f t="shared" si="0"/>
        <v>2267.5</v>
      </c>
      <c r="E4" s="8">
        <f t="shared" si="1"/>
        <v>-717.61820980319169</v>
      </c>
      <c r="F4" s="42">
        <v>387.7</v>
      </c>
      <c r="G4" s="42">
        <v>5549.9</v>
      </c>
      <c r="H4" s="8">
        <f t="shared" ref="H4:H43" si="12">(F4-G4)/2</f>
        <v>-2581.1</v>
      </c>
      <c r="I4" s="8">
        <f t="shared" si="2"/>
        <v>627.75251123032217</v>
      </c>
      <c r="J4" s="38">
        <f t="shared" si="3"/>
        <v>953.44066957368329</v>
      </c>
      <c r="K4" s="38">
        <f t="shared" si="4"/>
        <v>-41.178534370470281</v>
      </c>
      <c r="L4" s="38">
        <f t="shared" si="5"/>
        <v>138.82146562952971</v>
      </c>
      <c r="M4" s="16">
        <f t="shared" si="6"/>
        <v>-717.61820980319169</v>
      </c>
      <c r="N4" s="16">
        <f t="shared" si="7"/>
        <v>627.75251123032217</v>
      </c>
      <c r="O4" s="16">
        <f t="shared" si="8"/>
        <v>953.44066957368329</v>
      </c>
      <c r="P4" s="16">
        <f>M4-'"0" цикл 24.06'!M4</f>
        <v>-0.59429591986645391</v>
      </c>
      <c r="Q4" s="16">
        <f>N4-'"0" цикл 24.06'!N4</f>
        <v>35.53149797467745</v>
      </c>
      <c r="R4" s="16">
        <f t="shared" si="9"/>
        <v>35.536467691160269</v>
      </c>
      <c r="S4" s="16">
        <f t="shared" si="10"/>
        <v>90.958233544311355</v>
      </c>
      <c r="T4" s="16">
        <f t="shared" si="11"/>
        <v>90.958233544311355</v>
      </c>
    </row>
    <row r="5" spans="1:20" x14ac:dyDescent="0.45">
      <c r="A5" s="7">
        <v>1</v>
      </c>
      <c r="B5" s="42">
        <v>-2687.8</v>
      </c>
      <c r="C5" s="42">
        <v>-7179.6</v>
      </c>
      <c r="D5" s="8">
        <f t="shared" si="0"/>
        <v>2245.9</v>
      </c>
      <c r="E5" s="8">
        <f t="shared" si="1"/>
        <v>-723.1146742038502</v>
      </c>
      <c r="F5" s="42">
        <v>291.7</v>
      </c>
      <c r="G5" s="42">
        <v>5267.6</v>
      </c>
      <c r="H5" s="8">
        <f t="shared" si="12"/>
        <v>-2487.9500000000003</v>
      </c>
      <c r="I5" s="8">
        <f t="shared" si="2"/>
        <v>634.00911090381476</v>
      </c>
      <c r="J5" s="38">
        <f>SQRT(E5^2+I5^2)</f>
        <v>961.69765766481203</v>
      </c>
      <c r="K5" s="38">
        <f t="shared" si="4"/>
        <v>-41.243485388338669</v>
      </c>
      <c r="L5" s="38">
        <f t="shared" si="5"/>
        <v>138.75651461166132</v>
      </c>
      <c r="M5" s="16">
        <f t="shared" si="6"/>
        <v>-723.11467420384997</v>
      </c>
      <c r="N5" s="16">
        <f t="shared" si="7"/>
        <v>634.00911090381487</v>
      </c>
      <c r="O5" s="16">
        <f t="shared" si="8"/>
        <v>961.69765766481191</v>
      </c>
      <c r="P5" s="16">
        <f>M5-'"0" цикл 24.06'!M5</f>
        <v>0.53547909847077335</v>
      </c>
      <c r="Q5" s="16">
        <f>N5-'"0" цикл 24.06'!N5</f>
        <v>34.322244412873033</v>
      </c>
      <c r="R5" s="16">
        <f t="shared" si="9"/>
        <v>34.326421301992625</v>
      </c>
      <c r="S5" s="16">
        <f t="shared" si="10"/>
        <v>89.106171407315827</v>
      </c>
      <c r="T5" s="16">
        <f t="shared" si="11"/>
        <v>89.106171407315827</v>
      </c>
    </row>
    <row r="6" spans="1:20" x14ac:dyDescent="0.45">
      <c r="A6" s="7">
        <v>1.5</v>
      </c>
      <c r="B6" s="42">
        <v>-4136.7</v>
      </c>
      <c r="C6" s="42">
        <v>-6995.5</v>
      </c>
      <c r="D6" s="8">
        <f t="shared" si="0"/>
        <v>1429.4</v>
      </c>
      <c r="E6" s="8">
        <f t="shared" si="1"/>
        <v>-728.55878186070356</v>
      </c>
      <c r="F6" s="42">
        <v>1763.9</v>
      </c>
      <c r="G6" s="42">
        <v>5104.3999999999996</v>
      </c>
      <c r="H6" s="8">
        <f t="shared" si="12"/>
        <v>-1670.2499999999998</v>
      </c>
      <c r="I6" s="8">
        <f t="shared" si="2"/>
        <v>640.03992565374688</v>
      </c>
      <c r="J6" s="38">
        <f t="shared" si="3"/>
        <v>969.76750051608042</v>
      </c>
      <c r="K6" s="38">
        <f t="shared" si="4"/>
        <v>-41.299351806819672</v>
      </c>
      <c r="L6" s="38">
        <f t="shared" si="5"/>
        <v>138.70064819318031</v>
      </c>
      <c r="M6" s="16">
        <f t="shared" si="6"/>
        <v>-728.55878186070333</v>
      </c>
      <c r="N6" s="16">
        <f t="shared" si="7"/>
        <v>640.0399256537471</v>
      </c>
      <c r="O6" s="16">
        <f t="shared" si="8"/>
        <v>969.76750051608053</v>
      </c>
      <c r="P6" s="16">
        <f>M6-'"0" цикл 24.06'!M6</f>
        <v>-0.31956788767649869</v>
      </c>
      <c r="Q6" s="16">
        <f>N6-'"0" цикл 24.06'!N6</f>
        <v>34.54900012841631</v>
      </c>
      <c r="R6" s="16">
        <f t="shared" si="9"/>
        <v>34.550478050356183</v>
      </c>
      <c r="S6" s="16">
        <f t="shared" si="10"/>
        <v>90.529953660339146</v>
      </c>
      <c r="T6" s="16">
        <f t="shared" si="11"/>
        <v>90.529953660339146</v>
      </c>
    </row>
    <row r="7" spans="1:20" x14ac:dyDescent="0.45">
      <c r="A7" s="7">
        <v>2</v>
      </c>
      <c r="B7" s="42">
        <v>-5111.1000000000004</v>
      </c>
      <c r="C7" s="42">
        <v>-6225.3</v>
      </c>
      <c r="D7" s="8">
        <f t="shared" si="0"/>
        <v>557.09999999999991</v>
      </c>
      <c r="E7" s="8">
        <f t="shared" si="1"/>
        <v>-732.02371750615964</v>
      </c>
      <c r="F7" s="42">
        <v>2687.4</v>
      </c>
      <c r="G7" s="42">
        <v>4287.7</v>
      </c>
      <c r="H7" s="8">
        <f t="shared" si="12"/>
        <v>-800.14999999999986</v>
      </c>
      <c r="I7" s="8">
        <f t="shared" si="2"/>
        <v>644.08868166085392</v>
      </c>
      <c r="J7" s="38">
        <f t="shared" si="3"/>
        <v>975.04305178548634</v>
      </c>
      <c r="K7" s="38">
        <f t="shared" si="4"/>
        <v>-41.343710392787493</v>
      </c>
      <c r="L7" s="38">
        <f t="shared" si="5"/>
        <v>138.6562896072125</v>
      </c>
      <c r="M7" s="16">
        <f t="shared" si="6"/>
        <v>-732.02371750615953</v>
      </c>
      <c r="N7" s="16">
        <f t="shared" si="7"/>
        <v>644.08868166085404</v>
      </c>
      <c r="O7" s="16">
        <f t="shared" si="8"/>
        <v>975.04305178548634</v>
      </c>
      <c r="P7" s="16">
        <f>M7-'"0" цикл 24.06'!M7</f>
        <v>-1.5394601230780154</v>
      </c>
      <c r="Q7" s="16">
        <f>N7-'"0" цикл 24.06'!N7</f>
        <v>35.334619615888187</v>
      </c>
      <c r="R7" s="16">
        <f t="shared" si="9"/>
        <v>35.368139347017646</v>
      </c>
      <c r="S7" s="16">
        <f t="shared" si="10"/>
        <v>92.494687165320599</v>
      </c>
      <c r="T7" s="16">
        <f t="shared" si="11"/>
        <v>92.494687165320599</v>
      </c>
    </row>
    <row r="8" spans="1:20" x14ac:dyDescent="0.45">
      <c r="A8" s="7">
        <v>2.5</v>
      </c>
      <c r="B8" s="42">
        <v>-5815.6</v>
      </c>
      <c r="C8" s="42">
        <v>-5284.1</v>
      </c>
      <c r="D8" s="8">
        <f t="shared" si="0"/>
        <v>-265.75</v>
      </c>
      <c r="E8" s="8">
        <f t="shared" si="1"/>
        <v>-733.37416437300544</v>
      </c>
      <c r="F8" s="42">
        <v>3377.6</v>
      </c>
      <c r="G8" s="42">
        <v>3299.9</v>
      </c>
      <c r="H8" s="8">
        <f t="shared" si="12"/>
        <v>38.849999999999909</v>
      </c>
      <c r="I8" s="8">
        <f t="shared" si="2"/>
        <v>646.02829513083952</v>
      </c>
      <c r="J8" s="38">
        <f t="shared" si="3"/>
        <v>977.33833603285154</v>
      </c>
      <c r="K8" s="38">
        <f t="shared" si="4"/>
        <v>-41.376781190215496</v>
      </c>
      <c r="L8" s="38">
        <f t="shared" si="5"/>
        <v>138.6232188097845</v>
      </c>
      <c r="M8" s="16">
        <f t="shared" si="6"/>
        <v>-733.37416437300556</v>
      </c>
      <c r="N8" s="16">
        <f t="shared" si="7"/>
        <v>646.02829513083941</v>
      </c>
      <c r="O8" s="16">
        <f t="shared" si="8"/>
        <v>977.33833603285154</v>
      </c>
      <c r="P8" s="16">
        <f>M8-'"0" цикл 24.06'!M8</f>
        <v>-2.1407489294938387</v>
      </c>
      <c r="Q8" s="16">
        <f>N8-'"0" цикл 24.06'!N8</f>
        <v>35.371343981106293</v>
      </c>
      <c r="R8" s="16">
        <f t="shared" si="9"/>
        <v>35.43606610515441</v>
      </c>
      <c r="S8" s="16">
        <f t="shared" si="10"/>
        <v>93.463437723130568</v>
      </c>
      <c r="T8" s="16">
        <f t="shared" si="11"/>
        <v>93.463437723130568</v>
      </c>
    </row>
    <row r="9" spans="1:20" x14ac:dyDescent="0.45">
      <c r="A9" s="7">
        <v>3</v>
      </c>
      <c r="B9" s="42">
        <v>-6633.7</v>
      </c>
      <c r="C9" s="42">
        <v>-4219.2</v>
      </c>
      <c r="D9" s="8">
        <f t="shared" si="0"/>
        <v>-1207.25</v>
      </c>
      <c r="E9" s="8">
        <f t="shared" si="1"/>
        <v>-732.72996837245387</v>
      </c>
      <c r="F9" s="42">
        <v>4214.3</v>
      </c>
      <c r="G9" s="42">
        <v>2286.3000000000002</v>
      </c>
      <c r="H9" s="8">
        <f t="shared" si="12"/>
        <v>964</v>
      </c>
      <c r="I9" s="8">
        <f t="shared" si="2"/>
        <v>645.93412007384086</v>
      </c>
      <c r="J9" s="38">
        <f t="shared" si="3"/>
        <v>976.7927589958191</v>
      </c>
      <c r="K9" s="38">
        <f t="shared" si="4"/>
        <v>-41.397613336024044</v>
      </c>
      <c r="L9" s="38">
        <f t="shared" si="5"/>
        <v>138.60238666397595</v>
      </c>
      <c r="M9" s="16">
        <f t="shared" si="6"/>
        <v>-732.72996837245375</v>
      </c>
      <c r="N9" s="16">
        <f t="shared" si="7"/>
        <v>645.93412007384097</v>
      </c>
      <c r="O9" s="16">
        <f t="shared" si="8"/>
        <v>976.7927589958191</v>
      </c>
      <c r="P9" s="16">
        <f>M9-'"0" цикл 24.06'!M9</f>
        <v>-2.4446055142755085</v>
      </c>
      <c r="Q9" s="16">
        <f>N9-'"0" цикл 24.06'!N9</f>
        <v>35.082395032648151</v>
      </c>
      <c r="R9" s="16">
        <f t="shared" si="9"/>
        <v>35.167464187046555</v>
      </c>
      <c r="S9" s="16">
        <f t="shared" si="10"/>
        <v>93.986031676411116</v>
      </c>
      <c r="T9" s="16">
        <f t="shared" si="11"/>
        <v>93.986031676411116</v>
      </c>
    </row>
    <row r="10" spans="1:20" x14ac:dyDescent="0.45">
      <c r="A10" s="7">
        <v>3.5</v>
      </c>
      <c r="B10" s="42">
        <v>-7190.8</v>
      </c>
      <c r="C10" s="42">
        <v>-3535.7</v>
      </c>
      <c r="D10" s="8">
        <f t="shared" si="0"/>
        <v>-1827.5500000000002</v>
      </c>
      <c r="E10" s="8">
        <f t="shared" si="1"/>
        <v>-729.80352849823294</v>
      </c>
      <c r="F10" s="42">
        <v>4910.3</v>
      </c>
      <c r="G10" s="42">
        <v>1513.2</v>
      </c>
      <c r="H10" s="8">
        <f t="shared" si="12"/>
        <v>1698.5500000000002</v>
      </c>
      <c r="I10" s="8">
        <f t="shared" si="2"/>
        <v>643.59732663784484</v>
      </c>
      <c r="J10" s="38">
        <f t="shared" si="3"/>
        <v>973.05226430230971</v>
      </c>
      <c r="K10" s="38">
        <f t="shared" si="4"/>
        <v>-41.408346383475582</v>
      </c>
      <c r="L10" s="38">
        <f t="shared" si="5"/>
        <v>138.59165361652441</v>
      </c>
      <c r="M10" s="16">
        <f t="shared" si="6"/>
        <v>-729.80352849823294</v>
      </c>
      <c r="N10" s="16">
        <f t="shared" si="7"/>
        <v>643.59732663784496</v>
      </c>
      <c r="O10" s="16">
        <f t="shared" si="8"/>
        <v>973.05226430230971</v>
      </c>
      <c r="P10" s="16">
        <f>M10-'"0" цикл 24.06'!M10</f>
        <v>-2.4327277817119466</v>
      </c>
      <c r="Q10" s="16">
        <f>N10-'"0" цикл 24.06'!N10</f>
        <v>34.617584049460447</v>
      </c>
      <c r="R10" s="16">
        <f t="shared" si="9"/>
        <v>34.702957941382628</v>
      </c>
      <c r="S10" s="16">
        <f t="shared" si="10"/>
        <v>94.019814372522887</v>
      </c>
      <c r="T10" s="16">
        <f t="shared" si="11"/>
        <v>94.019814372522887</v>
      </c>
    </row>
    <row r="11" spans="1:20" x14ac:dyDescent="0.45">
      <c r="A11" s="7">
        <v>4</v>
      </c>
      <c r="B11" s="42">
        <v>-6566.5</v>
      </c>
      <c r="C11" s="42">
        <v>-3298.3</v>
      </c>
      <c r="D11" s="8">
        <f t="shared" si="0"/>
        <v>-1634.1</v>
      </c>
      <c r="E11" s="8">
        <f t="shared" si="1"/>
        <v>-725.37348024648713</v>
      </c>
      <c r="F11" s="42">
        <v>4134.3</v>
      </c>
      <c r="G11" s="42">
        <v>1485</v>
      </c>
      <c r="H11" s="8">
        <f t="shared" si="12"/>
        <v>1324.65</v>
      </c>
      <c r="I11" s="8">
        <f t="shared" si="2"/>
        <v>639.47997178229866</v>
      </c>
      <c r="J11" s="38">
        <f t="shared" si="3"/>
        <v>967.0063702766339</v>
      </c>
      <c r="K11" s="38">
        <f t="shared" si="4"/>
        <v>-41.398987782973748</v>
      </c>
      <c r="L11" s="38">
        <f t="shared" si="5"/>
        <v>138.60101221702627</v>
      </c>
      <c r="M11" s="16">
        <f t="shared" si="6"/>
        <v>-725.37348024648736</v>
      </c>
      <c r="N11" s="16">
        <f t="shared" si="7"/>
        <v>639.47997178229843</v>
      </c>
      <c r="O11" s="16">
        <f t="shared" si="8"/>
        <v>967.0063702766339</v>
      </c>
      <c r="P11" s="16">
        <f>M11-'"0" цикл 24.06'!M11</f>
        <v>-2.6590052238794897</v>
      </c>
      <c r="Q11" s="16">
        <f>N11-'"0" цикл 24.06'!N11</f>
        <v>34.402454898333986</v>
      </c>
      <c r="R11" s="16">
        <f t="shared" si="9"/>
        <v>34.505060669596318</v>
      </c>
      <c r="S11" s="16">
        <f t="shared" si="10"/>
        <v>94.419669615506464</v>
      </c>
      <c r="T11" s="16">
        <f t="shared" si="11"/>
        <v>94.419669615506464</v>
      </c>
    </row>
    <row r="12" spans="1:20" x14ac:dyDescent="0.45">
      <c r="A12" s="7">
        <v>4.5</v>
      </c>
      <c r="B12" s="42">
        <v>-5502.4</v>
      </c>
      <c r="C12" s="42">
        <v>-3196</v>
      </c>
      <c r="D12" s="8">
        <f t="shared" si="0"/>
        <v>-1153.1999999999998</v>
      </c>
      <c r="E12" s="8">
        <f t="shared" si="1"/>
        <v>-721.41235150098714</v>
      </c>
      <c r="F12" s="42">
        <v>3082.6</v>
      </c>
      <c r="G12" s="42">
        <v>1439.1</v>
      </c>
      <c r="H12" s="8">
        <f t="shared" si="12"/>
        <v>821.75</v>
      </c>
      <c r="I12" s="8">
        <f t="shared" si="2"/>
        <v>636.26895164110351</v>
      </c>
      <c r="J12" s="38">
        <f t="shared" si="3"/>
        <v>961.9116174164094</v>
      </c>
      <c r="K12" s="38">
        <f t="shared" si="4"/>
        <v>-41.41154574643766</v>
      </c>
      <c r="L12" s="38">
        <f t="shared" si="5"/>
        <v>138.58845425356233</v>
      </c>
      <c r="M12" s="16">
        <f t="shared" si="6"/>
        <v>-721.41235150098703</v>
      </c>
      <c r="N12" s="16">
        <f t="shared" si="7"/>
        <v>636.26895164110374</v>
      </c>
      <c r="O12" s="16">
        <f t="shared" si="8"/>
        <v>961.9116174164094</v>
      </c>
      <c r="P12" s="16">
        <f>M12-'"0" цикл 24.06'!M12</f>
        <v>-2.9073427397240721</v>
      </c>
      <c r="Q12" s="16">
        <f>N12-'"0" цикл 24.06'!N12</f>
        <v>34.17362723141764</v>
      </c>
      <c r="R12" s="16">
        <f t="shared" si="9"/>
        <v>34.297076259618919</v>
      </c>
      <c r="S12" s="16">
        <f t="shared" si="10"/>
        <v>94.862764877646214</v>
      </c>
      <c r="T12" s="16">
        <f t="shared" si="11"/>
        <v>94.862764877646214</v>
      </c>
    </row>
    <row r="13" spans="1:20" x14ac:dyDescent="0.45">
      <c r="A13" s="7">
        <v>5</v>
      </c>
      <c r="B13" s="42">
        <v>-3904.2</v>
      </c>
      <c r="C13" s="42">
        <v>-3479.1</v>
      </c>
      <c r="D13" s="8">
        <f t="shared" si="0"/>
        <v>-212.54999999999995</v>
      </c>
      <c r="E13" s="8">
        <f t="shared" si="1"/>
        <v>-718.61693037890166</v>
      </c>
      <c r="F13" s="42">
        <v>1543</v>
      </c>
      <c r="G13" s="42">
        <v>1729.4</v>
      </c>
      <c r="H13" s="8">
        <f t="shared" si="12"/>
        <v>-93.200000000000045</v>
      </c>
      <c r="I13" s="8">
        <f t="shared" si="2"/>
        <v>634.27697869825658</v>
      </c>
      <c r="J13" s="38">
        <f t="shared" si="3"/>
        <v>958.49756302965318</v>
      </c>
      <c r="K13" s="38">
        <f t="shared" si="4"/>
        <v>-41.432774361995826</v>
      </c>
      <c r="L13" s="38">
        <f t="shared" si="5"/>
        <v>138.56722563800417</v>
      </c>
      <c r="M13" s="16">
        <f t="shared" si="6"/>
        <v>-718.61693037890177</v>
      </c>
      <c r="N13" s="16">
        <f t="shared" si="7"/>
        <v>634.27697869825658</v>
      </c>
      <c r="O13" s="16">
        <f t="shared" si="8"/>
        <v>958.49756302965318</v>
      </c>
      <c r="P13" s="16">
        <f>M13-'"0" цикл 24.06'!M13</f>
        <v>-2.6828772394042062</v>
      </c>
      <c r="Q13" s="16">
        <f>N13-'"0" цикл 24.06'!N13</f>
        <v>33.73632805534919</v>
      </c>
      <c r="R13" s="16">
        <f t="shared" si="9"/>
        <v>33.842837660867829</v>
      </c>
      <c r="S13" s="16">
        <f t="shared" si="10"/>
        <v>94.546870645804006</v>
      </c>
      <c r="T13" s="16">
        <f t="shared" si="11"/>
        <v>94.546870645804006</v>
      </c>
    </row>
    <row r="14" spans="1:20" x14ac:dyDescent="0.45">
      <c r="A14" s="7">
        <v>5.5</v>
      </c>
      <c r="B14" s="42">
        <v>-2365.5</v>
      </c>
      <c r="C14" s="42">
        <v>-3469.2</v>
      </c>
      <c r="D14" s="8">
        <f t="shared" si="0"/>
        <v>551.84999999999991</v>
      </c>
      <c r="E14" s="8">
        <f t="shared" si="1"/>
        <v>-718.10169473048813</v>
      </c>
      <c r="F14" s="42">
        <v>-27.3</v>
      </c>
      <c r="G14" s="42">
        <v>1759.1</v>
      </c>
      <c r="H14" s="8">
        <f t="shared" si="12"/>
        <v>-893.19999999999993</v>
      </c>
      <c r="I14" s="8">
        <f t="shared" si="2"/>
        <v>634.50290186596601</v>
      </c>
      <c r="J14" s="38">
        <f t="shared" si="3"/>
        <v>958.26091251346088</v>
      </c>
      <c r="K14" s="38">
        <f t="shared" si="4"/>
        <v>-41.463287984066092</v>
      </c>
      <c r="L14" s="38">
        <f t="shared" si="5"/>
        <v>138.53671201593392</v>
      </c>
      <c r="M14" s="16">
        <f t="shared" si="6"/>
        <v>-718.10169473048813</v>
      </c>
      <c r="N14" s="16">
        <f t="shared" si="7"/>
        <v>634.5029018659659</v>
      </c>
      <c r="O14" s="16">
        <f t="shared" si="8"/>
        <v>958.26091251346088</v>
      </c>
      <c r="P14" s="16">
        <f>M14-'"0" цикл 24.06'!M14</f>
        <v>-2.2679980223061875</v>
      </c>
      <c r="Q14" s="16">
        <f>N14-'"0" цикл 24.06'!N14</f>
        <v>33.063528345636769</v>
      </c>
      <c r="R14" s="16">
        <f t="shared" si="9"/>
        <v>33.141223901538559</v>
      </c>
      <c r="S14" s="16">
        <f t="shared" si="10"/>
        <v>93.924066244617592</v>
      </c>
      <c r="T14" s="16">
        <f t="shared" si="11"/>
        <v>93.924066244617592</v>
      </c>
    </row>
    <row r="15" spans="1:20" x14ac:dyDescent="0.45">
      <c r="A15" s="7">
        <v>6</v>
      </c>
      <c r="B15" s="42">
        <v>-1295.4000000000001</v>
      </c>
      <c r="C15" s="42">
        <v>-3385.2</v>
      </c>
      <c r="D15" s="8">
        <f t="shared" si="0"/>
        <v>1044.8999999999999</v>
      </c>
      <c r="E15" s="8">
        <f t="shared" si="1"/>
        <v>-719.43941528418713</v>
      </c>
      <c r="F15" s="42">
        <v>-1214.5999999999999</v>
      </c>
      <c r="G15" s="42">
        <v>1610.3</v>
      </c>
      <c r="H15" s="8">
        <f t="shared" si="12"/>
        <v>-1412.4499999999998</v>
      </c>
      <c r="I15" s="8">
        <f t="shared" si="2"/>
        <v>636.66807299891161</v>
      </c>
      <c r="J15" s="38">
        <f t="shared" si="3"/>
        <v>960.69730271329513</v>
      </c>
      <c r="K15" s="38">
        <f t="shared" si="4"/>
        <v>-41.507229264592787</v>
      </c>
      <c r="L15" s="38">
        <f t="shared" si="5"/>
        <v>138.49277073540722</v>
      </c>
      <c r="M15" s="16">
        <f t="shared" si="6"/>
        <v>-719.43941528418725</v>
      </c>
      <c r="N15" s="16">
        <f t="shared" si="7"/>
        <v>636.66807299891161</v>
      </c>
      <c r="O15" s="16">
        <f t="shared" si="8"/>
        <v>960.69730271329513</v>
      </c>
      <c r="P15" s="16">
        <f>M15-'"0" цикл 24.06'!M15</f>
        <v>-1.8148206673251934</v>
      </c>
      <c r="Q15" s="16">
        <f>N15-'"0" цикл 24.06'!N15</f>
        <v>32.397523913503505</v>
      </c>
      <c r="R15" s="16">
        <f t="shared" si="9"/>
        <v>32.448314744845874</v>
      </c>
      <c r="S15" s="16">
        <f t="shared" si="10"/>
        <v>93.20620202263818</v>
      </c>
      <c r="T15" s="16">
        <f t="shared" si="11"/>
        <v>93.20620202263818</v>
      </c>
    </row>
    <row r="16" spans="1:20" x14ac:dyDescent="0.45">
      <c r="A16" s="7">
        <v>6.5</v>
      </c>
      <c r="B16" s="42">
        <v>-507.9</v>
      </c>
      <c r="C16" s="42">
        <v>-3308.5</v>
      </c>
      <c r="D16" s="8">
        <f t="shared" si="0"/>
        <v>1400.3</v>
      </c>
      <c r="E16" s="8">
        <f t="shared" si="1"/>
        <v>-721.97231352768893</v>
      </c>
      <c r="F16" s="42">
        <v>-1806.5</v>
      </c>
      <c r="G16" s="42">
        <v>1444.4</v>
      </c>
      <c r="H16" s="8">
        <f t="shared" si="12"/>
        <v>-1625.45</v>
      </c>
      <c r="I16" s="8">
        <f t="shared" si="2"/>
        <v>640.09192165983848</v>
      </c>
      <c r="J16" s="38">
        <f t="shared" si="3"/>
        <v>964.86356013413024</v>
      </c>
      <c r="K16" s="38">
        <f t="shared" si="4"/>
        <v>-41.559808479341832</v>
      </c>
      <c r="L16" s="38">
        <f t="shared" si="5"/>
        <v>138.44019152065817</v>
      </c>
      <c r="M16" s="16">
        <f t="shared" si="6"/>
        <v>-721.97231352768893</v>
      </c>
      <c r="N16" s="16">
        <f t="shared" si="7"/>
        <v>640.09192165983848</v>
      </c>
      <c r="O16" s="16">
        <f t="shared" si="8"/>
        <v>964.86356013413024</v>
      </c>
      <c r="P16" s="16">
        <f>M16-'"0" цикл 24.06'!M16</f>
        <v>-1.6915584487483102</v>
      </c>
      <c r="Q16" s="16">
        <f>N16-'"0" цикл 24.06'!N16</f>
        <v>32.100219517085293</v>
      </c>
      <c r="R16" s="16">
        <f t="shared" si="9"/>
        <v>32.144757940146249</v>
      </c>
      <c r="S16" s="16">
        <f t="shared" si="10"/>
        <v>93.016477749982812</v>
      </c>
      <c r="T16" s="16">
        <f t="shared" si="11"/>
        <v>93.016477749982812</v>
      </c>
    </row>
    <row r="17" spans="1:20" x14ac:dyDescent="0.45">
      <c r="A17" s="7">
        <v>7</v>
      </c>
      <c r="B17" s="42">
        <v>-908.1</v>
      </c>
      <c r="C17" s="42">
        <v>-2809.8</v>
      </c>
      <c r="D17" s="8">
        <f t="shared" si="0"/>
        <v>950.85000000000014</v>
      </c>
      <c r="E17" s="8">
        <f t="shared" si="1"/>
        <v>-725.36671044209993</v>
      </c>
      <c r="F17" s="42">
        <v>-1556.3</v>
      </c>
      <c r="G17" s="42">
        <v>864.1</v>
      </c>
      <c r="H17" s="8">
        <f t="shared" si="12"/>
        <v>-1210.2</v>
      </c>
      <c r="I17" s="8">
        <f t="shared" si="2"/>
        <v>644.03208286816835</v>
      </c>
      <c r="J17" s="38">
        <f t="shared" si="3"/>
        <v>970.01762271677546</v>
      </c>
      <c r="K17" s="38">
        <f t="shared" si="4"/>
        <v>-41.600944414620514</v>
      </c>
      <c r="L17" s="38">
        <f t="shared" si="5"/>
        <v>138.39905558537947</v>
      </c>
      <c r="M17" s="16">
        <f t="shared" si="6"/>
        <v>-725.3667104420997</v>
      </c>
      <c r="N17" s="16">
        <f t="shared" si="7"/>
        <v>644.03208286816857</v>
      </c>
      <c r="O17" s="16">
        <f t="shared" si="8"/>
        <v>970.01762271677546</v>
      </c>
      <c r="P17" s="16">
        <f>M17-'"0" цикл 24.06'!M17</f>
        <v>-1.8971149936368192</v>
      </c>
      <c r="Q17" s="16">
        <f>N17-'"0" цикл 24.06'!N17</f>
        <v>32.002896267867868</v>
      </c>
      <c r="R17" s="16">
        <f t="shared" si="9"/>
        <v>32.059076949141762</v>
      </c>
      <c r="S17" s="16">
        <f t="shared" si="10"/>
        <v>93.392493828055322</v>
      </c>
      <c r="T17" s="16">
        <f t="shared" si="11"/>
        <v>93.392493828055322</v>
      </c>
    </row>
    <row r="18" spans="1:20" x14ac:dyDescent="0.45">
      <c r="A18" s="7">
        <v>7.5</v>
      </c>
      <c r="B18" s="42">
        <v>-489</v>
      </c>
      <c r="C18" s="42">
        <v>-2294.1999999999998</v>
      </c>
      <c r="D18" s="8">
        <f t="shared" si="0"/>
        <v>902.59999999999991</v>
      </c>
      <c r="E18" s="8">
        <f t="shared" si="1"/>
        <v>-727.67162772196741</v>
      </c>
      <c r="F18" s="42">
        <v>-1805.3</v>
      </c>
      <c r="G18" s="42">
        <v>479.5</v>
      </c>
      <c r="H18" s="8">
        <f t="shared" si="12"/>
        <v>-1142.4000000000001</v>
      </c>
      <c r="I18" s="8">
        <f t="shared" si="2"/>
        <v>646.96567362140195</v>
      </c>
      <c r="J18" s="38">
        <f t="shared" si="3"/>
        <v>973.6891601717316</v>
      </c>
      <c r="K18" s="38">
        <f t="shared" si="4"/>
        <v>-41.639980245472231</v>
      </c>
      <c r="L18" s="38">
        <f t="shared" si="5"/>
        <v>138.36001975452777</v>
      </c>
      <c r="M18" s="16">
        <f t="shared" si="6"/>
        <v>-727.6716277219673</v>
      </c>
      <c r="N18" s="16">
        <f t="shared" si="7"/>
        <v>646.96567362140217</v>
      </c>
      <c r="O18" s="16">
        <f t="shared" si="8"/>
        <v>973.6891601717316</v>
      </c>
      <c r="P18" s="16">
        <f>M18-'"0" цикл 24.06'!M18</f>
        <v>-2.3934387801004959</v>
      </c>
      <c r="Q18" s="16">
        <f>N18-'"0" цикл 24.06'!N18</f>
        <v>31.919509791179621</v>
      </c>
      <c r="R18" s="16">
        <f t="shared" si="9"/>
        <v>32.009118302497818</v>
      </c>
      <c r="S18" s="16">
        <f t="shared" si="10"/>
        <v>94.288217193805153</v>
      </c>
      <c r="T18" s="16">
        <f t="shared" si="11"/>
        <v>94.288217193805153</v>
      </c>
    </row>
    <row r="19" spans="1:20" x14ac:dyDescent="0.45">
      <c r="A19" s="7">
        <v>8</v>
      </c>
      <c r="B19" s="42">
        <v>-333.8</v>
      </c>
      <c r="C19" s="42">
        <v>-1808.5</v>
      </c>
      <c r="D19" s="8">
        <f t="shared" si="0"/>
        <v>737.35</v>
      </c>
      <c r="E19" s="8">
        <f t="shared" si="1"/>
        <v>-729.85958488202562</v>
      </c>
      <c r="F19" s="42">
        <v>-2225.8000000000002</v>
      </c>
      <c r="G19" s="42">
        <v>-18.3</v>
      </c>
      <c r="H19" s="8">
        <f t="shared" si="12"/>
        <v>-1103.75</v>
      </c>
      <c r="I19" s="8">
        <f t="shared" si="2"/>
        <v>649.73491521005076</v>
      </c>
      <c r="J19" s="38">
        <f t="shared" si="3"/>
        <v>977.16450697268715</v>
      </c>
      <c r="K19" s="38">
        <f t="shared" si="4"/>
        <v>-41.67608556335005</v>
      </c>
      <c r="L19" s="38">
        <f t="shared" ref="L19:L51" si="13">IF((K19+$L$1)&lt;=360,K19+$L$1,K19+$L$1-360)</f>
        <v>138.32391443664994</v>
      </c>
      <c r="M19" s="16">
        <f t="shared" si="6"/>
        <v>-729.85958488202562</v>
      </c>
      <c r="N19" s="16">
        <f t="shared" si="7"/>
        <v>649.73491521005076</v>
      </c>
      <c r="O19" s="16">
        <f t="shared" si="8"/>
        <v>977.16450697268715</v>
      </c>
      <c r="P19" s="16">
        <f>M19-'"0" цикл 24.06'!M19</f>
        <v>-2.8063755785858575</v>
      </c>
      <c r="Q19" s="16">
        <f>N19-'"0" цикл 24.06'!N19</f>
        <v>31.968717638406133</v>
      </c>
      <c r="R19" s="16">
        <f t="shared" si="9"/>
        <v>32.091660152323414</v>
      </c>
      <c r="S19" s="16">
        <f t="shared" si="10"/>
        <v>95.016852446748359</v>
      </c>
      <c r="T19" s="16">
        <f t="shared" si="11"/>
        <v>95.016852446748359</v>
      </c>
    </row>
    <row r="20" spans="1:20" x14ac:dyDescent="0.45">
      <c r="A20" s="7">
        <v>8.5</v>
      </c>
      <c r="B20" s="42">
        <v>98.9</v>
      </c>
      <c r="C20" s="42">
        <v>-1487.4</v>
      </c>
      <c r="D20" s="8">
        <f t="shared" si="0"/>
        <v>793.15000000000009</v>
      </c>
      <c r="E20" s="8">
        <f t="shared" si="1"/>
        <v>-731.64696791402048</v>
      </c>
      <c r="F20" s="42">
        <v>-2414.5</v>
      </c>
      <c r="G20" s="42">
        <v>-225.9</v>
      </c>
      <c r="H20" s="8">
        <f t="shared" si="12"/>
        <v>-1094.3</v>
      </c>
      <c r="I20" s="8">
        <f t="shared" si="2"/>
        <v>652.4104679437329</v>
      </c>
      <c r="J20" s="38">
        <f t="shared" si="3"/>
        <v>980.27889110208844</v>
      </c>
      <c r="K20" s="38">
        <f t="shared" si="4"/>
        <v>-41.723425784430241</v>
      </c>
      <c r="L20" s="38">
        <f t="shared" si="13"/>
        <v>138.27657421556975</v>
      </c>
      <c r="M20" s="16">
        <f t="shared" si="6"/>
        <v>-731.64696791402048</v>
      </c>
      <c r="N20" s="16">
        <f t="shared" si="7"/>
        <v>652.4104679437329</v>
      </c>
      <c r="O20" s="16">
        <f t="shared" si="8"/>
        <v>980.27889110208844</v>
      </c>
      <c r="P20" s="16">
        <f>M20-'"0" цикл 24.06'!M20</f>
        <v>-2.864674063256416</v>
      </c>
      <c r="Q20" s="16">
        <f>N20-'"0" цикл 24.06'!N20</f>
        <v>31.703407539118416</v>
      </c>
      <c r="R20" s="16">
        <f t="shared" si="9"/>
        <v>31.832568339361568</v>
      </c>
      <c r="S20" s="16">
        <f t="shared" si="10"/>
        <v>95.163142471330659</v>
      </c>
      <c r="T20" s="16">
        <f t="shared" si="11"/>
        <v>95.163142471330659</v>
      </c>
    </row>
    <row r="21" spans="1:20" x14ac:dyDescent="0.45">
      <c r="A21" s="7">
        <v>9</v>
      </c>
      <c r="B21" s="42">
        <v>441.6</v>
      </c>
      <c r="C21" s="42">
        <v>-1215.7</v>
      </c>
      <c r="D21" s="8">
        <f t="shared" si="0"/>
        <v>828.65000000000009</v>
      </c>
      <c r="E21" s="8">
        <f t="shared" si="1"/>
        <v>-733.5696130317283</v>
      </c>
      <c r="F21" s="42">
        <v>-2887.8</v>
      </c>
      <c r="G21" s="42">
        <v>-625.20000000000005</v>
      </c>
      <c r="H21" s="8">
        <f t="shared" si="12"/>
        <v>-1131.3000000000002</v>
      </c>
      <c r="I21" s="8">
        <f t="shared" si="2"/>
        <v>655.06311355615469</v>
      </c>
      <c r="J21" s="38">
        <f t="shared" si="3"/>
        <v>983.4795676095174</v>
      </c>
      <c r="K21" s="38">
        <f t="shared" si="4"/>
        <v>-41.764221471965307</v>
      </c>
      <c r="L21" s="38">
        <f t="shared" si="13"/>
        <v>138.2357785280347</v>
      </c>
      <c r="M21" s="16">
        <f t="shared" si="6"/>
        <v>-733.56961303172841</v>
      </c>
      <c r="N21" s="16">
        <f t="shared" si="7"/>
        <v>655.06311355615469</v>
      </c>
      <c r="O21" s="16">
        <f t="shared" si="8"/>
        <v>983.4795676095174</v>
      </c>
      <c r="P21" s="16">
        <f>M21-'"0" цикл 24.06'!M21</f>
        <v>-2.8460088758735083</v>
      </c>
      <c r="Q21" s="16">
        <f>N21-'"0" цикл 24.06'!N21</f>
        <v>31.448884293227934</v>
      </c>
      <c r="R21" s="16">
        <f t="shared" si="9"/>
        <v>31.577398401552802</v>
      </c>
      <c r="S21" s="16">
        <f t="shared" si="10"/>
        <v>95.170972904470247</v>
      </c>
      <c r="T21" s="16">
        <f t="shared" si="11"/>
        <v>95.170972904470247</v>
      </c>
    </row>
    <row r="22" spans="1:20" x14ac:dyDescent="0.45">
      <c r="A22" s="7">
        <v>9.5</v>
      </c>
      <c r="B22" s="42">
        <v>794.6</v>
      </c>
      <c r="C22" s="42">
        <v>-607.1</v>
      </c>
      <c r="D22" s="8">
        <f t="shared" si="0"/>
        <v>700.85</v>
      </c>
      <c r="E22" s="8">
        <f t="shared" si="1"/>
        <v>-735.57831191271862</v>
      </c>
      <c r="F22" s="42">
        <v>-3231.9</v>
      </c>
      <c r="G22" s="42">
        <v>-1084.7</v>
      </c>
      <c r="H22" s="8">
        <f t="shared" si="12"/>
        <v>-1073.5999999999999</v>
      </c>
      <c r="I22" s="8">
        <f t="shared" si="2"/>
        <v>657.80544839419406</v>
      </c>
      <c r="J22" s="38">
        <f t="shared" si="3"/>
        <v>986.8046721076322</v>
      </c>
      <c r="K22" s="38">
        <f t="shared" si="4"/>
        <v>-41.805303662971674</v>
      </c>
      <c r="L22" s="38">
        <f t="shared" si="13"/>
        <v>138.19469633702832</v>
      </c>
      <c r="M22" s="16">
        <f t="shared" si="6"/>
        <v>-735.57831191271839</v>
      </c>
      <c r="N22" s="16">
        <f t="shared" si="7"/>
        <v>657.80544839419429</v>
      </c>
      <c r="O22" s="16">
        <f t="shared" si="8"/>
        <v>986.80467210763209</v>
      </c>
      <c r="P22" s="16">
        <f>M22-'"0" цикл 24.06'!M22</f>
        <v>-2.9635752992456901</v>
      </c>
      <c r="Q22" s="16">
        <f>N22-'"0" цикл 24.06'!N22</f>
        <v>31.167697036057348</v>
      </c>
      <c r="R22" s="16">
        <f t="shared" si="9"/>
        <v>31.308275536761158</v>
      </c>
      <c r="S22" s="16">
        <f t="shared" si="10"/>
        <v>95.431629616165566</v>
      </c>
      <c r="T22" s="16">
        <f t="shared" si="11"/>
        <v>95.431629616165566</v>
      </c>
    </row>
    <row r="23" spans="1:20" x14ac:dyDescent="0.45">
      <c r="A23" s="7">
        <v>10</v>
      </c>
      <c r="B23" s="42">
        <v>390.3</v>
      </c>
      <c r="C23" s="42">
        <v>275.39999999999998</v>
      </c>
      <c r="D23" s="8">
        <f t="shared" si="0"/>
        <v>57.450000000000017</v>
      </c>
      <c r="E23" s="8">
        <f t="shared" si="1"/>
        <v>-737.277216985721</v>
      </c>
      <c r="F23" s="42">
        <v>-2728</v>
      </c>
      <c r="G23" s="42">
        <v>-2143.6999999999998</v>
      </c>
      <c r="H23" s="8">
        <f t="shared" si="12"/>
        <v>-292.15000000000009</v>
      </c>
      <c r="I23" s="8">
        <f t="shared" si="2"/>
        <v>660.40791648351319</v>
      </c>
      <c r="J23" s="38">
        <f t="shared" si="3"/>
        <v>989.80619862693572</v>
      </c>
      <c r="K23" s="38">
        <f t="shared" si="4"/>
        <v>-41.852042115209755</v>
      </c>
      <c r="L23" s="38">
        <f t="shared" si="13"/>
        <v>138.14795788479023</v>
      </c>
      <c r="M23" s="16">
        <f t="shared" si="6"/>
        <v>-737.27721698572088</v>
      </c>
      <c r="N23" s="16">
        <f t="shared" si="7"/>
        <v>660.40791648351342</v>
      </c>
      <c r="O23" s="16">
        <f t="shared" si="8"/>
        <v>989.80619862693572</v>
      </c>
      <c r="P23" s="16">
        <f>M23-'"0" цикл 24.06'!M23</f>
        <v>-3.083444837615275</v>
      </c>
      <c r="Q23" s="16">
        <f>N23-'"0" цикл 24.06'!N23</f>
        <v>31.354711557940732</v>
      </c>
      <c r="R23" s="16">
        <f t="shared" si="9"/>
        <v>31.505960847882079</v>
      </c>
      <c r="S23" s="16">
        <f t="shared" si="10"/>
        <v>95.61644916830501</v>
      </c>
      <c r="T23" s="16">
        <f t="shared" si="11"/>
        <v>95.61644916830501</v>
      </c>
    </row>
    <row r="24" spans="1:20" x14ac:dyDescent="0.45">
      <c r="A24" s="7">
        <v>10.5</v>
      </c>
      <c r="B24" s="42">
        <v>704.5</v>
      </c>
      <c r="C24" s="42">
        <v>-31.4</v>
      </c>
      <c r="D24" s="8">
        <f t="shared" si="0"/>
        <v>367.95</v>
      </c>
      <c r="E24" s="8">
        <f t="shared" si="1"/>
        <v>-737.41647971381917</v>
      </c>
      <c r="F24" s="42">
        <v>-3185.6</v>
      </c>
      <c r="G24" s="42">
        <v>-1984.5</v>
      </c>
      <c r="H24" s="8">
        <f t="shared" si="12"/>
        <v>-600.54999999999995</v>
      </c>
      <c r="I24" s="8">
        <f t="shared" si="2"/>
        <v>661.1161078314052</v>
      </c>
      <c r="J24" s="38">
        <f t="shared" si="3"/>
        <v>990.38253851108857</v>
      </c>
      <c r="K24" s="38">
        <f t="shared" si="4"/>
        <v>-41.87718428147263</v>
      </c>
      <c r="L24" s="38">
        <f t="shared" si="13"/>
        <v>138.12281571852736</v>
      </c>
      <c r="M24" s="16">
        <f t="shared" si="6"/>
        <v>-737.41647971381929</v>
      </c>
      <c r="N24" s="16">
        <f t="shared" si="7"/>
        <v>661.1161078314052</v>
      </c>
      <c r="O24" s="16">
        <f t="shared" si="8"/>
        <v>990.38253851108868</v>
      </c>
      <c r="P24" s="16">
        <f>M24-'"0" цикл 24.06'!M24</f>
        <v>-3.6374656223374586</v>
      </c>
      <c r="Q24" s="16">
        <f>N24-'"0" цикл 24.06'!N24</f>
        <v>31.271566105205807</v>
      </c>
      <c r="R24" s="16">
        <f t="shared" si="9"/>
        <v>31.482407830817888</v>
      </c>
      <c r="S24" s="16">
        <f t="shared" si="10"/>
        <v>96.634750811664063</v>
      </c>
      <c r="T24" s="16">
        <f t="shared" si="11"/>
        <v>96.634750811664063</v>
      </c>
    </row>
    <row r="25" spans="1:20" x14ac:dyDescent="0.45">
      <c r="A25" s="7">
        <v>11</v>
      </c>
      <c r="B25" s="42">
        <v>1841.2</v>
      </c>
      <c r="C25" s="42">
        <v>373.6</v>
      </c>
      <c r="D25" s="8">
        <f t="shared" si="0"/>
        <v>733.8</v>
      </c>
      <c r="E25" s="8">
        <f t="shared" si="1"/>
        <v>-738.30841521058755</v>
      </c>
      <c r="F25" s="42">
        <v>-4162.8999999999996</v>
      </c>
      <c r="G25" s="42">
        <v>-2236.8000000000002</v>
      </c>
      <c r="H25" s="8">
        <f t="shared" si="12"/>
        <v>-963.04999999999973</v>
      </c>
      <c r="I25" s="8">
        <f t="shared" si="2"/>
        <v>662.57188005556338</v>
      </c>
      <c r="J25" s="38">
        <f t="shared" si="3"/>
        <v>992.01855436838139</v>
      </c>
      <c r="K25" s="38">
        <f t="shared" si="4"/>
        <v>-41.905400538964933</v>
      </c>
      <c r="L25" s="38">
        <f t="shared" si="13"/>
        <v>138.09459946103507</v>
      </c>
      <c r="M25" s="16">
        <f t="shared" si="6"/>
        <v>-738.30841521058755</v>
      </c>
      <c r="N25" s="16">
        <f t="shared" si="7"/>
        <v>662.57188005556338</v>
      </c>
      <c r="O25" s="16">
        <f t="shared" si="8"/>
        <v>992.01855436838139</v>
      </c>
      <c r="P25" s="16">
        <f>M25-'"0" цикл 24.06'!M25</f>
        <v>-4.1895467548166607</v>
      </c>
      <c r="Q25" s="16">
        <f>N25-'"0" цикл 24.06'!N25</f>
        <v>31.228660281699945</v>
      </c>
      <c r="R25" s="16">
        <f t="shared" si="9"/>
        <v>31.50843577521135</v>
      </c>
      <c r="S25" s="16">
        <f t="shared" si="10"/>
        <v>97.64101274113996</v>
      </c>
      <c r="T25" s="16">
        <f t="shared" si="11"/>
        <v>97.64101274113996</v>
      </c>
    </row>
    <row r="26" spans="1:20" x14ac:dyDescent="0.45">
      <c r="A26" s="7">
        <v>11.5</v>
      </c>
      <c r="B26" s="42">
        <v>3169.1</v>
      </c>
      <c r="C26" s="42">
        <v>865.6</v>
      </c>
      <c r="D26" s="8">
        <f t="shared" si="0"/>
        <v>1151.75</v>
      </c>
      <c r="E26" s="8">
        <f t="shared" si="1"/>
        <v>-740.08719285446296</v>
      </c>
      <c r="F26" s="42">
        <v>-5493.5</v>
      </c>
      <c r="G26" s="42">
        <v>-2784.4</v>
      </c>
      <c r="H26" s="8">
        <f t="shared" si="12"/>
        <v>-1354.55</v>
      </c>
      <c r="I26" s="8">
        <f t="shared" si="2"/>
        <v>664.90637065169949</v>
      </c>
      <c r="J26" s="38">
        <f t="shared" si="3"/>
        <v>994.90177141284357</v>
      </c>
      <c r="K26" s="38">
        <f t="shared" si="4"/>
        <v>-41.937039625944678</v>
      </c>
      <c r="L26" s="38">
        <f t="shared" si="13"/>
        <v>138.06296037405531</v>
      </c>
      <c r="M26" s="16">
        <f t="shared" si="6"/>
        <v>-740.08719285446239</v>
      </c>
      <c r="N26" s="16">
        <f t="shared" si="7"/>
        <v>664.90637065169994</v>
      </c>
      <c r="O26" s="16">
        <f t="shared" si="8"/>
        <v>994.90177141284346</v>
      </c>
      <c r="P26" s="16">
        <f>M26-'"0" цикл 24.06'!M26</f>
        <v>-4.5632149968575959</v>
      </c>
      <c r="Q26" s="16">
        <f>N26-'"0" цикл 24.06'!N26</f>
        <v>31.160665925850708</v>
      </c>
      <c r="R26" s="16">
        <f t="shared" si="9"/>
        <v>31.493015607433016</v>
      </c>
      <c r="S26" s="16">
        <f t="shared" si="10"/>
        <v>98.331262357099803</v>
      </c>
      <c r="T26" s="16">
        <f t="shared" si="11"/>
        <v>98.331262357099803</v>
      </c>
    </row>
    <row r="27" spans="1:20" x14ac:dyDescent="0.45">
      <c r="A27" s="7">
        <v>12</v>
      </c>
      <c r="B27" s="42">
        <v>4128</v>
      </c>
      <c r="C27" s="42">
        <v>1133</v>
      </c>
      <c r="D27" s="8">
        <f t="shared" si="0"/>
        <v>1497.5</v>
      </c>
      <c r="E27" s="8">
        <f t="shared" si="1"/>
        <v>-742.87909913222529</v>
      </c>
      <c r="F27" s="42">
        <v>-6530.9</v>
      </c>
      <c r="G27" s="42">
        <v>-3107.1</v>
      </c>
      <c r="H27" s="8">
        <f t="shared" si="12"/>
        <v>-1711.8999999999999</v>
      </c>
      <c r="I27" s="8">
        <f t="shared" si="2"/>
        <v>668.18986890958979</v>
      </c>
      <c r="J27" s="38">
        <f>SQRT(E27^2+I27^2)</f>
        <v>999.17318661026991</v>
      </c>
      <c r="K27" s="38">
        <f t="shared" si="4"/>
        <v>-41.970107076734259</v>
      </c>
      <c r="L27" s="38">
        <f t="shared" si="13"/>
        <v>138.02989292326575</v>
      </c>
      <c r="M27" s="16">
        <f>J27*COS(RADIANS(L27))</f>
        <v>-742.87909913222529</v>
      </c>
      <c r="N27" s="16">
        <f t="shared" si="7"/>
        <v>668.18986890958956</v>
      </c>
      <c r="O27" s="16">
        <f t="shared" si="8"/>
        <v>999.17318661026979</v>
      </c>
      <c r="P27" s="16">
        <f>M27-'"0" цикл 24.06'!M27</f>
        <v>-4.9886333291003666</v>
      </c>
      <c r="Q27" s="16">
        <f>N27-'"0" цикл 24.06'!N27</f>
        <v>31.065038549944006</v>
      </c>
      <c r="R27" s="16">
        <f t="shared" si="9"/>
        <v>31.463043123666825</v>
      </c>
      <c r="S27" s="16">
        <f t="shared" si="10"/>
        <v>99.123052619386456</v>
      </c>
      <c r="T27" s="16">
        <f t="shared" si="11"/>
        <v>99.123052619386456</v>
      </c>
    </row>
    <row r="28" spans="1:20" x14ac:dyDescent="0.45">
      <c r="A28" s="7">
        <v>12.5</v>
      </c>
      <c r="B28" s="42">
        <v>3924.6</v>
      </c>
      <c r="C28" s="42">
        <v>486.5</v>
      </c>
      <c r="D28" s="8">
        <f t="shared" si="0"/>
        <v>1719.05</v>
      </c>
      <c r="E28" s="8">
        <f t="shared" si="1"/>
        <v>-746.50910968040057</v>
      </c>
      <c r="F28" s="42">
        <v>-6430.8</v>
      </c>
      <c r="G28" s="42">
        <v>-2394.8000000000002</v>
      </c>
      <c r="H28" s="8">
        <f t="shared" si="12"/>
        <v>-2018</v>
      </c>
      <c r="I28" s="8">
        <f t="shared" si="2"/>
        <v>672.33958397246749</v>
      </c>
      <c r="J28" s="38">
        <f t="shared" si="3"/>
        <v>1004.6473844150967</v>
      </c>
      <c r="K28" s="38">
        <f t="shared" si="4"/>
        <v>-42.007618712054402</v>
      </c>
      <c r="L28" s="38">
        <f t="shared" si="13"/>
        <v>137.99238128794559</v>
      </c>
      <c r="M28" s="16">
        <f t="shared" si="6"/>
        <v>-746.50910968040023</v>
      </c>
      <c r="N28" s="16">
        <f t="shared" si="7"/>
        <v>672.33958397246784</v>
      </c>
      <c r="O28" s="16">
        <f t="shared" si="8"/>
        <v>1004.6473844150967</v>
      </c>
      <c r="P28" s="16">
        <f>M28-'"0" цикл 24.06'!M28</f>
        <v>-5.1379521672474766</v>
      </c>
      <c r="Q28" s="16">
        <f>N28-'"0" цикл 24.06'!N28</f>
        <v>30.723257672612704</v>
      </c>
      <c r="R28" s="16">
        <f t="shared" si="9"/>
        <v>31.149913555107634</v>
      </c>
      <c r="S28" s="16">
        <f t="shared" si="10"/>
        <v>99.49390827527418</v>
      </c>
      <c r="T28" s="16">
        <f t="shared" si="11"/>
        <v>99.49390827527418</v>
      </c>
    </row>
    <row r="29" spans="1:20" x14ac:dyDescent="0.45">
      <c r="A29" s="7">
        <v>13</v>
      </c>
      <c r="B29" s="42">
        <v>1198.9000000000001</v>
      </c>
      <c r="C29" s="42">
        <v>-943.7</v>
      </c>
      <c r="D29" s="8">
        <f t="shared" si="0"/>
        <v>1071.3000000000002</v>
      </c>
      <c r="E29" s="8">
        <f t="shared" si="1"/>
        <v>-750.67615623294921</v>
      </c>
      <c r="F29" s="42">
        <v>-3655.5</v>
      </c>
      <c r="G29" s="42">
        <v>-1003.4</v>
      </c>
      <c r="H29" s="8">
        <f t="shared" si="12"/>
        <v>-1326.05</v>
      </c>
      <c r="I29" s="8">
        <f t="shared" si="2"/>
        <v>677.23127597710868</v>
      </c>
      <c r="J29" s="38">
        <f t="shared" si="3"/>
        <v>1011.0177509313365</v>
      </c>
      <c r="K29" s="38">
        <f t="shared" si="4"/>
        <v>-42.05556782339638</v>
      </c>
      <c r="L29" s="38">
        <f t="shared" si="13"/>
        <v>137.94443217660361</v>
      </c>
      <c r="M29" s="16">
        <f t="shared" si="6"/>
        <v>-750.67615623294921</v>
      </c>
      <c r="N29" s="16">
        <f t="shared" si="7"/>
        <v>677.23127597710879</v>
      </c>
      <c r="O29" s="16">
        <f t="shared" si="8"/>
        <v>1011.0177509313366</v>
      </c>
      <c r="P29" s="16">
        <f>M29-'"0" цикл 24.06'!M29</f>
        <v>-4.9637891573995603</v>
      </c>
      <c r="Q29" s="16">
        <f>N29-'"0" цикл 24.06'!N29</f>
        <v>30.046131264689279</v>
      </c>
      <c r="R29" s="16">
        <f t="shared" si="9"/>
        <v>30.453394010751182</v>
      </c>
      <c r="S29" s="16">
        <f t="shared" si="10"/>
        <v>99.380852545242846</v>
      </c>
      <c r="T29" s="16">
        <f t="shared" si="11"/>
        <v>99.380852545242846</v>
      </c>
    </row>
    <row r="30" spans="1:20" x14ac:dyDescent="0.45">
      <c r="A30" s="7">
        <v>13.5</v>
      </c>
      <c r="B30" s="42">
        <v>541</v>
      </c>
      <c r="C30" s="42">
        <v>-1311.3</v>
      </c>
      <c r="D30" s="8">
        <f t="shared" si="0"/>
        <v>926.15</v>
      </c>
      <c r="E30" s="8">
        <f t="shared" si="1"/>
        <v>-753.27304904029643</v>
      </c>
      <c r="F30" s="42">
        <v>-2871.1</v>
      </c>
      <c r="G30" s="42">
        <v>-585.1</v>
      </c>
      <c r="H30" s="8">
        <f t="shared" si="12"/>
        <v>-1143</v>
      </c>
      <c r="I30" s="8">
        <f t="shared" si="2"/>
        <v>680.44568974401443</v>
      </c>
      <c r="J30" s="38">
        <f t="shared" si="3"/>
        <v>1015.0993168659273</v>
      </c>
      <c r="K30" s="38">
        <f t="shared" si="4"/>
        <v>-42.092095619119974</v>
      </c>
      <c r="L30" s="38">
        <f t="shared" si="13"/>
        <v>137.90790438088004</v>
      </c>
      <c r="M30" s="16">
        <f t="shared" si="6"/>
        <v>-753.27304904029654</v>
      </c>
      <c r="N30" s="16">
        <f t="shared" si="7"/>
        <v>680.4456897440142</v>
      </c>
      <c r="O30" s="16">
        <f t="shared" si="8"/>
        <v>1015.0993168659273</v>
      </c>
      <c r="P30" s="16">
        <f>M30-'"0" цикл 24.06'!M30</f>
        <v>-4.8833112058076722</v>
      </c>
      <c r="Q30" s="16">
        <f>N30-'"0" цикл 24.06'!N30</f>
        <v>29.529453569767838</v>
      </c>
      <c r="R30" s="16">
        <f t="shared" si="9"/>
        <v>29.930508790560868</v>
      </c>
      <c r="S30" s="16">
        <f t="shared" si="10"/>
        <v>99.390069551237474</v>
      </c>
      <c r="T30" s="16">
        <f t="shared" si="11"/>
        <v>99.390069551237474</v>
      </c>
    </row>
    <row r="31" spans="1:20" x14ac:dyDescent="0.45">
      <c r="A31" s="7">
        <v>14</v>
      </c>
      <c r="B31" s="42">
        <v>-107.2</v>
      </c>
      <c r="C31" s="42">
        <v>-1445.9</v>
      </c>
      <c r="D31" s="8">
        <f t="shared" si="0"/>
        <v>669.35</v>
      </c>
      <c r="E31" s="8">
        <f t="shared" si="1"/>
        <v>-755.51809245035099</v>
      </c>
      <c r="F31" s="42">
        <v>-2311.1999999999998</v>
      </c>
      <c r="G31" s="42">
        <v>-434.7</v>
      </c>
      <c r="H31" s="8">
        <f t="shared" si="12"/>
        <v>-938.24999999999989</v>
      </c>
      <c r="I31" s="8">
        <f t="shared" si="2"/>
        <v>683.21638575138729</v>
      </c>
      <c r="J31" s="38">
        <f t="shared" si="3"/>
        <v>1018.6227062946347</v>
      </c>
      <c r="K31" s="38">
        <f t="shared" si="4"/>
        <v>-42.123096226878658</v>
      </c>
      <c r="L31" s="38">
        <f t="shared" si="13"/>
        <v>137.87690377312134</v>
      </c>
      <c r="M31" s="16">
        <f t="shared" si="6"/>
        <v>-755.51809245035088</v>
      </c>
      <c r="N31" s="16">
        <f t="shared" si="7"/>
        <v>683.21638575138741</v>
      </c>
      <c r="O31" s="16">
        <f t="shared" si="8"/>
        <v>1018.6227062946347</v>
      </c>
      <c r="P31" s="16">
        <f>M31-'"0" цикл 24.06'!M31</f>
        <v>-5.1460778700620722</v>
      </c>
      <c r="Q31" s="16">
        <f>N31-'"0" цикл 24.06'!N31</f>
        <v>29.384375421881487</v>
      </c>
      <c r="R31" s="16">
        <f t="shared" si="9"/>
        <v>29.831587895699005</v>
      </c>
      <c r="S31" s="16">
        <f t="shared" si="10"/>
        <v>99.933457716024591</v>
      </c>
      <c r="T31" s="16">
        <f t="shared" si="11"/>
        <v>99.933457716024591</v>
      </c>
    </row>
    <row r="32" spans="1:20" x14ac:dyDescent="0.45">
      <c r="A32" s="7">
        <v>14.5</v>
      </c>
      <c r="B32" s="42">
        <v>-594.70000000000005</v>
      </c>
      <c r="C32" s="42">
        <v>-1311.5</v>
      </c>
      <c r="D32" s="8">
        <f t="shared" si="0"/>
        <v>358.4</v>
      </c>
      <c r="E32" s="8">
        <f t="shared" si="1"/>
        <v>-757.14063978984734</v>
      </c>
      <c r="F32" s="42">
        <v>-1765.4</v>
      </c>
      <c r="G32" s="42">
        <v>-594.5</v>
      </c>
      <c r="H32" s="8">
        <f t="shared" si="12"/>
        <v>-585.45000000000005</v>
      </c>
      <c r="I32" s="8">
        <f t="shared" si="2"/>
        <v>685.49076008959605</v>
      </c>
      <c r="J32" s="38">
        <f t="shared" si="3"/>
        <v>1021.3518152867755</v>
      </c>
      <c r="K32" s="38">
        <f t="shared" si="4"/>
        <v>-42.156678271812829</v>
      </c>
      <c r="L32" s="38">
        <f t="shared" si="13"/>
        <v>137.84332172818716</v>
      </c>
      <c r="M32" s="16">
        <f t="shared" si="6"/>
        <v>-757.14063978984723</v>
      </c>
      <c r="N32" s="16">
        <f t="shared" si="7"/>
        <v>685.49076008959628</v>
      </c>
      <c r="O32" s="16">
        <f t="shared" si="8"/>
        <v>1021.3518152867756</v>
      </c>
      <c r="P32" s="16">
        <f>M32-'"0" цикл 24.06'!M32</f>
        <v>-5.8793561838064079</v>
      </c>
      <c r="Q32" s="16">
        <f>N32-'"0" цикл 24.06'!N32</f>
        <v>29.672473332918003</v>
      </c>
      <c r="R32" s="16">
        <f t="shared" si="9"/>
        <v>30.249338882507708</v>
      </c>
      <c r="S32" s="16">
        <f t="shared" si="10"/>
        <v>101.20752182503382</v>
      </c>
      <c r="T32" s="16">
        <f t="shared" si="11"/>
        <v>101.20752182503382</v>
      </c>
    </row>
    <row r="33" spans="1:20" x14ac:dyDescent="0.45">
      <c r="A33" s="7">
        <v>15</v>
      </c>
      <c r="B33" s="42">
        <v>-1068.5999999999999</v>
      </c>
      <c r="C33" s="42">
        <v>-926.6</v>
      </c>
      <c r="D33" s="8">
        <f t="shared" si="0"/>
        <v>-70.999999999999943</v>
      </c>
      <c r="E33" s="8">
        <f t="shared" si="1"/>
        <v>-758.00942546922874</v>
      </c>
      <c r="F33" s="42">
        <v>-1386.8</v>
      </c>
      <c r="G33" s="42">
        <v>-1008.2</v>
      </c>
      <c r="H33" s="8">
        <f t="shared" si="12"/>
        <v>-189.29999999999995</v>
      </c>
      <c r="I33" s="8">
        <f t="shared" si="2"/>
        <v>686.90992903210793</v>
      </c>
      <c r="J33" s="38">
        <f t="shared" si="3"/>
        <v>1022.9484540792297</v>
      </c>
      <c r="K33" s="38">
        <f t="shared" si="4"/>
        <v>-42.182944526441766</v>
      </c>
      <c r="L33" s="38">
        <f t="shared" si="13"/>
        <v>137.81705547355824</v>
      </c>
      <c r="M33" s="16">
        <f t="shared" si="6"/>
        <v>-758.00942546922874</v>
      </c>
      <c r="N33" s="16">
        <f t="shared" si="7"/>
        <v>686.90992903210793</v>
      </c>
      <c r="O33" s="16">
        <f t="shared" si="8"/>
        <v>1022.9484540792297</v>
      </c>
      <c r="P33" s="16">
        <f>M33-'"0" цикл 24.06'!M33</f>
        <v>-6.5726393142302868</v>
      </c>
      <c r="Q33" s="16">
        <f>N33-'"0" цикл 24.06'!N33</f>
        <v>29.976692936304403</v>
      </c>
      <c r="R33" s="16">
        <f t="shared" si="9"/>
        <v>30.688787968123599</v>
      </c>
      <c r="S33" s="16">
        <f t="shared" si="10"/>
        <v>102.36687887061514</v>
      </c>
      <c r="T33" s="16">
        <f t="shared" si="11"/>
        <v>102.36687887061514</v>
      </c>
    </row>
    <row r="34" spans="1:20" x14ac:dyDescent="0.45">
      <c r="A34" s="7">
        <v>15.5</v>
      </c>
      <c r="B34" s="42">
        <v>-1167.9000000000001</v>
      </c>
      <c r="C34" s="42">
        <v>-675.5</v>
      </c>
      <c r="D34" s="8">
        <f t="shared" ref="D34:D54" si="14">(B34-C34)/2</f>
        <v>-246.20000000000005</v>
      </c>
      <c r="E34" s="8">
        <f t="shared" si="1"/>
        <v>-757.83731661583363</v>
      </c>
      <c r="F34" s="42">
        <v>-1132.7</v>
      </c>
      <c r="G34" s="42">
        <v>-1324.8</v>
      </c>
      <c r="H34" s="8">
        <f t="shared" si="12"/>
        <v>96.049999999999955</v>
      </c>
      <c r="I34" s="8">
        <f t="shared" si="2"/>
        <v>687.36880511686184</v>
      </c>
      <c r="J34" s="38">
        <f t="shared" si="3"/>
        <v>1023.12915739083</v>
      </c>
      <c r="K34" s="38">
        <f t="shared" ref="K34:K51" si="15">IF(E34&gt;=0,180-DEGREES(ASIN(-I34/J34)),IF(E34&lt;0,DEGREES(ASIN(-I34/J34)),360-DEGREES(ASIN(I34/J34))))</f>
        <v>-42.208458390545587</v>
      </c>
      <c r="L34" s="38">
        <f t="shared" si="13"/>
        <v>137.79154160945441</v>
      </c>
      <c r="M34" s="16">
        <f t="shared" si="6"/>
        <v>-757.83731661583374</v>
      </c>
      <c r="N34" s="16">
        <f t="shared" si="7"/>
        <v>687.36880511686172</v>
      </c>
      <c r="O34" s="16">
        <f t="shared" si="8"/>
        <v>1023.12915739083</v>
      </c>
      <c r="P34" s="16">
        <f>M34-'"0" цикл 24.06'!M34</f>
        <v>-7.1102974516065842</v>
      </c>
      <c r="Q34" s="16">
        <f>N34-'"0" цикл 24.06'!N34</f>
        <v>30.174981679258963</v>
      </c>
      <c r="R34" s="16">
        <f t="shared" si="9"/>
        <v>31.001384633495601</v>
      </c>
      <c r="S34" s="16">
        <f t="shared" si="10"/>
        <v>103.25905318626648</v>
      </c>
      <c r="T34" s="16">
        <f t="shared" si="11"/>
        <v>103.25905318626648</v>
      </c>
    </row>
    <row r="35" spans="1:20" x14ac:dyDescent="0.45">
      <c r="A35" s="7">
        <v>16</v>
      </c>
      <c r="B35" s="42">
        <v>-2084</v>
      </c>
      <c r="C35" s="42">
        <v>-1546</v>
      </c>
      <c r="D35" s="8">
        <f t="shared" si="14"/>
        <v>-269</v>
      </c>
      <c r="E35" s="8">
        <f t="shared" si="1"/>
        <v>-757.24051111610004</v>
      </c>
      <c r="F35" s="42">
        <v>-430.3</v>
      </c>
      <c r="G35" s="42">
        <v>-188.7</v>
      </c>
      <c r="H35" s="8">
        <f t="shared" si="12"/>
        <v>-120.80000000000001</v>
      </c>
      <c r="I35" s="8">
        <f t="shared" si="2"/>
        <v>687.13597335492364</v>
      </c>
      <c r="J35" s="38">
        <f>SQRT(E35^2+I35^2)</f>
        <v>1022.5307024993385</v>
      </c>
      <c r="K35" s="38">
        <f t="shared" si="15"/>
        <v>-42.221261556831074</v>
      </c>
      <c r="L35" s="38">
        <f t="shared" si="13"/>
        <v>137.77873844316892</v>
      </c>
      <c r="M35" s="16">
        <f t="shared" si="6"/>
        <v>-757.24051111609992</v>
      </c>
      <c r="N35" s="16">
        <f t="shared" si="7"/>
        <v>687.13597335492375</v>
      </c>
      <c r="O35" s="16">
        <f t="shared" si="8"/>
        <v>1022.5307024993385</v>
      </c>
      <c r="P35" s="16">
        <f>M35-'"0" цикл 24.06'!M35</f>
        <v>-6.9739436804246679</v>
      </c>
      <c r="Q35" s="16">
        <f>N35-'"0" цикл 24.06'!N35</f>
        <v>29.537451741202403</v>
      </c>
      <c r="R35" s="16">
        <f t="shared" si="9"/>
        <v>30.349579005673142</v>
      </c>
      <c r="S35" s="16">
        <f t="shared" si="10"/>
        <v>103.284541515193</v>
      </c>
      <c r="T35" s="16">
        <f t="shared" si="11"/>
        <v>103.284541515193</v>
      </c>
    </row>
    <row r="36" spans="1:20" x14ac:dyDescent="0.45">
      <c r="A36" s="7">
        <v>16.5</v>
      </c>
      <c r="B36" s="42">
        <v>-1549.2</v>
      </c>
      <c r="C36" s="42">
        <v>-1745.6</v>
      </c>
      <c r="D36" s="8">
        <f t="shared" si="14"/>
        <v>98.199999999999932</v>
      </c>
      <c r="E36" s="8">
        <f t="shared" si="1"/>
        <v>-756.58843689984951</v>
      </c>
      <c r="F36" s="42">
        <v>-981.4</v>
      </c>
      <c r="G36" s="42">
        <v>40.6</v>
      </c>
      <c r="H36" s="8">
        <f t="shared" si="12"/>
        <v>-511</v>
      </c>
      <c r="I36" s="8">
        <f t="shared" si="2"/>
        <v>687.4288008015742</v>
      </c>
      <c r="J36" s="38">
        <f t="shared" si="3"/>
        <v>1022.2447940792108</v>
      </c>
      <c r="K36" s="38">
        <f t="shared" si="15"/>
        <v>-42.257976210045534</v>
      </c>
      <c r="L36" s="38">
        <f t="shared" si="13"/>
        <v>137.74202378995446</v>
      </c>
      <c r="M36" s="16">
        <f t="shared" si="6"/>
        <v>-756.58843689984951</v>
      </c>
      <c r="N36" s="16">
        <f t="shared" si="7"/>
        <v>687.42880080157431</v>
      </c>
      <c r="O36" s="16">
        <f t="shared" si="8"/>
        <v>1022.2447940792108</v>
      </c>
      <c r="P36" s="16">
        <f>M36-'"0" цикл 24.06'!M36</f>
        <v>-6.0803110569578394</v>
      </c>
      <c r="Q36" s="16">
        <f>N36-'"0" цикл 24.06'!N36</f>
        <v>28.255243346194334</v>
      </c>
      <c r="R36" s="16">
        <f t="shared" si="9"/>
        <v>28.902058042672721</v>
      </c>
      <c r="S36" s="16">
        <f t="shared" si="10"/>
        <v>102.14441142191632</v>
      </c>
      <c r="T36" s="16">
        <f t="shared" si="11"/>
        <v>102.14441142191632</v>
      </c>
    </row>
    <row r="37" spans="1:20" x14ac:dyDescent="0.45">
      <c r="A37" s="7">
        <v>17</v>
      </c>
      <c r="B37" s="42">
        <v>-1197.4000000000001</v>
      </c>
      <c r="C37" s="42">
        <v>-1631.4</v>
      </c>
      <c r="D37" s="8">
        <f t="shared" si="14"/>
        <v>217</v>
      </c>
      <c r="E37" s="8">
        <f t="shared" si="1"/>
        <v>-756.8264804082819</v>
      </c>
      <c r="F37" s="42">
        <v>-1139.4000000000001</v>
      </c>
      <c r="G37" s="42">
        <v>-83.1</v>
      </c>
      <c r="H37" s="8">
        <f t="shared" si="12"/>
        <v>-528.15000000000009</v>
      </c>
      <c r="I37" s="8">
        <f t="shared" si="2"/>
        <v>688.66749848972358</v>
      </c>
      <c r="J37" s="38">
        <f t="shared" si="3"/>
        <v>1023.2542425630498</v>
      </c>
      <c r="K37" s="38">
        <f t="shared" si="15"/>
        <v>-42.300347391216818</v>
      </c>
      <c r="L37" s="38">
        <f t="shared" si="13"/>
        <v>137.6996526087832</v>
      </c>
      <c r="M37" s="16">
        <f t="shared" si="6"/>
        <v>-756.82648040828201</v>
      </c>
      <c r="N37" s="16">
        <f t="shared" si="7"/>
        <v>688.66749848972324</v>
      </c>
      <c r="O37" s="16">
        <f t="shared" si="8"/>
        <v>1023.2542425630497</v>
      </c>
      <c r="P37" s="16">
        <f>M37-'"0" цикл 24.06'!M37</f>
        <v>-5.5859225585995773</v>
      </c>
      <c r="Q37" s="16">
        <f>N37-'"0" цикл 24.06'!N37</f>
        <v>27.726920048327656</v>
      </c>
      <c r="R37" s="16">
        <f t="shared" si="9"/>
        <v>28.283999473147816</v>
      </c>
      <c r="S37" s="16">
        <f t="shared" si="10"/>
        <v>101.39045798409025</v>
      </c>
      <c r="T37" s="16">
        <f t="shared" si="11"/>
        <v>101.39045798409025</v>
      </c>
    </row>
    <row r="38" spans="1:20" x14ac:dyDescent="0.45">
      <c r="A38" s="7">
        <v>17.5</v>
      </c>
      <c r="B38" s="42">
        <v>-1397.8</v>
      </c>
      <c r="C38" s="42">
        <v>-1130.9000000000001</v>
      </c>
      <c r="D38" s="8">
        <f t="shared" si="14"/>
        <v>-133.44999999999993</v>
      </c>
      <c r="E38" s="8">
        <f t="shared" si="1"/>
        <v>-757.35250315525207</v>
      </c>
      <c r="F38" s="42">
        <v>-1042.4000000000001</v>
      </c>
      <c r="G38" s="42">
        <v>-611.70000000000005</v>
      </c>
      <c r="H38" s="8">
        <f t="shared" si="12"/>
        <v>-215.35000000000002</v>
      </c>
      <c r="I38" s="8">
        <f t="shared" si="2"/>
        <v>689.94776881912208</v>
      </c>
      <c r="J38" s="38">
        <f t="shared" si="3"/>
        <v>1024.5051184518361</v>
      </c>
      <c r="K38" s="38">
        <f t="shared" si="15"/>
        <v>-42.333505532161467</v>
      </c>
      <c r="L38" s="38">
        <f t="shared" si="13"/>
        <v>137.66649446783853</v>
      </c>
      <c r="M38" s="16">
        <f t="shared" si="6"/>
        <v>-757.35250315525207</v>
      </c>
      <c r="N38" s="16">
        <f t="shared" si="7"/>
        <v>689.94776881912196</v>
      </c>
      <c r="O38" s="16">
        <f t="shared" si="8"/>
        <v>1024.5051184518361</v>
      </c>
      <c r="P38" s="16">
        <f>M38-'"0" цикл 24.06'!M38</f>
        <v>-6.1692745232355719</v>
      </c>
      <c r="Q38" s="16">
        <f>N38-'"0" цикл 24.06'!N38</f>
        <v>28.099013648955292</v>
      </c>
      <c r="R38" s="16">
        <f t="shared" si="9"/>
        <v>28.768290115806661</v>
      </c>
      <c r="S38" s="16">
        <f t="shared" si="10"/>
        <v>102.38308810706597</v>
      </c>
      <c r="T38" s="16">
        <f t="shared" si="11"/>
        <v>102.38308810706597</v>
      </c>
    </row>
    <row r="39" spans="1:20" x14ac:dyDescent="0.45">
      <c r="A39" s="7">
        <v>18</v>
      </c>
      <c r="B39" s="42">
        <v>-2176.8000000000002</v>
      </c>
      <c r="C39" s="42">
        <v>220</v>
      </c>
      <c r="D39" s="8">
        <f t="shared" si="14"/>
        <v>-1198.4000000000001</v>
      </c>
      <c r="E39" s="8">
        <f t="shared" si="1"/>
        <v>-757.02901124909999</v>
      </c>
      <c r="F39" s="42">
        <v>-149</v>
      </c>
      <c r="G39" s="42">
        <v>-1952.7</v>
      </c>
      <c r="H39" s="8">
        <f t="shared" si="12"/>
        <v>901.85</v>
      </c>
      <c r="I39" s="8">
        <f t="shared" si="2"/>
        <v>690.46979185541977</v>
      </c>
      <c r="J39" s="38">
        <f t="shared" si="3"/>
        <v>1024.6177127776273</v>
      </c>
      <c r="K39" s="38">
        <f t="shared" si="15"/>
        <v>-42.367266901510341</v>
      </c>
      <c r="L39" s="38">
        <f t="shared" si="13"/>
        <v>137.63273309848967</v>
      </c>
      <c r="M39" s="16">
        <f t="shared" si="6"/>
        <v>-757.02901124909977</v>
      </c>
      <c r="N39" s="16">
        <f t="shared" si="7"/>
        <v>690.46979185541977</v>
      </c>
      <c r="O39" s="16">
        <f t="shared" si="8"/>
        <v>1024.6177127776273</v>
      </c>
      <c r="P39" s="16">
        <f>M39-'"0" цикл 24.06'!M39</f>
        <v>-7.1441121960621103</v>
      </c>
      <c r="Q39" s="16">
        <f>N39-'"0" цикл 24.06'!N39</f>
        <v>28.920166708654051</v>
      </c>
      <c r="R39" s="16">
        <f t="shared" si="9"/>
        <v>29.789501196331997</v>
      </c>
      <c r="S39" s="16">
        <f t="shared" si="10"/>
        <v>103.8759050153888</v>
      </c>
      <c r="T39" s="16">
        <f t="shared" si="11"/>
        <v>103.8759050153888</v>
      </c>
    </row>
    <row r="40" spans="1:20" x14ac:dyDescent="0.45">
      <c r="A40" s="7">
        <v>18.5</v>
      </c>
      <c r="B40" s="42">
        <v>-2835</v>
      </c>
      <c r="C40" s="42">
        <v>1099.5999999999999</v>
      </c>
      <c r="D40" s="8">
        <f t="shared" si="14"/>
        <v>-1967.3</v>
      </c>
      <c r="E40" s="8">
        <f t="shared" si="1"/>
        <v>-754.12402401550287</v>
      </c>
      <c r="F40" s="42">
        <v>384.3</v>
      </c>
      <c r="G40" s="42">
        <v>-2782.1</v>
      </c>
      <c r="H40" s="8">
        <f t="shared" si="12"/>
        <v>1583.2</v>
      </c>
      <c r="I40" s="8">
        <f t="shared" si="2"/>
        <v>688.28365272927351</v>
      </c>
      <c r="J40" s="38">
        <f t="shared" si="3"/>
        <v>1020.9982518161752</v>
      </c>
      <c r="K40" s="38">
        <f t="shared" si="15"/>
        <v>-42.386481836972898</v>
      </c>
      <c r="L40" s="38">
        <f t="shared" si="13"/>
        <v>137.61351816302709</v>
      </c>
      <c r="M40" s="16">
        <f t="shared" si="6"/>
        <v>-754.12402401550287</v>
      </c>
      <c r="N40" s="16">
        <f t="shared" si="7"/>
        <v>688.28365272927363</v>
      </c>
      <c r="O40" s="16">
        <f t="shared" si="8"/>
        <v>1020.9982518161753</v>
      </c>
      <c r="P40" s="16">
        <f>M40-'"0" цикл 24.06'!M40</f>
        <v>-7.4626287975089554</v>
      </c>
      <c r="Q40" s="16">
        <f>N40-'"0" цикл 24.06'!N40</f>
        <v>29.068396976544705</v>
      </c>
      <c r="R40" s="16">
        <f t="shared" si="9"/>
        <v>30.011040157838636</v>
      </c>
      <c r="S40" s="16">
        <f t="shared" si="10"/>
        <v>104.39839674145296</v>
      </c>
      <c r="T40" s="16">
        <f t="shared" si="11"/>
        <v>104.39839674145296</v>
      </c>
    </row>
    <row r="41" spans="1:20" x14ac:dyDescent="0.45">
      <c r="A41" s="7">
        <v>19</v>
      </c>
      <c r="B41" s="42">
        <v>-2488.9</v>
      </c>
      <c r="C41" s="42">
        <v>-564.29999999999995</v>
      </c>
      <c r="D41" s="8">
        <f t="shared" si="14"/>
        <v>-962.30000000000007</v>
      </c>
      <c r="E41" s="8">
        <f t="shared" si="1"/>
        <v>-749.35522654374245</v>
      </c>
      <c r="F41" s="42">
        <v>126.7</v>
      </c>
      <c r="G41" s="42">
        <v>-1318</v>
      </c>
      <c r="H41" s="8">
        <f t="shared" si="12"/>
        <v>722.35</v>
      </c>
      <c r="I41" s="8">
        <f t="shared" si="2"/>
        <v>684.44590531295307</v>
      </c>
      <c r="J41" s="38">
        <f t="shared" si="3"/>
        <v>1014.8888869467886</v>
      </c>
      <c r="K41" s="38">
        <f t="shared" si="15"/>
        <v>-42.407944138717561</v>
      </c>
      <c r="L41" s="38">
        <f t="shared" si="13"/>
        <v>137.59205586128243</v>
      </c>
      <c r="M41" s="16">
        <f t="shared" si="6"/>
        <v>-749.35522654374222</v>
      </c>
      <c r="N41" s="16">
        <f t="shared" si="7"/>
        <v>684.4459053129533</v>
      </c>
      <c r="O41" s="16">
        <f t="shared" si="8"/>
        <v>1014.8888869467886</v>
      </c>
      <c r="P41" s="16">
        <f>M41-'"0" цикл 24.06'!M41</f>
        <v>-7.2597431133389136</v>
      </c>
      <c r="Q41" s="16">
        <f>N41-'"0" цикл 24.06'!N41</f>
        <v>28.765396665414869</v>
      </c>
      <c r="R41" s="16">
        <f t="shared" si="9"/>
        <v>29.667354371266956</v>
      </c>
      <c r="S41" s="16">
        <f t="shared" si="10"/>
        <v>104.16438720148001</v>
      </c>
      <c r="T41" s="16">
        <f t="shared" si="11"/>
        <v>104.16438720148001</v>
      </c>
    </row>
    <row r="42" spans="1:20" x14ac:dyDescent="0.45">
      <c r="A42" s="7">
        <v>19.5</v>
      </c>
      <c r="B42" s="42">
        <v>-1937.6</v>
      </c>
      <c r="C42" s="42">
        <v>-376.9</v>
      </c>
      <c r="D42" s="8">
        <f t="shared" si="14"/>
        <v>-780.34999999999991</v>
      </c>
      <c r="E42" s="8">
        <f t="shared" si="1"/>
        <v>-747.0225539791096</v>
      </c>
      <c r="F42" s="42">
        <v>-530.1</v>
      </c>
      <c r="G42" s="42">
        <v>-1569.6</v>
      </c>
      <c r="H42" s="8">
        <f t="shared" si="12"/>
        <v>519.75</v>
      </c>
      <c r="I42" s="8">
        <f t="shared" si="2"/>
        <v>682.69488307940696</v>
      </c>
      <c r="J42" s="38">
        <f t="shared" si="3"/>
        <v>1011.9856716062125</v>
      </c>
      <c r="K42" s="38">
        <f t="shared" si="15"/>
        <v>-42.423812662013489</v>
      </c>
      <c r="L42" s="38">
        <f t="shared" si="13"/>
        <v>137.57618733798651</v>
      </c>
      <c r="M42" s="16">
        <f t="shared" si="6"/>
        <v>-747.02255397910949</v>
      </c>
      <c r="N42" s="16">
        <f t="shared" si="7"/>
        <v>682.69488307940708</v>
      </c>
      <c r="O42" s="16">
        <f t="shared" si="8"/>
        <v>1011.9856716062125</v>
      </c>
      <c r="P42" s="16">
        <f>M42-'"0" цикл 24.06'!M42</f>
        <v>-6.779054575840064</v>
      </c>
      <c r="Q42" s="16">
        <f>N42-'"0" цикл 24.06'!N42</f>
        <v>27.683538315460737</v>
      </c>
      <c r="R42" s="16">
        <f t="shared" si="9"/>
        <v>28.50147144632713</v>
      </c>
      <c r="S42" s="16">
        <f t="shared" si="10"/>
        <v>103.75963805140614</v>
      </c>
      <c r="T42" s="16">
        <f t="shared" si="11"/>
        <v>103.75963805140614</v>
      </c>
    </row>
    <row r="43" spans="1:20" x14ac:dyDescent="0.45">
      <c r="A43" s="7">
        <v>20</v>
      </c>
      <c r="B43" s="42">
        <v>-1023.7</v>
      </c>
      <c r="C43" s="42">
        <v>466.4</v>
      </c>
      <c r="D43" s="8">
        <f t="shared" si="14"/>
        <v>-745.05</v>
      </c>
      <c r="E43" s="8">
        <f t="shared" si="1"/>
        <v>-745.13093671127956</v>
      </c>
      <c r="F43" s="42">
        <v>-1326</v>
      </c>
      <c r="G43" s="42">
        <v>-2337.1</v>
      </c>
      <c r="H43" s="8">
        <f t="shared" si="12"/>
        <v>505.54999999999995</v>
      </c>
      <c r="I43" s="8">
        <f t="shared" si="2"/>
        <v>681.43497485891999</v>
      </c>
      <c r="J43" s="38">
        <f t="shared" si="3"/>
        <v>1009.739440551475</v>
      </c>
      <c r="K43" s="38">
        <f t="shared" si="15"/>
        <v>-42.443449741184601</v>
      </c>
      <c r="L43" s="38">
        <f t="shared" si="13"/>
        <v>137.55655025881541</v>
      </c>
      <c r="M43" s="16">
        <f t="shared" si="6"/>
        <v>-745.13093671127956</v>
      </c>
      <c r="N43" s="16">
        <f t="shared" si="7"/>
        <v>681.43497485891999</v>
      </c>
      <c r="O43" s="16">
        <f t="shared" si="8"/>
        <v>1009.739440551475</v>
      </c>
      <c r="P43" s="16">
        <f>M43-'"0" цикл 24.06'!M43</f>
        <v>-6.6319145968462863</v>
      </c>
      <c r="Q43" s="16">
        <f>N43-'"0" цикл 24.06'!N43</f>
        <v>26.998740197377515</v>
      </c>
      <c r="R43" s="16">
        <f t="shared" si="9"/>
        <v>27.801335641752022</v>
      </c>
      <c r="S43" s="16">
        <f t="shared" si="10"/>
        <v>103.80077645835613</v>
      </c>
      <c r="T43" s="16">
        <f t="shared" si="11"/>
        <v>103.80077645835613</v>
      </c>
    </row>
    <row r="44" spans="1:20" x14ac:dyDescent="0.45">
      <c r="A44" s="7">
        <v>20.5</v>
      </c>
      <c r="B44" s="42">
        <v>-257.8</v>
      </c>
      <c r="C44" s="42">
        <v>1478.3</v>
      </c>
      <c r="D44" s="8">
        <f t="shared" si="14"/>
        <v>-868.05</v>
      </c>
      <c r="E44" s="8">
        <f t="shared" ref="E44:E53" si="16">0.5*SIN(D44/3600*PI()/180)*1000+E45</f>
        <v>-743.32488847307377</v>
      </c>
      <c r="F44" s="42">
        <v>-2152.6999999999998</v>
      </c>
      <c r="G44" s="42">
        <v>-3368.7</v>
      </c>
      <c r="H44" s="8">
        <f t="shared" ref="H44:H51" si="17">(F44-G44)/2</f>
        <v>608</v>
      </c>
      <c r="I44" s="8">
        <f t="shared" ref="I44:I51" si="18">0.5*SIN(H44/3600*PI()/180)*1000+I45</f>
        <v>680.20948830346993</v>
      </c>
      <c r="J44" s="38">
        <f t="shared" si="3"/>
        <v>1007.5796930275917</v>
      </c>
      <c r="K44" s="38">
        <f t="shared" si="15"/>
        <v>-42.461333339529148</v>
      </c>
      <c r="L44" s="38">
        <f t="shared" si="13"/>
        <v>137.53866666047085</v>
      </c>
      <c r="M44" s="16">
        <f t="shared" si="6"/>
        <v>-743.32488847307377</v>
      </c>
      <c r="N44" s="16">
        <f t="shared" si="7"/>
        <v>680.20948830346981</v>
      </c>
      <c r="O44" s="16">
        <f t="shared" si="8"/>
        <v>1007.5796930275916</v>
      </c>
      <c r="P44" s="16">
        <f>M44-'"0" цикл 24.06'!M44</f>
        <v>-7.0441240796203601</v>
      </c>
      <c r="Q44" s="16">
        <f>N44-'"0" цикл 24.06'!N44</f>
        <v>26.950986187707827</v>
      </c>
      <c r="R44" s="16">
        <f t="shared" si="9"/>
        <v>27.856333939323484</v>
      </c>
      <c r="S44" s="16">
        <f t="shared" si="10"/>
        <v>104.64760675940349</v>
      </c>
      <c r="T44" s="16">
        <f t="shared" si="11"/>
        <v>104.64760675940349</v>
      </c>
    </row>
    <row r="45" spans="1:20" x14ac:dyDescent="0.45">
      <c r="A45" s="7">
        <v>21</v>
      </c>
      <c r="B45" s="42">
        <v>216.7</v>
      </c>
      <c r="C45" s="42">
        <v>2464.4</v>
      </c>
      <c r="D45" s="8">
        <f t="shared" si="14"/>
        <v>-1123.8500000000001</v>
      </c>
      <c r="E45" s="8">
        <f t="shared" si="16"/>
        <v>-741.22068210486214</v>
      </c>
      <c r="F45" s="42">
        <v>-2565.5</v>
      </c>
      <c r="G45" s="42">
        <v>-4393.7</v>
      </c>
      <c r="H45" s="8">
        <f t="shared" si="17"/>
        <v>914.09999999999991</v>
      </c>
      <c r="I45" s="8">
        <f t="shared" si="18"/>
        <v>678.73565684718926</v>
      </c>
      <c r="J45" s="38">
        <f t="shared" si="3"/>
        <v>1005.0324330367566</v>
      </c>
      <c r="K45" s="38">
        <f t="shared" si="15"/>
        <v>-42.480330962822826</v>
      </c>
      <c r="L45" s="38">
        <f t="shared" si="13"/>
        <v>137.51966903717718</v>
      </c>
      <c r="M45" s="16">
        <f t="shared" si="6"/>
        <v>-741.22068210486214</v>
      </c>
      <c r="N45" s="16">
        <f t="shared" si="7"/>
        <v>678.73565684718926</v>
      </c>
      <c r="O45" s="16">
        <f t="shared" si="8"/>
        <v>1005.0324330367566</v>
      </c>
      <c r="P45" s="16">
        <f>M45-'"0" цикл 24.06'!M45</f>
        <v>-7.9547133194529351</v>
      </c>
      <c r="Q45" s="16">
        <f>N45-'"0" цикл 24.06'!N45</f>
        <v>27.65723374432514</v>
      </c>
      <c r="R45" s="16">
        <f t="shared" si="9"/>
        <v>28.778464906643634</v>
      </c>
      <c r="S45" s="16">
        <f t="shared" si="10"/>
        <v>106.04617840230182</v>
      </c>
      <c r="T45" s="16">
        <f t="shared" si="11"/>
        <v>106.04617840230182</v>
      </c>
    </row>
    <row r="46" spans="1:20" x14ac:dyDescent="0.45">
      <c r="A46" s="7">
        <v>21.5</v>
      </c>
      <c r="B46" s="42">
        <v>507.7</v>
      </c>
      <c r="C46" s="42">
        <v>2698.4</v>
      </c>
      <c r="D46" s="8">
        <f t="shared" si="14"/>
        <v>-1095.3500000000001</v>
      </c>
      <c r="E46" s="8">
        <f t="shared" si="16"/>
        <v>-738.49640630660042</v>
      </c>
      <c r="F46" s="42">
        <v>-2885.8</v>
      </c>
      <c r="G46" s="42">
        <v>-4647.3</v>
      </c>
      <c r="H46" s="8">
        <f t="shared" si="17"/>
        <v>880.75</v>
      </c>
      <c r="I46" s="8">
        <f t="shared" si="18"/>
        <v>676.51982317078466</v>
      </c>
      <c r="J46" s="38">
        <f t="shared" si="3"/>
        <v>1001.5268410136561</v>
      </c>
      <c r="K46" s="38">
        <f t="shared" si="15"/>
        <v>-42.492093398110882</v>
      </c>
      <c r="L46" s="38">
        <f t="shared" si="13"/>
        <v>137.50790660188912</v>
      </c>
      <c r="M46" s="16">
        <f t="shared" si="6"/>
        <v>-738.49640630660042</v>
      </c>
      <c r="N46" s="16">
        <f t="shared" si="7"/>
        <v>676.51982317078466</v>
      </c>
      <c r="O46" s="16">
        <f t="shared" si="8"/>
        <v>1001.5268410136561</v>
      </c>
      <c r="P46" s="16">
        <f>M46-'"0" цикл 24.06'!M46</f>
        <v>-9.0706089344663496</v>
      </c>
      <c r="Q46" s="16">
        <f>N46-'"0" цикл 24.06'!N46</f>
        <v>28.087137182359015</v>
      </c>
      <c r="R46" s="16">
        <f t="shared" si="9"/>
        <v>29.515474272704395</v>
      </c>
      <c r="S46" s="16">
        <f t="shared" si="10"/>
        <v>107.89761854839828</v>
      </c>
      <c r="T46" s="16">
        <f t="shared" si="11"/>
        <v>107.89761854839828</v>
      </c>
    </row>
    <row r="47" spans="1:20" x14ac:dyDescent="0.45">
      <c r="A47" s="7">
        <v>22</v>
      </c>
      <c r="B47" s="42">
        <v>647.79999999999995</v>
      </c>
      <c r="C47" s="42">
        <v>1411.4</v>
      </c>
      <c r="D47" s="8">
        <f t="shared" si="14"/>
        <v>-381.80000000000007</v>
      </c>
      <c r="E47" s="8">
        <f t="shared" si="16"/>
        <v>-735.84121545820722</v>
      </c>
      <c r="F47" s="42">
        <v>-3054.3</v>
      </c>
      <c r="G47" s="42">
        <v>-3243.4</v>
      </c>
      <c r="H47" s="8">
        <f t="shared" si="17"/>
        <v>94.549999999999955</v>
      </c>
      <c r="I47" s="8">
        <f t="shared" si="18"/>
        <v>674.38483141045026</v>
      </c>
      <c r="J47" s="38">
        <f t="shared" si="3"/>
        <v>998.12684324363966</v>
      </c>
      <c r="K47" s="38">
        <f t="shared" si="15"/>
        <v>-42.504680261589826</v>
      </c>
      <c r="L47" s="38">
        <f t="shared" si="13"/>
        <v>137.49531973841016</v>
      </c>
      <c r="M47" s="16">
        <f t="shared" si="6"/>
        <v>-735.8412154582071</v>
      </c>
      <c r="N47" s="16">
        <f t="shared" si="7"/>
        <v>674.3848314104506</v>
      </c>
      <c r="O47" s="16">
        <f t="shared" si="8"/>
        <v>998.12684324363977</v>
      </c>
      <c r="P47" s="16">
        <f>M47-'"0" цикл 24.06'!M47</f>
        <v>-9.2847721081905092</v>
      </c>
      <c r="Q47" s="16">
        <f>N47-'"0" цикл 24.06'!N47</f>
        <v>27.849338007170331</v>
      </c>
      <c r="R47" s="16">
        <f t="shared" si="9"/>
        <v>29.356304613126198</v>
      </c>
      <c r="S47" s="16">
        <f t="shared" si="10"/>
        <v>108.43802140738042</v>
      </c>
      <c r="T47" s="16">
        <f t="shared" si="11"/>
        <v>108.43802140738042</v>
      </c>
    </row>
    <row r="48" spans="1:20" x14ac:dyDescent="0.45">
      <c r="A48" s="7">
        <v>22.5</v>
      </c>
      <c r="B48" s="42">
        <v>529.20000000000005</v>
      </c>
      <c r="C48" s="42">
        <v>1922.7</v>
      </c>
      <c r="D48" s="8">
        <f t="shared" si="14"/>
        <v>-696.75</v>
      </c>
      <c r="E48" s="8">
        <f t="shared" si="16"/>
        <v>-734.91570666947644</v>
      </c>
      <c r="F48" s="42">
        <v>-2869.9</v>
      </c>
      <c r="G48" s="42">
        <v>-3810.4</v>
      </c>
      <c r="H48" s="8">
        <f t="shared" si="17"/>
        <v>470.25</v>
      </c>
      <c r="I48" s="8">
        <f t="shared" si="18"/>
        <v>674.15563575073224</v>
      </c>
      <c r="J48" s="38">
        <f t="shared" si="3"/>
        <v>997.28978593183729</v>
      </c>
      <c r="K48" s="38">
        <f t="shared" si="15"/>
        <v>-42.530898379690434</v>
      </c>
      <c r="L48" s="38">
        <f t="shared" si="13"/>
        <v>137.46910162030957</v>
      </c>
      <c r="M48" s="16">
        <f t="shared" si="6"/>
        <v>-734.91570666947632</v>
      </c>
      <c r="N48" s="16">
        <f t="shared" si="7"/>
        <v>674.15563575073224</v>
      </c>
      <c r="O48" s="16">
        <f t="shared" si="8"/>
        <v>997.28978593183717</v>
      </c>
      <c r="P48" s="16">
        <f>M48-'"0" цикл 24.06'!M48</f>
        <v>-8.7549924453508083</v>
      </c>
      <c r="Q48" s="16">
        <f>N48-'"0" цикл 24.06'!N48</f>
        <v>26.86213644739064</v>
      </c>
      <c r="R48" s="16">
        <f t="shared" si="9"/>
        <v>28.252862991852389</v>
      </c>
      <c r="S48" s="16">
        <f t="shared" si="10"/>
        <v>108.05198877773654</v>
      </c>
      <c r="T48" s="16">
        <f t="shared" si="11"/>
        <v>108.05198877773654</v>
      </c>
    </row>
    <row r="49" spans="1:20" x14ac:dyDescent="0.45">
      <c r="A49" s="7">
        <v>23</v>
      </c>
      <c r="B49" s="42">
        <v>253.2</v>
      </c>
      <c r="C49" s="42">
        <v>3942.8</v>
      </c>
      <c r="D49" s="8">
        <f t="shared" si="14"/>
        <v>-1844.8000000000002</v>
      </c>
      <c r="E49" s="8">
        <f t="shared" si="16"/>
        <v>-733.22674021989997</v>
      </c>
      <c r="F49" s="42">
        <v>-2660</v>
      </c>
      <c r="G49" s="42">
        <v>-5711.5</v>
      </c>
      <c r="H49" s="8">
        <f t="shared" si="17"/>
        <v>1525.75</v>
      </c>
      <c r="I49" s="8">
        <f t="shared" si="18"/>
        <v>673.01571857050646</v>
      </c>
      <c r="J49" s="38">
        <f t="shared" si="3"/>
        <v>995.27464049702178</v>
      </c>
      <c r="K49" s="38">
        <f t="shared" si="15"/>
        <v>-42.548266638579982</v>
      </c>
      <c r="L49" s="38">
        <f t="shared" si="13"/>
        <v>137.45173336142003</v>
      </c>
      <c r="M49" s="16">
        <f t="shared" si="6"/>
        <v>-733.22674021990008</v>
      </c>
      <c r="N49" s="16">
        <f t="shared" si="7"/>
        <v>673.01571857050646</v>
      </c>
      <c r="O49" s="16">
        <f t="shared" si="8"/>
        <v>995.27464049702178</v>
      </c>
      <c r="P49" s="16">
        <f>M49-'"0" цикл 24.06'!M49</f>
        <v>-8.4598635236756081</v>
      </c>
      <c r="Q49" s="16">
        <f>N49-'"0" цикл 24.06'!N49</f>
        <v>26.158066711285642</v>
      </c>
      <c r="R49" s="16">
        <f t="shared" si="9"/>
        <v>27.492066945053207</v>
      </c>
      <c r="S49" s="16">
        <f t="shared" si="10"/>
        <v>107.92189095760735</v>
      </c>
      <c r="T49" s="16">
        <f t="shared" si="11"/>
        <v>107.92189095760735</v>
      </c>
    </row>
    <row r="50" spans="1:20" x14ac:dyDescent="0.45">
      <c r="A50" s="7">
        <v>23.5</v>
      </c>
      <c r="B50" s="42">
        <v>-581</v>
      </c>
      <c r="C50" s="42">
        <v>6270.2</v>
      </c>
      <c r="D50" s="8">
        <f t="shared" si="14"/>
        <v>-3425.6</v>
      </c>
      <c r="E50" s="8">
        <f t="shared" si="16"/>
        <v>-728.75487844500458</v>
      </c>
      <c r="F50" s="42">
        <v>-1943.7</v>
      </c>
      <c r="G50" s="42">
        <v>-8128.6</v>
      </c>
      <c r="H50" s="8">
        <f t="shared" si="17"/>
        <v>3092.4500000000003</v>
      </c>
      <c r="I50" s="8">
        <f t="shared" si="18"/>
        <v>669.31722992887512</v>
      </c>
      <c r="J50" s="38">
        <f t="shared" si="3"/>
        <v>989.47927069598381</v>
      </c>
      <c r="K50" s="38">
        <f t="shared" si="15"/>
        <v>-42.565592759169704</v>
      </c>
      <c r="L50" s="38">
        <f t="shared" si="13"/>
        <v>137.4344072408303</v>
      </c>
      <c r="M50" s="16">
        <f t="shared" si="6"/>
        <v>-728.75487844500458</v>
      </c>
      <c r="N50" s="16">
        <f t="shared" si="7"/>
        <v>669.31722992887512</v>
      </c>
      <c r="O50" s="16">
        <f t="shared" si="8"/>
        <v>989.47927069598381</v>
      </c>
      <c r="P50" s="16">
        <f>M50-'"0" цикл 24.06'!M50</f>
        <v>-8.6437214518670089</v>
      </c>
      <c r="Q50" s="16">
        <f>N50-'"0" цикл 24.06'!N50</f>
        <v>26.014323236610153</v>
      </c>
      <c r="R50" s="16">
        <f t="shared" si="9"/>
        <v>27.412751302930189</v>
      </c>
      <c r="S50" s="16">
        <f t="shared" si="10"/>
        <v>108.37998477497621</v>
      </c>
      <c r="T50" s="16">
        <f t="shared" si="11"/>
        <v>108.37998477497621</v>
      </c>
    </row>
    <row r="51" spans="1:20" x14ac:dyDescent="0.45">
      <c r="A51" s="7">
        <v>24</v>
      </c>
      <c r="B51" s="42">
        <v>-1397.3</v>
      </c>
      <c r="C51" s="42">
        <v>8296.6</v>
      </c>
      <c r="D51" s="8">
        <f t="shared" si="14"/>
        <v>-4846.95</v>
      </c>
      <c r="E51" s="8">
        <f t="shared" si="16"/>
        <v>-720.45137143706972</v>
      </c>
      <c r="F51" s="42">
        <v>-896.1</v>
      </c>
      <c r="G51" s="42">
        <v>-10112</v>
      </c>
      <c r="H51" s="8">
        <f t="shared" si="17"/>
        <v>4607.95</v>
      </c>
      <c r="I51" s="8">
        <f t="shared" si="18"/>
        <v>661.82120042010047</v>
      </c>
      <c r="J51" s="38">
        <f t="shared" si="3"/>
        <v>978.29314621490494</v>
      </c>
      <c r="K51" s="38">
        <f t="shared" si="15"/>
        <v>-42.571210596060453</v>
      </c>
      <c r="L51" s="38">
        <f t="shared" si="13"/>
        <v>137.42878940393956</v>
      </c>
      <c r="M51" s="16">
        <f t="shared" si="6"/>
        <v>-720.45137143706995</v>
      </c>
      <c r="N51" s="16">
        <f t="shared" si="7"/>
        <v>661.82120042010013</v>
      </c>
      <c r="O51" s="16">
        <f t="shared" si="8"/>
        <v>978.29314621490482</v>
      </c>
      <c r="P51" s="16">
        <f>M51-'"0" цикл 24.06'!M51</f>
        <v>-9.3572600743980274</v>
      </c>
      <c r="Q51" s="16">
        <f>N51-'"0" цикл 24.06'!N51</f>
        <v>26.598695191307229</v>
      </c>
      <c r="R51" s="16">
        <f t="shared" si="9"/>
        <v>28.196611533657613</v>
      </c>
      <c r="S51" s="16">
        <f t="shared" si="10"/>
        <v>109.38156361321127</v>
      </c>
      <c r="T51" s="16">
        <f t="shared" si="11"/>
        <v>109.38156361321127</v>
      </c>
    </row>
    <row r="52" spans="1:20" x14ac:dyDescent="0.45">
      <c r="A52" s="7">
        <v>24.5</v>
      </c>
      <c r="B52" s="42">
        <v>-2891.9</v>
      </c>
      <c r="C52" s="42">
        <v>8450.6</v>
      </c>
      <c r="D52" s="8">
        <f t="shared" si="14"/>
        <v>-5671.25</v>
      </c>
      <c r="E52" s="8">
        <f t="shared" si="16"/>
        <v>-708.70311435584438</v>
      </c>
      <c r="F52" s="42">
        <v>445.7</v>
      </c>
      <c r="G52" s="42">
        <v>-10486.8</v>
      </c>
      <c r="H52" s="8">
        <f t="shared" ref="H52:H54" si="19">(F52-G52)/2</f>
        <v>5466.25</v>
      </c>
      <c r="I52" s="8">
        <f t="shared" ref="I52:I54" si="20">0.5*SIN(H52/3600*PI()/180)*1000+I53</f>
        <v>650.65214349649011</v>
      </c>
      <c r="J52" s="38">
        <f t="shared" ref="J52:J54" si="21">SQRT(E52^2+I52^2)</f>
        <v>962.08539960559131</v>
      </c>
      <c r="K52" s="38">
        <f t="shared" ref="K52:K54" si="22">IF(E52&gt;=0,180-DEGREES(ASIN(-I52/J52)),IF(E52&lt;0,DEGREES(ASIN(-I52/J52)),360-DEGREES(ASIN(I52/J52))))</f>
        <v>-42.554681973272153</v>
      </c>
      <c r="L52" s="38">
        <f t="shared" ref="L52:L54" si="23">IF((K52+$L$1)&lt;=360,K52+$L$1,K52+$L$1-360)</f>
        <v>137.44531802672785</v>
      </c>
      <c r="M52" s="16">
        <f t="shared" ref="M52:M54" si="24">J52*COS(RADIANS(L52))</f>
        <v>-708.70311435584426</v>
      </c>
      <c r="N52" s="16">
        <f t="shared" ref="N52:N54" si="25">J52*SIN(RADIANS(L52))</f>
        <v>650.65214349649023</v>
      </c>
      <c r="O52" s="16">
        <f t="shared" si="8"/>
        <v>962.08539960559131</v>
      </c>
      <c r="P52" s="16">
        <f>M52-'"0" цикл 24.06'!M52</f>
        <v>-10.362098123029455</v>
      </c>
      <c r="Q52" s="16">
        <f>N52-'"0" цикл 24.06'!N52</f>
        <v>27.360376519198326</v>
      </c>
      <c r="R52" s="16">
        <f t="shared" ref="R52:R54" si="26">SQRT(P52^2+Q52^2)</f>
        <v>29.256850151436154</v>
      </c>
      <c r="S52" s="16">
        <f t="shared" ref="S52:S54" si="27">IF(R52=0,0,IF(P52&gt;=0,DEGREES(ASIN(Q52/R52)),(180-DEGREES(ASIN(Q52/R52)))))</f>
        <v>110.74300196348186</v>
      </c>
      <c r="T52" s="16">
        <f t="shared" ref="T52:T54" si="28">IF(S52&lt;0,360+S52,S52)</f>
        <v>110.74300196348186</v>
      </c>
    </row>
    <row r="53" spans="1:20" x14ac:dyDescent="0.45">
      <c r="A53" s="7">
        <v>25</v>
      </c>
      <c r="B53" s="42">
        <v>-4216.3</v>
      </c>
      <c r="C53" s="42">
        <v>4429.7</v>
      </c>
      <c r="D53" s="8">
        <f t="shared" si="14"/>
        <v>-4323</v>
      </c>
      <c r="E53" s="8">
        <f t="shared" si="16"/>
        <v>-694.95734847241033</v>
      </c>
      <c r="F53" s="42">
        <v>1577.3</v>
      </c>
      <c r="G53" s="42">
        <v>-6269.3</v>
      </c>
      <c r="H53" s="8">
        <f t="shared" si="19"/>
        <v>3923.3</v>
      </c>
      <c r="I53" s="8">
        <f t="shared" si="20"/>
        <v>637.40313052030069</v>
      </c>
      <c r="J53" s="38">
        <f t="shared" si="21"/>
        <v>942.9997173874882</v>
      </c>
      <c r="K53" s="38">
        <f t="shared" si="22"/>
        <v>-42.526521526863903</v>
      </c>
      <c r="L53" s="38">
        <f t="shared" si="23"/>
        <v>137.47347847313608</v>
      </c>
      <c r="M53" s="16">
        <f t="shared" si="24"/>
        <v>-694.95734847241022</v>
      </c>
      <c r="N53" s="16">
        <f t="shared" si="25"/>
        <v>637.40313052030081</v>
      </c>
      <c r="O53" s="16">
        <f t="shared" si="8"/>
        <v>942.9997173874882</v>
      </c>
      <c r="P53" s="16">
        <f>M53-'"0" цикл 24.06'!M53</f>
        <v>-11.644747063717546</v>
      </c>
      <c r="Q53" s="16">
        <f>N53-'"0" цикл 24.06'!N53</f>
        <v>28.167411396412717</v>
      </c>
      <c r="R53" s="16">
        <f t="shared" si="26"/>
        <v>30.479553785328278</v>
      </c>
      <c r="S53" s="16">
        <f t="shared" si="27"/>
        <v>112.46079053639947</v>
      </c>
      <c r="T53" s="16">
        <f t="shared" si="28"/>
        <v>112.46079053639947</v>
      </c>
    </row>
    <row r="54" spans="1:20" x14ac:dyDescent="0.45">
      <c r="A54" s="17">
        <v>25.5</v>
      </c>
      <c r="B54" s="42">
        <v>-3821.2</v>
      </c>
      <c r="C54" s="42">
        <v>2536.8000000000002</v>
      </c>
      <c r="D54" s="8">
        <f t="shared" si="14"/>
        <v>-3179</v>
      </c>
      <c r="E54" s="8">
        <f t="shared" ref="E54" si="29">0.5*SIN(D54/3600*PI()/180)*1000+E55</f>
        <v>-684.47886792153781</v>
      </c>
      <c r="F54" s="42">
        <v>1527.2</v>
      </c>
      <c r="G54" s="42">
        <v>-4347.1000000000004</v>
      </c>
      <c r="H54" s="8">
        <f t="shared" si="19"/>
        <v>2937.15</v>
      </c>
      <c r="I54" s="8">
        <f t="shared" si="20"/>
        <v>627.89335638754801</v>
      </c>
      <c r="J54" s="38">
        <f t="shared" si="21"/>
        <v>928.84949675755888</v>
      </c>
      <c r="K54" s="38">
        <f t="shared" si="22"/>
        <v>-42.531108885426271</v>
      </c>
      <c r="L54" s="38">
        <f t="shared" si="23"/>
        <v>137.46889111457372</v>
      </c>
      <c r="M54" s="16">
        <f t="shared" si="24"/>
        <v>-684.47886792153759</v>
      </c>
      <c r="N54" s="16">
        <f t="shared" si="25"/>
        <v>627.89335638754824</v>
      </c>
      <c r="O54" s="16">
        <f t="shared" si="8"/>
        <v>928.84949675755888</v>
      </c>
      <c r="P54" s="16">
        <f>M54-'"0" цикл 24.06'!M54</f>
        <v>-12.320055610973895</v>
      </c>
      <c r="Q54" s="16">
        <f>N54-'"0" цикл 24.06'!N54</f>
        <v>28.579061667735459</v>
      </c>
      <c r="R54" s="16">
        <f t="shared" si="26"/>
        <v>31.121480300039</v>
      </c>
      <c r="S54" s="16">
        <f t="shared" si="27"/>
        <v>113.32023517021067</v>
      </c>
      <c r="T54" s="16">
        <f t="shared" si="28"/>
        <v>113.32023517021067</v>
      </c>
    </row>
    <row r="55" spans="1:20" s="41" customFormat="1" x14ac:dyDescent="0.45">
      <c r="A55" s="40">
        <v>26</v>
      </c>
      <c r="B55" s="42">
        <v>-3171</v>
      </c>
      <c r="C55" s="42">
        <v>595.9</v>
      </c>
      <c r="D55" s="8">
        <f t="shared" ref="D55:D118" si="30">(B55-C55)/2</f>
        <v>-1883.45</v>
      </c>
      <c r="E55" s="8">
        <f t="shared" ref="E55:E118" si="31">0.5*SIN(D55/3600*PI()/180)*1000+E56</f>
        <v>-676.7730595375217</v>
      </c>
      <c r="F55" s="42">
        <v>868.1</v>
      </c>
      <c r="G55" s="42">
        <v>-2398.9</v>
      </c>
      <c r="H55" s="8">
        <f t="shared" ref="H55:H118" si="32">(F55-G55)/2</f>
        <v>1633.5</v>
      </c>
      <c r="I55" s="8">
        <f t="shared" ref="I55:I118" si="33">0.5*SIN(H55/3600*PI()/180)*1000+I56</f>
        <v>620.77374448222008</v>
      </c>
      <c r="J55" s="38">
        <f t="shared" ref="J55:J118" si="34">SQRT(E55^2+I55^2)</f>
        <v>918.3582176657726</v>
      </c>
      <c r="K55" s="38">
        <f t="shared" ref="K55:K118" si="35">IF(E55&gt;=0,180-DEGREES(ASIN(-I55/J55)),IF(E55&lt;0,DEGREES(ASIN(-I55/J55)),360-DEGREES(ASIN(I55/J55))))</f>
        <v>-42.528771558092004</v>
      </c>
      <c r="L55" s="38">
        <f t="shared" ref="L55:L118" si="36">IF((K55+$L$1)&lt;=360,K55+$L$1,K55+$L$1-360)</f>
        <v>137.47122844190801</v>
      </c>
      <c r="M55" s="16">
        <f t="shared" ref="M55:M118" si="37">J55*COS(RADIANS(L55))</f>
        <v>-676.77305953752182</v>
      </c>
      <c r="N55" s="16">
        <f t="shared" ref="N55:N118" si="38">J55*SIN(RADIANS(L55))</f>
        <v>620.77374448221997</v>
      </c>
      <c r="O55" s="16">
        <f t="shared" ref="O55:O118" si="39">SQRT(N55^2+M55^2)</f>
        <v>918.3582176657726</v>
      </c>
      <c r="P55" s="16">
        <f>M55-'"0" цикл 24.06'!M55</f>
        <v>-12.427913663438289</v>
      </c>
      <c r="Q55" s="16">
        <f>N55-'"0" цикл 24.06'!N55</f>
        <v>28.269780555453963</v>
      </c>
      <c r="R55" s="16">
        <f t="shared" ref="R55:R118" si="40">SQRT(P55^2+Q55^2)</f>
        <v>30.880957411961809</v>
      </c>
      <c r="S55" s="16">
        <f t="shared" ref="S55:S118" si="41">IF(R55=0,0,IF(P55&gt;=0,DEGREES(ASIN(Q55/R55)),(180-DEGREES(ASIN(Q55/R55)))))</f>
        <v>113.73117071127287</v>
      </c>
      <c r="T55" s="16">
        <f t="shared" ref="T55:T118" si="42">IF(S55&lt;0,360+S55,S55)</f>
        <v>113.73117071127287</v>
      </c>
    </row>
    <row r="56" spans="1:20" x14ac:dyDescent="0.45">
      <c r="A56" s="40">
        <v>26.5</v>
      </c>
      <c r="B56" s="42">
        <v>-2348.6999999999998</v>
      </c>
      <c r="C56" s="42">
        <v>-1102.9000000000001</v>
      </c>
      <c r="D56" s="8">
        <f t="shared" si="30"/>
        <v>-622.89999999999986</v>
      </c>
      <c r="E56" s="8">
        <f t="shared" si="31"/>
        <v>-672.20751134503212</v>
      </c>
      <c r="F56" s="42">
        <v>-145.19999999999999</v>
      </c>
      <c r="G56" s="42">
        <v>-750.7</v>
      </c>
      <c r="H56" s="8">
        <f t="shared" si="32"/>
        <v>302.75</v>
      </c>
      <c r="I56" s="8">
        <f t="shared" si="33"/>
        <v>616.81407013213754</v>
      </c>
      <c r="J56" s="38">
        <f t="shared" si="34"/>
        <v>912.31712437159433</v>
      </c>
      <c r="K56" s="38">
        <f t="shared" si="35"/>
        <v>-42.539328348001433</v>
      </c>
      <c r="L56" s="38">
        <f t="shared" si="36"/>
        <v>137.46067165199855</v>
      </c>
      <c r="M56" s="16">
        <f t="shared" si="37"/>
        <v>-672.207511345032</v>
      </c>
      <c r="N56" s="16">
        <f t="shared" si="38"/>
        <v>616.81407013213777</v>
      </c>
      <c r="O56" s="16">
        <f t="shared" si="39"/>
        <v>912.31712437159433</v>
      </c>
      <c r="P56" s="16">
        <f>M56-'"0" цикл 24.06'!M56</f>
        <v>-12.358588153626101</v>
      </c>
      <c r="Q56" s="16">
        <f>N56-'"0" цикл 24.06'!N56</f>
        <v>27.822431234587839</v>
      </c>
      <c r="R56" s="16">
        <f t="shared" si="40"/>
        <v>30.443757668105235</v>
      </c>
      <c r="S56" s="16">
        <f t="shared" si="41"/>
        <v>113.95055891344165</v>
      </c>
      <c r="T56" s="16">
        <f t="shared" si="42"/>
        <v>113.95055891344165</v>
      </c>
    </row>
    <row r="57" spans="1:20" x14ac:dyDescent="0.45">
      <c r="A57" s="40">
        <v>27</v>
      </c>
      <c r="B57" s="42">
        <v>-1290.5</v>
      </c>
      <c r="C57" s="42">
        <v>-2209.1</v>
      </c>
      <c r="D57" s="8">
        <f t="shared" si="30"/>
        <v>459.29999999999995</v>
      </c>
      <c r="E57" s="8">
        <f t="shared" si="31"/>
        <v>-670.69756143029815</v>
      </c>
      <c r="F57" s="42">
        <v>-991.7</v>
      </c>
      <c r="G57" s="42">
        <v>419.2</v>
      </c>
      <c r="H57" s="8">
        <f t="shared" si="32"/>
        <v>-705.45</v>
      </c>
      <c r="I57" s="8">
        <f t="shared" si="33"/>
        <v>616.08018368586715</v>
      </c>
      <c r="J57" s="38">
        <f t="shared" si="34"/>
        <v>910.70852177793984</v>
      </c>
      <c r="K57" s="38">
        <f t="shared" si="35"/>
        <v>-42.569535210223847</v>
      </c>
      <c r="L57" s="38">
        <f t="shared" si="36"/>
        <v>137.43046478977615</v>
      </c>
      <c r="M57" s="16">
        <f t="shared" si="37"/>
        <v>-670.69756143029826</v>
      </c>
      <c r="N57" s="16">
        <f t="shared" si="38"/>
        <v>616.08018368586704</v>
      </c>
      <c r="O57" s="16">
        <f t="shared" si="39"/>
        <v>910.70852177793984</v>
      </c>
      <c r="P57" s="16">
        <f>M57-'"0" цикл 24.06'!M57</f>
        <v>-12.168905561725524</v>
      </c>
      <c r="Q57" s="16">
        <f>N57-'"0" цикл 24.06'!N57</f>
        <v>27.45130659338156</v>
      </c>
      <c r="R57" s="16">
        <f t="shared" si="40"/>
        <v>30.027595578967496</v>
      </c>
      <c r="S57" s="16">
        <f t="shared" si="41"/>
        <v>113.90725867290453</v>
      </c>
      <c r="T57" s="16">
        <f t="shared" si="42"/>
        <v>113.90725867290453</v>
      </c>
    </row>
    <row r="58" spans="1:20" x14ac:dyDescent="0.45">
      <c r="A58" s="40">
        <v>27.5</v>
      </c>
      <c r="B58" s="42">
        <v>-129.30000000000001</v>
      </c>
      <c r="C58" s="42">
        <v>-2170.5</v>
      </c>
      <c r="D58" s="8">
        <f t="shared" si="30"/>
        <v>1020.6</v>
      </c>
      <c r="E58" s="8">
        <f t="shared" si="31"/>
        <v>-671.81093512887139</v>
      </c>
      <c r="F58" s="42">
        <v>-2374.9</v>
      </c>
      <c r="G58" s="42">
        <v>273.60000000000002</v>
      </c>
      <c r="H58" s="8">
        <f t="shared" si="32"/>
        <v>-1324.25</v>
      </c>
      <c r="I58" s="8">
        <f t="shared" si="33"/>
        <v>617.79023940874333</v>
      </c>
      <c r="J58" s="38">
        <f t="shared" si="34"/>
        <v>912.68544004352407</v>
      </c>
      <c r="K58" s="38">
        <f t="shared" si="35"/>
        <v>-42.601313142096096</v>
      </c>
      <c r="L58" s="38">
        <f t="shared" si="36"/>
        <v>137.3986868579039</v>
      </c>
      <c r="M58" s="16">
        <f t="shared" si="37"/>
        <v>-671.81093512887128</v>
      </c>
      <c r="N58" s="16">
        <f t="shared" si="38"/>
        <v>617.79023940874356</v>
      </c>
      <c r="O58" s="16">
        <f t="shared" si="39"/>
        <v>912.68544004352407</v>
      </c>
      <c r="P58" s="16">
        <f>M58-'"0" цикл 24.06'!M58</f>
        <v>-11.857413780071965</v>
      </c>
      <c r="Q58" s="16">
        <f>N58-'"0" цикл 24.06'!N58</f>
        <v>26.645311133438554</v>
      </c>
      <c r="R58" s="16">
        <f t="shared" si="40"/>
        <v>29.164548118384847</v>
      </c>
      <c r="S58" s="16">
        <f t="shared" si="41"/>
        <v>113.98951331311818</v>
      </c>
      <c r="T58" s="16">
        <f t="shared" si="42"/>
        <v>113.98951331311818</v>
      </c>
    </row>
    <row r="59" spans="1:20" x14ac:dyDescent="0.45">
      <c r="A59" s="40">
        <v>28</v>
      </c>
      <c r="B59" s="42">
        <v>1691.7</v>
      </c>
      <c r="C59" s="42">
        <v>106</v>
      </c>
      <c r="D59" s="8">
        <f t="shared" si="30"/>
        <v>792.85</v>
      </c>
      <c r="E59" s="8">
        <f t="shared" si="31"/>
        <v>-674.28492924849922</v>
      </c>
      <c r="F59" s="42">
        <v>-3909.2</v>
      </c>
      <c r="G59" s="42">
        <v>-1940.9</v>
      </c>
      <c r="H59" s="8">
        <f t="shared" si="32"/>
        <v>-984.14999999999986</v>
      </c>
      <c r="I59" s="8">
        <f t="shared" si="33"/>
        <v>621.00028994256536</v>
      </c>
      <c r="J59" s="38">
        <f t="shared" si="34"/>
        <v>916.67962010748545</v>
      </c>
      <c r="K59" s="38">
        <f t="shared" si="35"/>
        <v>-42.644330010151727</v>
      </c>
      <c r="L59" s="38">
        <f t="shared" si="36"/>
        <v>137.35566998984828</v>
      </c>
      <c r="M59" s="16">
        <f t="shared" si="37"/>
        <v>-674.28492924849922</v>
      </c>
      <c r="N59" s="16">
        <f t="shared" si="38"/>
        <v>621.00028994256536</v>
      </c>
      <c r="O59" s="16">
        <f t="shared" si="39"/>
        <v>916.67962010748545</v>
      </c>
      <c r="P59" s="16">
        <f>M59-'"0" цикл 24.06'!M59</f>
        <v>-11.168262136898647</v>
      </c>
      <c r="Q59" s="16">
        <f>N59-'"0" цикл 24.06'!N59</f>
        <v>25.93907679582037</v>
      </c>
      <c r="R59" s="16">
        <f t="shared" si="40"/>
        <v>28.241207201144054</v>
      </c>
      <c r="S59" s="16">
        <f t="shared" si="41"/>
        <v>113.29465366050268</v>
      </c>
      <c r="T59" s="16">
        <f t="shared" si="42"/>
        <v>113.29465366050268</v>
      </c>
    </row>
    <row r="60" spans="1:20" x14ac:dyDescent="0.45">
      <c r="A60" s="40">
        <v>28.5</v>
      </c>
      <c r="B60" s="42">
        <v>1753.5</v>
      </c>
      <c r="C60" s="42">
        <v>1511.1</v>
      </c>
      <c r="D60" s="8">
        <f t="shared" si="30"/>
        <v>121.20000000000005</v>
      </c>
      <c r="E60" s="8">
        <f t="shared" si="31"/>
        <v>-676.20684715105983</v>
      </c>
      <c r="F60" s="42">
        <v>-4387.5</v>
      </c>
      <c r="G60" s="42">
        <v>-3246.4</v>
      </c>
      <c r="H60" s="8">
        <f t="shared" si="32"/>
        <v>-570.54999999999995</v>
      </c>
      <c r="I60" s="8">
        <f t="shared" si="33"/>
        <v>623.385927812256</v>
      </c>
      <c r="J60" s="38">
        <f t="shared" si="34"/>
        <v>919.7095819487389</v>
      </c>
      <c r="K60" s="38">
        <f t="shared" si="35"/>
        <v>-42.672539461040337</v>
      </c>
      <c r="L60" s="38">
        <f t="shared" si="36"/>
        <v>137.32746053895966</v>
      </c>
      <c r="M60" s="16">
        <f t="shared" si="37"/>
        <v>-676.20684715105983</v>
      </c>
      <c r="N60" s="16">
        <f t="shared" si="38"/>
        <v>623.38592781225611</v>
      </c>
      <c r="O60" s="16">
        <f t="shared" si="39"/>
        <v>919.70958194873901</v>
      </c>
      <c r="P60" s="16">
        <f>M60-'"0" цикл 24.06'!M60</f>
        <v>-11.524234409479732</v>
      </c>
      <c r="Q60" s="16">
        <f>N60-'"0" цикл 24.06'!N60</f>
        <v>25.600317665628268</v>
      </c>
      <c r="R60" s="16">
        <f t="shared" si="40"/>
        <v>28.074619201437361</v>
      </c>
      <c r="S60" s="16">
        <f t="shared" si="41"/>
        <v>114.23535987283117</v>
      </c>
      <c r="T60" s="16">
        <f t="shared" si="42"/>
        <v>114.23535987283117</v>
      </c>
    </row>
    <row r="61" spans="1:20" x14ac:dyDescent="0.45">
      <c r="A61" s="40">
        <v>29</v>
      </c>
      <c r="B61" s="42">
        <v>1931.2</v>
      </c>
      <c r="C61" s="42">
        <v>2225.4</v>
      </c>
      <c r="D61" s="8">
        <f t="shared" si="30"/>
        <v>-147.10000000000002</v>
      </c>
      <c r="E61" s="8">
        <f t="shared" si="31"/>
        <v>-676.50064422490584</v>
      </c>
      <c r="F61" s="42">
        <v>-4145.3</v>
      </c>
      <c r="G61" s="42">
        <v>-4166.1000000000004</v>
      </c>
      <c r="H61" s="8">
        <f t="shared" si="32"/>
        <v>10.400000000000091</v>
      </c>
      <c r="I61" s="8">
        <f t="shared" si="33"/>
        <v>624.76897827734285</v>
      </c>
      <c r="J61" s="38">
        <f t="shared" si="34"/>
        <v>920.86339804252589</v>
      </c>
      <c r="K61" s="38">
        <f t="shared" si="35"/>
        <v>-42.723418671558072</v>
      </c>
      <c r="L61" s="38">
        <f t="shared" si="36"/>
        <v>137.27658132844192</v>
      </c>
      <c r="M61" s="16">
        <f t="shared" si="37"/>
        <v>-676.5006442249055</v>
      </c>
      <c r="N61" s="16">
        <f t="shared" si="38"/>
        <v>624.76897827734319</v>
      </c>
      <c r="O61" s="16">
        <f t="shared" si="39"/>
        <v>920.86339804252589</v>
      </c>
      <c r="P61" s="16">
        <f>M61-'"0" цикл 24.06'!M61</f>
        <v>-11.859119442753354</v>
      </c>
      <c r="Q61" s="16">
        <f>N61-'"0" цикл 24.06'!N61</f>
        <v>25.894598666797265</v>
      </c>
      <c r="R61" s="16">
        <f t="shared" si="40"/>
        <v>28.481027967262513</v>
      </c>
      <c r="S61" s="16">
        <f t="shared" si="41"/>
        <v>114.60666999102756</v>
      </c>
      <c r="T61" s="16">
        <f t="shared" si="42"/>
        <v>114.60666999102756</v>
      </c>
    </row>
    <row r="62" spans="1:20" x14ac:dyDescent="0.45">
      <c r="A62" s="40">
        <v>29.5</v>
      </c>
      <c r="B62" s="42">
        <v>1552.9</v>
      </c>
      <c r="C62" s="42">
        <v>3309.9</v>
      </c>
      <c r="D62" s="8">
        <f t="shared" si="30"/>
        <v>-878.5</v>
      </c>
      <c r="E62" s="8">
        <f t="shared" si="31"/>
        <v>-676.14406379267587</v>
      </c>
      <c r="F62" s="42">
        <v>-3985.5</v>
      </c>
      <c r="G62" s="42">
        <v>-5002.2</v>
      </c>
      <c r="H62" s="8">
        <f t="shared" si="32"/>
        <v>508.34999999999991</v>
      </c>
      <c r="I62" s="8">
        <f t="shared" si="33"/>
        <v>624.74376796593583</v>
      </c>
      <c r="J62" s="38">
        <f t="shared" si="34"/>
        <v>920.58436365949058</v>
      </c>
      <c r="K62" s="38">
        <f t="shared" si="35"/>
        <v>-42.737323068897439</v>
      </c>
      <c r="L62" s="38">
        <f t="shared" si="36"/>
        <v>137.26267693110256</v>
      </c>
      <c r="M62" s="16">
        <f t="shared" si="37"/>
        <v>-676.14406379267575</v>
      </c>
      <c r="N62" s="16">
        <f t="shared" si="38"/>
        <v>624.74376796593606</v>
      </c>
      <c r="O62" s="16">
        <f t="shared" si="39"/>
        <v>920.58436365949069</v>
      </c>
      <c r="P62" s="16">
        <f>M62-'"0" цикл 24.06'!M62</f>
        <v>-12.081648823132241</v>
      </c>
      <c r="Q62" s="16">
        <f>N62-'"0" цикл 24.06'!N62</f>
        <v>25.632920491244136</v>
      </c>
      <c r="R62" s="16">
        <f t="shared" si="40"/>
        <v>28.337481384130385</v>
      </c>
      <c r="S62" s="16">
        <f t="shared" si="41"/>
        <v>115.23606268434072</v>
      </c>
      <c r="T62" s="16">
        <f t="shared" si="42"/>
        <v>115.23606268434072</v>
      </c>
    </row>
    <row r="63" spans="1:20" x14ac:dyDescent="0.45">
      <c r="A63" s="40">
        <v>30</v>
      </c>
      <c r="B63" s="42">
        <v>974</v>
      </c>
      <c r="C63" s="42">
        <v>4425.5</v>
      </c>
      <c r="D63" s="8">
        <f t="shared" si="30"/>
        <v>-1725.75</v>
      </c>
      <c r="E63" s="8">
        <f t="shared" si="31"/>
        <v>-674.01452613665845</v>
      </c>
      <c r="F63" s="42">
        <v>-3576.9</v>
      </c>
      <c r="G63" s="42">
        <v>-6164</v>
      </c>
      <c r="H63" s="8">
        <f t="shared" si="32"/>
        <v>1293.55</v>
      </c>
      <c r="I63" s="8">
        <f t="shared" si="33"/>
        <v>623.51149403945021</v>
      </c>
      <c r="J63" s="38">
        <f t="shared" si="34"/>
        <v>918.18416706156052</v>
      </c>
      <c r="K63" s="38">
        <f t="shared" si="35"/>
        <v>-42.771026836069716</v>
      </c>
      <c r="L63" s="38">
        <f t="shared" si="36"/>
        <v>137.22897316393028</v>
      </c>
      <c r="M63" s="16">
        <f t="shared" si="37"/>
        <v>-674.01452613665845</v>
      </c>
      <c r="N63" s="16">
        <f t="shared" si="38"/>
        <v>623.51149403945033</v>
      </c>
      <c r="O63" s="16">
        <f t="shared" si="39"/>
        <v>918.18416706156052</v>
      </c>
      <c r="P63" s="16">
        <f>M63-'"0" цикл 24.06'!M63</f>
        <v>-12.203335889120467</v>
      </c>
      <c r="Q63" s="16">
        <f>N63-'"0" цикл 24.06'!N63</f>
        <v>25.219496506117594</v>
      </c>
      <c r="R63" s="16">
        <f t="shared" si="40"/>
        <v>28.016859403665737</v>
      </c>
      <c r="S63" s="16">
        <f t="shared" si="41"/>
        <v>115.8216431051159</v>
      </c>
      <c r="T63" s="16">
        <f t="shared" si="42"/>
        <v>115.8216431051159</v>
      </c>
    </row>
    <row r="64" spans="1:20" x14ac:dyDescent="0.45">
      <c r="A64" s="40">
        <v>30.5</v>
      </c>
      <c r="B64" s="42">
        <v>818.4</v>
      </c>
      <c r="C64" s="42">
        <v>4642.2</v>
      </c>
      <c r="D64" s="8">
        <f t="shared" si="30"/>
        <v>-1911.8999999999999</v>
      </c>
      <c r="E64" s="8">
        <f t="shared" si="31"/>
        <v>-669.8312388920391</v>
      </c>
      <c r="F64" s="42">
        <v>-3315.1</v>
      </c>
      <c r="G64" s="42">
        <v>-6580.9</v>
      </c>
      <c r="H64" s="8">
        <f t="shared" si="32"/>
        <v>1632.8999999999999</v>
      </c>
      <c r="I64" s="8">
        <f t="shared" si="33"/>
        <v>620.37586090725563</v>
      </c>
      <c r="J64" s="38">
        <f t="shared" si="34"/>
        <v>912.98417149042757</v>
      </c>
      <c r="K64" s="38">
        <f t="shared" si="35"/>
        <v>-42.804850192313197</v>
      </c>
      <c r="L64" s="38">
        <f t="shared" si="36"/>
        <v>137.19514980768679</v>
      </c>
      <c r="M64" s="16">
        <f t="shared" si="37"/>
        <v>-669.83123889203887</v>
      </c>
      <c r="N64" s="16">
        <f t="shared" si="38"/>
        <v>620.37586090725586</v>
      </c>
      <c r="O64" s="16">
        <f t="shared" si="39"/>
        <v>912.98417149042757</v>
      </c>
      <c r="P64" s="16">
        <f>M64-'"0" цикл 24.06'!M64</f>
        <v>-12.261026669924604</v>
      </c>
      <c r="Q64" s="16">
        <f>N64-'"0" цикл 24.06'!N64</f>
        <v>25.535345761520944</v>
      </c>
      <c r="R64" s="16">
        <f t="shared" si="40"/>
        <v>28.326430381554044</v>
      </c>
      <c r="S64" s="16">
        <f t="shared" si="41"/>
        <v>115.6484105504026</v>
      </c>
      <c r="T64" s="16">
        <f t="shared" si="42"/>
        <v>115.6484105504026</v>
      </c>
    </row>
    <row r="65" spans="1:20" x14ac:dyDescent="0.45">
      <c r="A65" s="40">
        <v>31</v>
      </c>
      <c r="B65" s="42">
        <v>-480.5</v>
      </c>
      <c r="C65" s="42">
        <v>3585</v>
      </c>
      <c r="D65" s="8">
        <f t="shared" si="30"/>
        <v>-2032.75</v>
      </c>
      <c r="E65" s="8">
        <f t="shared" si="31"/>
        <v>-665.19672887215302</v>
      </c>
      <c r="F65" s="42">
        <v>-1939.8</v>
      </c>
      <c r="G65" s="42">
        <v>-5408.7</v>
      </c>
      <c r="H65" s="8">
        <f t="shared" si="32"/>
        <v>1734.4499999999998</v>
      </c>
      <c r="I65" s="8">
        <f t="shared" si="33"/>
        <v>616.41764095262397</v>
      </c>
      <c r="J65" s="38">
        <f t="shared" si="34"/>
        <v>906.89436881028803</v>
      </c>
      <c r="K65" s="38">
        <f t="shared" si="35"/>
        <v>-42.820336945414752</v>
      </c>
      <c r="L65" s="38">
        <f t="shared" si="36"/>
        <v>137.17966305458526</v>
      </c>
      <c r="M65" s="16">
        <f t="shared" si="37"/>
        <v>-665.19672887215324</v>
      </c>
      <c r="N65" s="16">
        <f t="shared" si="38"/>
        <v>616.41764095262363</v>
      </c>
      <c r="O65" s="16">
        <f t="shared" si="39"/>
        <v>906.89436881028803</v>
      </c>
      <c r="P65" s="16">
        <f>M65-'"0" цикл 24.06'!M65</f>
        <v>-12.963365513988833</v>
      </c>
      <c r="Q65" s="16">
        <f>N65-'"0" цикл 24.06'!N65</f>
        <v>25.868280221833743</v>
      </c>
      <c r="R65" s="16">
        <f t="shared" si="40"/>
        <v>28.934698323718354</v>
      </c>
      <c r="S65" s="16">
        <f t="shared" si="41"/>
        <v>116.61681296104476</v>
      </c>
      <c r="T65" s="16">
        <f t="shared" si="42"/>
        <v>116.61681296104476</v>
      </c>
    </row>
    <row r="66" spans="1:20" x14ac:dyDescent="0.45">
      <c r="A66" s="40">
        <v>31.5</v>
      </c>
      <c r="B66" s="42">
        <v>-1101.3</v>
      </c>
      <c r="C66" s="42">
        <v>3142.1</v>
      </c>
      <c r="D66" s="8">
        <f t="shared" si="30"/>
        <v>-2121.6999999999998</v>
      </c>
      <c r="E66" s="8">
        <f t="shared" si="31"/>
        <v>-660.26928358224689</v>
      </c>
      <c r="F66" s="42">
        <v>-1316.7</v>
      </c>
      <c r="G66" s="42">
        <v>-4953.7</v>
      </c>
      <c r="H66" s="8">
        <f t="shared" si="32"/>
        <v>1818.5</v>
      </c>
      <c r="I66" s="8">
        <f t="shared" si="33"/>
        <v>612.21326505474087</v>
      </c>
      <c r="J66" s="38">
        <f t="shared" si="34"/>
        <v>900.42246126537736</v>
      </c>
      <c r="K66" s="38">
        <f t="shared" si="35"/>
        <v>-42.837220510783276</v>
      </c>
      <c r="L66" s="38">
        <f t="shared" si="36"/>
        <v>137.16277948921672</v>
      </c>
      <c r="M66" s="16">
        <f t="shared" si="37"/>
        <v>-660.26928358224677</v>
      </c>
      <c r="N66" s="16">
        <f t="shared" si="38"/>
        <v>612.21326505474087</v>
      </c>
      <c r="O66" s="16">
        <f t="shared" si="39"/>
        <v>900.42246126537725</v>
      </c>
      <c r="P66" s="16">
        <f>M66-'"0" цикл 24.06'!M66</f>
        <v>-13.757687602744681</v>
      </c>
      <c r="Q66" s="16">
        <f>N66-'"0" цикл 24.06'!N66</f>
        <v>26.307989001860051</v>
      </c>
      <c r="R66" s="16">
        <f t="shared" si="40"/>
        <v>29.688116368282852</v>
      </c>
      <c r="S66" s="16">
        <f t="shared" si="41"/>
        <v>117.60718896129779</v>
      </c>
      <c r="T66" s="16">
        <f t="shared" si="42"/>
        <v>117.60718896129779</v>
      </c>
    </row>
    <row r="67" spans="1:20" x14ac:dyDescent="0.45">
      <c r="A67" s="40">
        <v>32</v>
      </c>
      <c r="B67" s="42">
        <v>-2332.3000000000002</v>
      </c>
      <c r="C67" s="42">
        <v>3352.4</v>
      </c>
      <c r="D67" s="8">
        <f t="shared" si="30"/>
        <v>-2842.3500000000004</v>
      </c>
      <c r="E67" s="8">
        <f t="shared" si="31"/>
        <v>-655.12622834320973</v>
      </c>
      <c r="F67" s="42">
        <v>-91.1</v>
      </c>
      <c r="G67" s="42">
        <v>-5032.8999999999996</v>
      </c>
      <c r="H67" s="8">
        <f t="shared" si="32"/>
        <v>2470.8999999999996</v>
      </c>
      <c r="I67" s="8">
        <f t="shared" si="33"/>
        <v>607.80515376523158</v>
      </c>
      <c r="J67" s="38">
        <f t="shared" si="34"/>
        <v>893.65400463869469</v>
      </c>
      <c r="K67" s="38">
        <f t="shared" si="35"/>
        <v>-42.854174720026741</v>
      </c>
      <c r="L67" s="38">
        <f t="shared" si="36"/>
        <v>137.14582527997325</v>
      </c>
      <c r="M67" s="16">
        <f t="shared" si="37"/>
        <v>-655.12622834320962</v>
      </c>
      <c r="N67" s="16">
        <f t="shared" si="38"/>
        <v>607.80515376523158</v>
      </c>
      <c r="O67" s="16">
        <f t="shared" si="39"/>
        <v>893.65400463869469</v>
      </c>
      <c r="P67" s="16">
        <f>M67-'"0" цикл 24.06'!M67</f>
        <v>-14.823966376267663</v>
      </c>
      <c r="Q67" s="16">
        <f>N67-'"0" цикл 24.06'!N67</f>
        <v>27.05650701440959</v>
      </c>
      <c r="R67" s="16">
        <f t="shared" si="40"/>
        <v>30.851329808381188</v>
      </c>
      <c r="S67" s="16">
        <f t="shared" si="41"/>
        <v>118.71785621855851</v>
      </c>
      <c r="T67" s="16">
        <f t="shared" si="42"/>
        <v>118.71785621855851</v>
      </c>
    </row>
    <row r="68" spans="1:20" x14ac:dyDescent="0.45">
      <c r="A68" s="40">
        <v>32.5</v>
      </c>
      <c r="B68" s="42">
        <v>-3766.6</v>
      </c>
      <c r="C68" s="42">
        <v>3694.5</v>
      </c>
      <c r="D68" s="8">
        <f t="shared" si="30"/>
        <v>-3730.55</v>
      </c>
      <c r="E68" s="8">
        <f t="shared" si="31"/>
        <v>-648.23639556863657</v>
      </c>
      <c r="F68" s="42">
        <v>1342.1</v>
      </c>
      <c r="G68" s="42">
        <v>-5438.8</v>
      </c>
      <c r="H68" s="8">
        <f t="shared" si="32"/>
        <v>3390.45</v>
      </c>
      <c r="I68" s="8">
        <f t="shared" si="33"/>
        <v>601.81566639563039</v>
      </c>
      <c r="J68" s="38">
        <f t="shared" si="34"/>
        <v>884.52954775916589</v>
      </c>
      <c r="K68" s="38">
        <f t="shared" si="35"/>
        <v>-42.873296349476895</v>
      </c>
      <c r="L68" s="38">
        <f t="shared" si="36"/>
        <v>137.1267036505231</v>
      </c>
      <c r="M68" s="16">
        <f t="shared" si="37"/>
        <v>-648.23639556863657</v>
      </c>
      <c r="N68" s="16">
        <f t="shared" si="38"/>
        <v>601.81566639563039</v>
      </c>
      <c r="O68" s="16">
        <f t="shared" si="39"/>
        <v>884.52954775916589</v>
      </c>
      <c r="P68" s="16">
        <f>M68-'"0" цикл 24.06'!M68</f>
        <v>-15.634367290062301</v>
      </c>
      <c r="Q68" s="16">
        <f>N68-'"0" цикл 24.06'!N68</f>
        <v>27.823541072023659</v>
      </c>
      <c r="R68" s="16">
        <f t="shared" si="40"/>
        <v>31.915245234012499</v>
      </c>
      <c r="S68" s="16">
        <f t="shared" si="41"/>
        <v>119.3321323579039</v>
      </c>
      <c r="T68" s="16">
        <f t="shared" si="42"/>
        <v>119.3321323579039</v>
      </c>
    </row>
    <row r="69" spans="1:20" x14ac:dyDescent="0.45">
      <c r="A69" s="40">
        <v>33</v>
      </c>
      <c r="B69" s="42">
        <v>-5024.1000000000004</v>
      </c>
      <c r="C69" s="42">
        <v>3876.3</v>
      </c>
      <c r="D69" s="8">
        <f t="shared" si="30"/>
        <v>-4450.2000000000007</v>
      </c>
      <c r="E69" s="8">
        <f t="shared" si="31"/>
        <v>-639.19378018731982</v>
      </c>
      <c r="F69" s="42">
        <v>2567.3000000000002</v>
      </c>
      <c r="G69" s="42">
        <v>-5644.9</v>
      </c>
      <c r="H69" s="8">
        <f t="shared" si="32"/>
        <v>4106.1000000000004</v>
      </c>
      <c r="I69" s="8">
        <f t="shared" si="33"/>
        <v>593.59735376188985</v>
      </c>
      <c r="J69" s="38">
        <f t="shared" si="34"/>
        <v>872.31101507620201</v>
      </c>
      <c r="K69" s="38">
        <f t="shared" si="35"/>
        <v>-42.881804616043325</v>
      </c>
      <c r="L69" s="38">
        <f t="shared" si="36"/>
        <v>137.11819538395667</v>
      </c>
      <c r="M69" s="16">
        <f t="shared" si="37"/>
        <v>-639.1937801873197</v>
      </c>
      <c r="N69" s="16">
        <f t="shared" si="38"/>
        <v>593.59735376188996</v>
      </c>
      <c r="O69" s="16">
        <f t="shared" si="39"/>
        <v>872.31101507620201</v>
      </c>
      <c r="P69" s="16">
        <f>M69-'"0" цикл 24.06'!M69</f>
        <v>-15.928599481146875</v>
      </c>
      <c r="Q69" s="16">
        <f>N69-'"0" цикл 24.06'!N69</f>
        <v>27.961936362860911</v>
      </c>
      <c r="R69" s="16">
        <f t="shared" si="40"/>
        <v>32.180586796879197</v>
      </c>
      <c r="S69" s="16">
        <f t="shared" si="41"/>
        <v>119.66812954942148</v>
      </c>
      <c r="T69" s="16">
        <f t="shared" si="42"/>
        <v>119.66812954942148</v>
      </c>
    </row>
    <row r="70" spans="1:20" x14ac:dyDescent="0.45">
      <c r="A70" s="40">
        <v>33.5</v>
      </c>
      <c r="B70" s="42">
        <v>-5312.2</v>
      </c>
      <c r="C70" s="42">
        <v>3535.3</v>
      </c>
      <c r="D70" s="8">
        <f t="shared" si="30"/>
        <v>-4423.75</v>
      </c>
      <c r="E70" s="8">
        <f t="shared" si="31"/>
        <v>-628.40702786561155</v>
      </c>
      <c r="F70" s="42">
        <v>2976</v>
      </c>
      <c r="G70" s="42">
        <v>-5355.4</v>
      </c>
      <c r="H70" s="8">
        <f t="shared" si="32"/>
        <v>4165.7</v>
      </c>
      <c r="I70" s="8">
        <f t="shared" si="33"/>
        <v>583.64454387220599</v>
      </c>
      <c r="J70" s="38">
        <f t="shared" si="34"/>
        <v>857.63415642258963</v>
      </c>
      <c r="K70" s="38">
        <f t="shared" si="35"/>
        <v>-42.884960988548521</v>
      </c>
      <c r="L70" s="38">
        <f t="shared" si="36"/>
        <v>137.11503901145147</v>
      </c>
      <c r="M70" s="16">
        <f t="shared" si="37"/>
        <v>-628.40702786561133</v>
      </c>
      <c r="N70" s="16">
        <f t="shared" si="38"/>
        <v>583.64454387220621</v>
      </c>
      <c r="O70" s="16">
        <f t="shared" si="39"/>
        <v>857.63415642258963</v>
      </c>
      <c r="P70" s="16">
        <f>M70-'"0" цикл 24.06'!M70</f>
        <v>-15.242980201132468</v>
      </c>
      <c r="Q70" s="16">
        <f>N70-'"0" цикл 24.06'!N70</f>
        <v>27.04895463161472</v>
      </c>
      <c r="R70" s="16">
        <f t="shared" si="40"/>
        <v>31.048259082841792</v>
      </c>
      <c r="S70" s="16">
        <f t="shared" si="41"/>
        <v>119.40269704572268</v>
      </c>
      <c r="T70" s="16">
        <f t="shared" si="42"/>
        <v>119.40269704572268</v>
      </c>
    </row>
    <row r="71" spans="1:20" x14ac:dyDescent="0.45">
      <c r="A71" s="40">
        <v>34</v>
      </c>
      <c r="B71" s="42">
        <v>-3287</v>
      </c>
      <c r="C71" s="42">
        <v>4531</v>
      </c>
      <c r="D71" s="8">
        <f t="shared" si="30"/>
        <v>-3909</v>
      </c>
      <c r="E71" s="8">
        <f t="shared" si="31"/>
        <v>-617.68437731955407</v>
      </c>
      <c r="F71" s="42">
        <v>1203.0999999999999</v>
      </c>
      <c r="G71" s="42">
        <v>-6534.3</v>
      </c>
      <c r="H71" s="8">
        <f t="shared" si="32"/>
        <v>3868.7</v>
      </c>
      <c r="I71" s="8">
        <f t="shared" si="33"/>
        <v>573.54728854871314</v>
      </c>
      <c r="J71" s="38">
        <f t="shared" si="34"/>
        <v>842.90597470075284</v>
      </c>
      <c r="K71" s="38">
        <f t="shared" si="35"/>
        <v>-42.878067969066606</v>
      </c>
      <c r="L71" s="38">
        <f t="shared" si="36"/>
        <v>137.12193203093341</v>
      </c>
      <c r="M71" s="16">
        <f t="shared" si="37"/>
        <v>-617.6843773195543</v>
      </c>
      <c r="N71" s="16">
        <f t="shared" si="38"/>
        <v>573.54728854871303</v>
      </c>
      <c r="O71" s="16">
        <f t="shared" si="39"/>
        <v>842.90597470075284</v>
      </c>
      <c r="P71" s="16">
        <f>M71-'"0" цикл 24.06'!M71</f>
        <v>-14.169946860346499</v>
      </c>
      <c r="Q71" s="16">
        <f>N71-'"0" цикл 24.06'!N71</f>
        <v>25.825868979040251</v>
      </c>
      <c r="R71" s="16">
        <f t="shared" si="40"/>
        <v>29.457815644538158</v>
      </c>
      <c r="S71" s="16">
        <f t="shared" si="41"/>
        <v>118.75237021569723</v>
      </c>
      <c r="T71" s="16">
        <f t="shared" si="42"/>
        <v>118.75237021569723</v>
      </c>
    </row>
    <row r="72" spans="1:20" x14ac:dyDescent="0.45">
      <c r="A72" s="40">
        <v>34.5</v>
      </c>
      <c r="B72" s="42">
        <v>-2506.1</v>
      </c>
      <c r="C72" s="42">
        <v>4604.3</v>
      </c>
      <c r="D72" s="8">
        <f t="shared" si="30"/>
        <v>-3555.2</v>
      </c>
      <c r="E72" s="8">
        <f t="shared" si="31"/>
        <v>-608.20926111749418</v>
      </c>
      <c r="F72" s="42">
        <v>-68.599999999999994</v>
      </c>
      <c r="G72" s="42">
        <v>-6333.8</v>
      </c>
      <c r="H72" s="8">
        <f t="shared" si="32"/>
        <v>3132.6</v>
      </c>
      <c r="I72" s="8">
        <f t="shared" si="33"/>
        <v>564.1698449412645</v>
      </c>
      <c r="J72" s="38">
        <f t="shared" si="34"/>
        <v>829.58189423958538</v>
      </c>
      <c r="K72" s="38">
        <f t="shared" si="35"/>
        <v>-42.848744628663326</v>
      </c>
      <c r="L72" s="38">
        <f t="shared" si="36"/>
        <v>137.15125537133667</v>
      </c>
      <c r="M72" s="16">
        <f t="shared" si="37"/>
        <v>-608.20926111749407</v>
      </c>
      <c r="N72" s="16">
        <f t="shared" si="38"/>
        <v>564.16984494126461</v>
      </c>
      <c r="O72" s="16">
        <f t="shared" si="39"/>
        <v>829.58189423958538</v>
      </c>
      <c r="P72" s="16">
        <f>M72-'"0" цикл 24.06'!M72</f>
        <v>-14.014106793424617</v>
      </c>
      <c r="Q72" s="16">
        <f>N72-'"0" цикл 24.06'!N72</f>
        <v>24.385098019232487</v>
      </c>
      <c r="R72" s="16">
        <f t="shared" si="40"/>
        <v>28.125223459113815</v>
      </c>
      <c r="S72" s="16">
        <f t="shared" si="41"/>
        <v>119.88596641044663</v>
      </c>
      <c r="T72" s="16">
        <f t="shared" si="42"/>
        <v>119.88596641044663</v>
      </c>
    </row>
    <row r="73" spans="1:20" x14ac:dyDescent="0.45">
      <c r="A73" s="40">
        <v>35</v>
      </c>
      <c r="B73" s="42">
        <v>-1337.1</v>
      </c>
      <c r="C73" s="42">
        <v>4932.1000000000004</v>
      </c>
      <c r="D73" s="8">
        <f t="shared" si="30"/>
        <v>-3134.6000000000004</v>
      </c>
      <c r="E73" s="8">
        <f t="shared" si="31"/>
        <v>-599.59163982835196</v>
      </c>
      <c r="F73" s="42">
        <v>-910.9</v>
      </c>
      <c r="G73" s="42">
        <v>-6759.6</v>
      </c>
      <c r="H73" s="8">
        <f t="shared" si="32"/>
        <v>2924.3500000000004</v>
      </c>
      <c r="I73" s="8">
        <f t="shared" si="33"/>
        <v>556.57650016687137</v>
      </c>
      <c r="J73" s="38">
        <f t="shared" si="34"/>
        <v>818.09995421712108</v>
      </c>
      <c r="K73" s="38">
        <f t="shared" si="35"/>
        <v>-42.869298027427561</v>
      </c>
      <c r="L73" s="38">
        <f t="shared" si="36"/>
        <v>137.13070197257244</v>
      </c>
      <c r="M73" s="16">
        <f t="shared" si="37"/>
        <v>-599.59163982835207</v>
      </c>
      <c r="N73" s="16">
        <f t="shared" si="38"/>
        <v>556.57650016687137</v>
      </c>
      <c r="O73" s="16">
        <f t="shared" si="39"/>
        <v>818.09995421712108</v>
      </c>
      <c r="P73" s="16">
        <f>M73-'"0" цикл 24.06'!M73</f>
        <v>-13.918976085643635</v>
      </c>
      <c r="Q73" s="16">
        <f>N73-'"0" цикл 24.06'!N73</f>
        <v>24.136901115323099</v>
      </c>
      <c r="R73" s="16">
        <f t="shared" si="40"/>
        <v>27.862661228310639</v>
      </c>
      <c r="S73" s="16">
        <f t="shared" si="41"/>
        <v>119.97066869233024</v>
      </c>
      <c r="T73" s="16">
        <f t="shared" si="42"/>
        <v>119.97066869233024</v>
      </c>
    </row>
    <row r="74" spans="1:20" x14ac:dyDescent="0.45">
      <c r="A74" s="40">
        <v>35.5</v>
      </c>
      <c r="B74" s="42">
        <v>-520.29999999999995</v>
      </c>
      <c r="C74" s="42">
        <v>5335.6</v>
      </c>
      <c r="D74" s="8">
        <f t="shared" si="30"/>
        <v>-2927.9500000000003</v>
      </c>
      <c r="E74" s="8">
        <f t="shared" si="31"/>
        <v>-591.99344747661337</v>
      </c>
      <c r="F74" s="42">
        <v>-2199.6</v>
      </c>
      <c r="G74" s="42">
        <v>-7142.4</v>
      </c>
      <c r="H74" s="8">
        <f t="shared" si="32"/>
        <v>2471.3999999999996</v>
      </c>
      <c r="I74" s="8">
        <f t="shared" si="33"/>
        <v>549.48791320510736</v>
      </c>
      <c r="J74" s="38">
        <f t="shared" si="34"/>
        <v>807.70861615668639</v>
      </c>
      <c r="K74" s="38">
        <f t="shared" si="35"/>
        <v>-42.867452682595946</v>
      </c>
      <c r="L74" s="38">
        <f t="shared" si="36"/>
        <v>137.13254731740406</v>
      </c>
      <c r="M74" s="16">
        <f t="shared" si="37"/>
        <v>-591.99344747661326</v>
      </c>
      <c r="N74" s="16">
        <f t="shared" si="38"/>
        <v>549.48791320510736</v>
      </c>
      <c r="O74" s="16">
        <f t="shared" si="39"/>
        <v>807.70861615668628</v>
      </c>
      <c r="P74" s="16">
        <f>M74-'"0" цикл 24.06'!M74</f>
        <v>-14.360708515275178</v>
      </c>
      <c r="Q74" s="16">
        <f>N74-'"0" цикл 24.06'!N74</f>
        <v>24.13084155284298</v>
      </c>
      <c r="R74" s="16">
        <f t="shared" si="40"/>
        <v>28.080731171198344</v>
      </c>
      <c r="S74" s="16">
        <f t="shared" si="41"/>
        <v>120.75765663180488</v>
      </c>
      <c r="T74" s="16">
        <f t="shared" si="42"/>
        <v>120.75765663180488</v>
      </c>
    </row>
    <row r="75" spans="1:20" x14ac:dyDescent="0.45">
      <c r="A75" s="40">
        <v>36</v>
      </c>
      <c r="B75" s="42">
        <v>794.2</v>
      </c>
      <c r="C75" s="42">
        <v>5760.5</v>
      </c>
      <c r="D75" s="8">
        <f t="shared" si="30"/>
        <v>-2483.15</v>
      </c>
      <c r="E75" s="8">
        <f t="shared" si="31"/>
        <v>-584.89613474670773</v>
      </c>
      <c r="F75" s="42">
        <v>-3071.2</v>
      </c>
      <c r="G75" s="42">
        <v>-7495.5</v>
      </c>
      <c r="H75" s="8">
        <f t="shared" si="32"/>
        <v>2212.15</v>
      </c>
      <c r="I75" s="8">
        <f t="shared" si="33"/>
        <v>543.49721388828505</v>
      </c>
      <c r="J75" s="38">
        <f t="shared" si="34"/>
        <v>798.43140591159568</v>
      </c>
      <c r="K75" s="38">
        <f t="shared" si="35"/>
        <v>-42.89885322882553</v>
      </c>
      <c r="L75" s="38">
        <f t="shared" si="36"/>
        <v>137.10114677117446</v>
      </c>
      <c r="M75" s="16">
        <f t="shared" si="37"/>
        <v>-584.89613474670762</v>
      </c>
      <c r="N75" s="16">
        <f t="shared" si="38"/>
        <v>543.49721388828516</v>
      </c>
      <c r="O75" s="16">
        <f t="shared" si="39"/>
        <v>798.43140591159568</v>
      </c>
      <c r="P75" s="16">
        <f>M75-'"0" цикл 24.06'!M75</f>
        <v>-14.679561121587312</v>
      </c>
      <c r="Q75" s="16">
        <f>N75-'"0" цикл 24.06'!N75</f>
        <v>24.555505640841488</v>
      </c>
      <c r="R75" s="16">
        <f t="shared" si="40"/>
        <v>28.608781379146787</v>
      </c>
      <c r="S75" s="16">
        <f t="shared" si="41"/>
        <v>120.8714632784848</v>
      </c>
      <c r="T75" s="16">
        <f t="shared" si="42"/>
        <v>120.8714632784848</v>
      </c>
    </row>
    <row r="76" spans="1:20" x14ac:dyDescent="0.45">
      <c r="A76" s="40">
        <v>36.5</v>
      </c>
      <c r="B76" s="42">
        <v>961.1</v>
      </c>
      <c r="C76" s="42">
        <v>5846.1</v>
      </c>
      <c r="D76" s="8">
        <f t="shared" si="30"/>
        <v>-2442.5</v>
      </c>
      <c r="E76" s="8">
        <f t="shared" si="31"/>
        <v>-578.87695468033814</v>
      </c>
      <c r="F76" s="42">
        <v>-3286.4</v>
      </c>
      <c r="G76" s="42">
        <v>-7731.1</v>
      </c>
      <c r="H76" s="8">
        <f t="shared" si="32"/>
        <v>2222.3500000000004</v>
      </c>
      <c r="I76" s="8">
        <f t="shared" si="33"/>
        <v>538.13491376293086</v>
      </c>
      <c r="J76" s="38">
        <f t="shared" si="34"/>
        <v>790.37188340085788</v>
      </c>
      <c r="K76" s="38">
        <f t="shared" si="35"/>
        <v>-42.91111204019753</v>
      </c>
      <c r="L76" s="38">
        <f t="shared" si="36"/>
        <v>137.08888795980246</v>
      </c>
      <c r="M76" s="16">
        <f t="shared" si="37"/>
        <v>-578.87695468033803</v>
      </c>
      <c r="N76" s="16">
        <f t="shared" si="38"/>
        <v>538.13491376293098</v>
      </c>
      <c r="O76" s="16">
        <f t="shared" si="39"/>
        <v>790.37188340085788</v>
      </c>
      <c r="P76" s="16">
        <f>M76-'"0" цикл 24.06'!M76</f>
        <v>-15.198997995529112</v>
      </c>
      <c r="Q76" s="16">
        <f>N76-'"0" цикл 24.06'!N76</f>
        <v>24.690881877096444</v>
      </c>
      <c r="R76" s="16">
        <f t="shared" si="40"/>
        <v>28.993950885259284</v>
      </c>
      <c r="S76" s="16">
        <f t="shared" si="41"/>
        <v>121.61525938015126</v>
      </c>
      <c r="T76" s="16">
        <f t="shared" si="42"/>
        <v>121.61525938015126</v>
      </c>
    </row>
    <row r="77" spans="1:20" x14ac:dyDescent="0.45">
      <c r="A77" s="40">
        <v>37</v>
      </c>
      <c r="B77" s="42">
        <v>-2587.8000000000002</v>
      </c>
      <c r="C77" s="42">
        <v>8189.6</v>
      </c>
      <c r="D77" s="8">
        <f t="shared" si="30"/>
        <v>-5388.7000000000007</v>
      </c>
      <c r="E77" s="8">
        <f t="shared" si="31"/>
        <v>-572.95630597045249</v>
      </c>
      <c r="F77" s="42">
        <v>10.5</v>
      </c>
      <c r="G77" s="42">
        <v>-9993.2000000000007</v>
      </c>
      <c r="H77" s="8">
        <f t="shared" si="32"/>
        <v>5001.8500000000004</v>
      </c>
      <c r="I77" s="8">
        <f t="shared" si="33"/>
        <v>532.74788956837449</v>
      </c>
      <c r="J77" s="38">
        <f t="shared" si="34"/>
        <v>782.36771558574912</v>
      </c>
      <c r="K77" s="38">
        <f t="shared" si="35"/>
        <v>-42.917383430408606</v>
      </c>
      <c r="L77" s="38">
        <f t="shared" si="36"/>
        <v>137.08261656959138</v>
      </c>
      <c r="M77" s="16">
        <f t="shared" si="37"/>
        <v>-572.95630597045215</v>
      </c>
      <c r="N77" s="16">
        <f t="shared" si="38"/>
        <v>532.74788956837483</v>
      </c>
      <c r="O77" s="16">
        <f t="shared" si="39"/>
        <v>782.36771558574912</v>
      </c>
      <c r="P77" s="16">
        <f>M77-'"0" цикл 24.06'!M77</f>
        <v>-15.085680591767073</v>
      </c>
      <c r="Q77" s="16">
        <f>N77-'"0" цикл 24.06'!N77</f>
        <v>24.319777095068446</v>
      </c>
      <c r="R77" s="16">
        <f t="shared" si="40"/>
        <v>28.61868824510714</v>
      </c>
      <c r="S77" s="16">
        <f t="shared" si="41"/>
        <v>121.81153619569686</v>
      </c>
      <c r="T77" s="16">
        <f t="shared" si="42"/>
        <v>121.81153619569686</v>
      </c>
    </row>
    <row r="78" spans="1:20" x14ac:dyDescent="0.45">
      <c r="A78" s="40">
        <v>37.5</v>
      </c>
      <c r="B78" s="42">
        <v>-1577.3</v>
      </c>
      <c r="C78" s="42">
        <v>8767</v>
      </c>
      <c r="D78" s="8">
        <f t="shared" si="30"/>
        <v>-5172.1499999999996</v>
      </c>
      <c r="E78" s="8">
        <f t="shared" si="31"/>
        <v>-559.89521442258103</v>
      </c>
      <c r="F78" s="42">
        <v>-359.4</v>
      </c>
      <c r="G78" s="42">
        <v>-10444.9</v>
      </c>
      <c r="H78" s="8">
        <f t="shared" si="32"/>
        <v>5042.75</v>
      </c>
      <c r="I78" s="8">
        <f t="shared" si="33"/>
        <v>520.62425130445115</v>
      </c>
      <c r="J78" s="38">
        <f t="shared" si="34"/>
        <v>764.54709611614396</v>
      </c>
      <c r="K78" s="38">
        <f t="shared" si="35"/>
        <v>-42.918528467023741</v>
      </c>
      <c r="L78" s="38">
        <f t="shared" si="36"/>
        <v>137.08147153297625</v>
      </c>
      <c r="M78" s="16">
        <f t="shared" si="37"/>
        <v>-559.89521442258092</v>
      </c>
      <c r="N78" s="16">
        <f t="shared" si="38"/>
        <v>520.62425130445115</v>
      </c>
      <c r="O78" s="16">
        <f t="shared" si="39"/>
        <v>764.54709611614385</v>
      </c>
      <c r="P78" s="16">
        <f>M78-'"0" цикл 24.06'!M78</f>
        <v>-15.306557745615692</v>
      </c>
      <c r="Q78" s="16">
        <f>N78-'"0" цикл 24.06'!N78</f>
        <v>24.105551343534898</v>
      </c>
      <c r="R78" s="16">
        <f t="shared" si="40"/>
        <v>28.554654884898625</v>
      </c>
      <c r="S78" s="16">
        <f t="shared" si="41"/>
        <v>122.41475568334508</v>
      </c>
      <c r="T78" s="16">
        <f t="shared" si="42"/>
        <v>122.41475568334508</v>
      </c>
    </row>
    <row r="79" spans="1:20" x14ac:dyDescent="0.45">
      <c r="A79" s="40">
        <v>38</v>
      </c>
      <c r="B79" s="42">
        <v>-1337.4</v>
      </c>
      <c r="C79" s="42">
        <v>9770</v>
      </c>
      <c r="D79" s="8">
        <f t="shared" si="30"/>
        <v>-5553.7</v>
      </c>
      <c r="E79" s="8">
        <f t="shared" si="31"/>
        <v>-547.35888286050863</v>
      </c>
      <c r="F79" s="42">
        <v>-1642.6</v>
      </c>
      <c r="G79" s="42">
        <v>-11565.6</v>
      </c>
      <c r="H79" s="8">
        <f t="shared" si="32"/>
        <v>4961.5</v>
      </c>
      <c r="I79" s="8">
        <f t="shared" si="33"/>
        <v>508.40149803102048</v>
      </c>
      <c r="J79" s="38">
        <f t="shared" si="34"/>
        <v>747.04339221124883</v>
      </c>
      <c r="K79" s="38">
        <f t="shared" si="35"/>
        <v>-42.88675391931887</v>
      </c>
      <c r="L79" s="38">
        <f t="shared" si="36"/>
        <v>137.11324608068114</v>
      </c>
      <c r="M79" s="16">
        <f t="shared" si="37"/>
        <v>-547.35888286050852</v>
      </c>
      <c r="N79" s="16">
        <f t="shared" si="38"/>
        <v>508.40149803102054</v>
      </c>
      <c r="O79" s="16">
        <f t="shared" si="39"/>
        <v>747.04339221124883</v>
      </c>
      <c r="P79" s="16">
        <f>M79-'"0" цикл 24.06'!M79</f>
        <v>-15.46467785534287</v>
      </c>
      <c r="Q79" s="16">
        <f>N79-'"0" цикл 24.06'!N79</f>
        <v>23.848796444867446</v>
      </c>
      <c r="R79" s="16">
        <f t="shared" si="40"/>
        <v>28.42395737820922</v>
      </c>
      <c r="S79" s="16">
        <f t="shared" si="41"/>
        <v>122.96126658508464</v>
      </c>
      <c r="T79" s="16">
        <f t="shared" si="42"/>
        <v>122.96126658508464</v>
      </c>
    </row>
    <row r="80" spans="1:20" x14ac:dyDescent="0.45">
      <c r="A80" s="40">
        <v>38.5</v>
      </c>
      <c r="B80" s="42">
        <v>395.8</v>
      </c>
      <c r="C80" s="42">
        <v>10889.6</v>
      </c>
      <c r="D80" s="8">
        <f t="shared" si="30"/>
        <v>-5246.9000000000005</v>
      </c>
      <c r="E80" s="8">
        <f t="shared" si="31"/>
        <v>-533.89796073449486</v>
      </c>
      <c r="F80" s="42">
        <v>-2751.7</v>
      </c>
      <c r="G80" s="42">
        <v>-12722.7</v>
      </c>
      <c r="H80" s="8">
        <f t="shared" si="32"/>
        <v>4985.5</v>
      </c>
      <c r="I80" s="8">
        <f t="shared" si="33"/>
        <v>496.37564240130598</v>
      </c>
      <c r="J80" s="38">
        <f t="shared" si="34"/>
        <v>728.99644090061338</v>
      </c>
      <c r="K80" s="38">
        <f t="shared" si="35"/>
        <v>-42.914223271784515</v>
      </c>
      <c r="L80" s="38">
        <f t="shared" si="36"/>
        <v>137.08577672821548</v>
      </c>
      <c r="M80" s="16">
        <f t="shared" si="37"/>
        <v>-533.89796073449486</v>
      </c>
      <c r="N80" s="16">
        <f t="shared" si="38"/>
        <v>496.37564240130604</v>
      </c>
      <c r="O80" s="16">
        <f t="shared" si="39"/>
        <v>728.99644090061338</v>
      </c>
      <c r="P80" s="16">
        <f>M80-'"0" цикл 24.06'!M80</f>
        <v>-15.43620535358798</v>
      </c>
      <c r="Q80" s="16">
        <f>N80-'"0" цикл 24.06'!N80</f>
        <v>24.033335030415287</v>
      </c>
      <c r="R80" s="16">
        <f t="shared" si="40"/>
        <v>28.563571702473148</v>
      </c>
      <c r="S80" s="16">
        <f t="shared" si="41"/>
        <v>122.71194840406569</v>
      </c>
      <c r="T80" s="16">
        <f t="shared" si="42"/>
        <v>122.71194840406569</v>
      </c>
    </row>
    <row r="81" spans="1:20" x14ac:dyDescent="0.45">
      <c r="A81" s="40">
        <v>39</v>
      </c>
      <c r="B81" s="42">
        <v>1752.7</v>
      </c>
      <c r="C81" s="42">
        <v>12116.8</v>
      </c>
      <c r="D81" s="8">
        <f t="shared" si="30"/>
        <v>-5182.0499999999993</v>
      </c>
      <c r="E81" s="8">
        <f t="shared" si="31"/>
        <v>-521.18048784960388</v>
      </c>
      <c r="F81" s="42">
        <v>-4136</v>
      </c>
      <c r="G81" s="42">
        <v>-13824.7</v>
      </c>
      <c r="H81" s="8">
        <f t="shared" si="32"/>
        <v>4844.3500000000004</v>
      </c>
      <c r="I81" s="8">
        <f t="shared" si="33"/>
        <v>484.2916260412714</v>
      </c>
      <c r="J81" s="38">
        <f t="shared" si="34"/>
        <v>711.45448200770352</v>
      </c>
      <c r="K81" s="38">
        <f t="shared" si="35"/>
        <v>-42.898869072861466</v>
      </c>
      <c r="L81" s="38">
        <f t="shared" si="36"/>
        <v>137.10113092713854</v>
      </c>
      <c r="M81" s="16">
        <f t="shared" si="37"/>
        <v>-521.18048784960399</v>
      </c>
      <c r="N81" s="16">
        <f t="shared" si="38"/>
        <v>484.29162604127134</v>
      </c>
      <c r="O81" s="16">
        <f t="shared" si="39"/>
        <v>711.45448200770363</v>
      </c>
      <c r="P81" s="16">
        <f>M81-'"0" цикл 24.06'!M81</f>
        <v>-15.794726944205195</v>
      </c>
      <c r="Q81" s="16">
        <f>N81-'"0" цикл 24.06'!N81</f>
        <v>23.676370998340531</v>
      </c>
      <c r="R81" s="16">
        <f t="shared" si="40"/>
        <v>28.461270928984568</v>
      </c>
      <c r="S81" s="16">
        <f t="shared" si="41"/>
        <v>123.70762100202415</v>
      </c>
      <c r="T81" s="16">
        <f t="shared" si="42"/>
        <v>123.70762100202415</v>
      </c>
    </row>
    <row r="82" spans="1:20" x14ac:dyDescent="0.45">
      <c r="A82" s="40">
        <v>39.5</v>
      </c>
      <c r="B82" s="42">
        <v>2426.1</v>
      </c>
      <c r="C82" s="42">
        <v>12441.7</v>
      </c>
      <c r="D82" s="8">
        <f t="shared" si="30"/>
        <v>-5007.8</v>
      </c>
      <c r="E82" s="8">
        <f t="shared" si="31"/>
        <v>-508.62016556907116</v>
      </c>
      <c r="F82" s="42">
        <v>-4931.2</v>
      </c>
      <c r="G82" s="42">
        <v>-14225.5</v>
      </c>
      <c r="H82" s="8">
        <f t="shared" si="32"/>
        <v>4647.1499999999996</v>
      </c>
      <c r="I82" s="8">
        <f t="shared" si="33"/>
        <v>472.54966979881038</v>
      </c>
      <c r="J82" s="38">
        <f t="shared" si="34"/>
        <v>694.2605154050417</v>
      </c>
      <c r="K82" s="38">
        <f t="shared" si="35"/>
        <v>-42.894598049966064</v>
      </c>
      <c r="L82" s="38">
        <f t="shared" si="36"/>
        <v>137.10540195003392</v>
      </c>
      <c r="M82" s="16">
        <f t="shared" si="37"/>
        <v>-508.6201655690711</v>
      </c>
      <c r="N82" s="16">
        <f t="shared" si="38"/>
        <v>472.54966979881056</v>
      </c>
      <c r="O82" s="16">
        <f t="shared" si="39"/>
        <v>694.2605154050417</v>
      </c>
      <c r="P82" s="16">
        <f>M82-'"0" цикл 24.06'!M82</f>
        <v>-15.984349529575923</v>
      </c>
      <c r="Q82" s="16">
        <f>N82-'"0" цикл 24.06'!N82</f>
        <v>23.920405957597723</v>
      </c>
      <c r="R82" s="16">
        <f t="shared" si="40"/>
        <v>28.769519479128089</v>
      </c>
      <c r="S82" s="16">
        <f t="shared" si="41"/>
        <v>123.7520620342242</v>
      </c>
      <c r="T82" s="16">
        <f t="shared" si="42"/>
        <v>123.7520620342242</v>
      </c>
    </row>
    <row r="83" spans="1:20" x14ac:dyDescent="0.45">
      <c r="A83" s="40">
        <v>40</v>
      </c>
      <c r="B83" s="42">
        <v>2013.9</v>
      </c>
      <c r="C83" s="42">
        <v>9656.1</v>
      </c>
      <c r="D83" s="8">
        <f t="shared" si="30"/>
        <v>-3821.1000000000004</v>
      </c>
      <c r="E83" s="8">
        <f t="shared" si="31"/>
        <v>-496.48210834372543</v>
      </c>
      <c r="F83" s="42">
        <v>-4257.3</v>
      </c>
      <c r="G83" s="42">
        <v>-11434.9</v>
      </c>
      <c r="H83" s="8">
        <f t="shared" si="32"/>
        <v>3588.7999999999997</v>
      </c>
      <c r="I83" s="8">
        <f t="shared" si="33"/>
        <v>461.28561330688052</v>
      </c>
      <c r="J83" s="38">
        <f t="shared" si="34"/>
        <v>677.70118854059547</v>
      </c>
      <c r="K83" s="38">
        <f t="shared" si="35"/>
        <v>-42.895415003653603</v>
      </c>
      <c r="L83" s="38">
        <f t="shared" si="36"/>
        <v>137.1045849963464</v>
      </c>
      <c r="M83" s="16">
        <f t="shared" si="37"/>
        <v>-496.4821083437256</v>
      </c>
      <c r="N83" s="16">
        <f t="shared" si="38"/>
        <v>461.28561330688041</v>
      </c>
      <c r="O83" s="16">
        <f t="shared" si="39"/>
        <v>677.70118854059547</v>
      </c>
      <c r="P83" s="16">
        <f>M83-'"0" цикл 24.06'!M83</f>
        <v>-16.179307431684038</v>
      </c>
      <c r="Q83" s="16">
        <f>N83-'"0" цикл 24.06'!N83</f>
        <v>23.794507207881679</v>
      </c>
      <c r="R83" s="16">
        <f t="shared" si="40"/>
        <v>28.774095333040091</v>
      </c>
      <c r="S83" s="16">
        <f t="shared" si="41"/>
        <v>124.21412556376261</v>
      </c>
      <c r="T83" s="16">
        <f t="shared" si="42"/>
        <v>124.21412556376261</v>
      </c>
    </row>
    <row r="84" spans="1:20" x14ac:dyDescent="0.45">
      <c r="A84" s="40">
        <v>40.5</v>
      </c>
      <c r="B84" s="42">
        <v>2102.4</v>
      </c>
      <c r="C84" s="42">
        <v>9103.1</v>
      </c>
      <c r="D84" s="8">
        <f t="shared" si="30"/>
        <v>-3500.3500000000004</v>
      </c>
      <c r="E84" s="8">
        <f t="shared" si="31"/>
        <v>-487.22003034606223</v>
      </c>
      <c r="F84" s="42">
        <v>-4552.8999999999996</v>
      </c>
      <c r="G84" s="42">
        <v>-10968.1</v>
      </c>
      <c r="H84" s="8">
        <f t="shared" si="32"/>
        <v>3207.6000000000004</v>
      </c>
      <c r="I84" s="8">
        <f t="shared" si="33"/>
        <v>452.58655553222127</v>
      </c>
      <c r="J84" s="38">
        <f t="shared" si="34"/>
        <v>664.99469788783892</v>
      </c>
      <c r="K84" s="38">
        <f t="shared" si="35"/>
        <v>-42.889507888191169</v>
      </c>
      <c r="L84" s="38">
        <f t="shared" si="36"/>
        <v>137.11049211180884</v>
      </c>
      <c r="M84" s="16">
        <f t="shared" si="37"/>
        <v>-487.22003034606217</v>
      </c>
      <c r="N84" s="16">
        <f t="shared" si="38"/>
        <v>452.58655553222127</v>
      </c>
      <c r="O84" s="16">
        <f t="shared" si="39"/>
        <v>664.99469788783892</v>
      </c>
      <c r="P84" s="16">
        <f>M84-'"0" цикл 24.06'!M84</f>
        <v>-16.329694645909001</v>
      </c>
      <c r="Q84" s="16">
        <f>N84-'"0" цикл 24.06'!N84</f>
        <v>23.357631746225991</v>
      </c>
      <c r="R84" s="16">
        <f t="shared" si="40"/>
        <v>28.499787508347026</v>
      </c>
      <c r="S84" s="16">
        <f t="shared" si="41"/>
        <v>124.95801408626988</v>
      </c>
      <c r="T84" s="16">
        <f t="shared" si="42"/>
        <v>124.95801408626988</v>
      </c>
    </row>
    <row r="85" spans="1:20" x14ac:dyDescent="0.45">
      <c r="A85" s="40">
        <v>41</v>
      </c>
      <c r="B85" s="42">
        <v>2202.3000000000002</v>
      </c>
      <c r="C85" s="42">
        <v>8096</v>
      </c>
      <c r="D85" s="8">
        <f t="shared" si="30"/>
        <v>-2946.85</v>
      </c>
      <c r="E85" s="8">
        <f t="shared" si="31"/>
        <v>-478.73534976247726</v>
      </c>
      <c r="F85" s="42">
        <v>-4726.5</v>
      </c>
      <c r="G85" s="42">
        <v>-9946.4</v>
      </c>
      <c r="H85" s="8">
        <f t="shared" si="32"/>
        <v>2609.9499999999998</v>
      </c>
      <c r="I85" s="8">
        <f t="shared" si="33"/>
        <v>444.81142709995612</v>
      </c>
      <c r="J85" s="38">
        <f t="shared" si="34"/>
        <v>653.48660337523449</v>
      </c>
      <c r="K85" s="38">
        <f t="shared" si="35"/>
        <v>-42.896344649836578</v>
      </c>
      <c r="L85" s="38">
        <f t="shared" si="36"/>
        <v>137.10365535016342</v>
      </c>
      <c r="M85" s="16">
        <f t="shared" si="37"/>
        <v>-478.7353497624772</v>
      </c>
      <c r="N85" s="16">
        <f t="shared" si="38"/>
        <v>444.81142709995618</v>
      </c>
      <c r="O85" s="16">
        <f t="shared" si="39"/>
        <v>653.48660337523449</v>
      </c>
      <c r="P85" s="16">
        <f>M85-'"0" цикл 24.06'!M85</f>
        <v>-16.450759178171211</v>
      </c>
      <c r="Q85" s="16">
        <f>N85-'"0" цикл 24.06'!N85</f>
        <v>23.301400110081374</v>
      </c>
      <c r="R85" s="16">
        <f t="shared" si="40"/>
        <v>28.52337155085781</v>
      </c>
      <c r="S85" s="16">
        <f t="shared" si="41"/>
        <v>125.22204361468854</v>
      </c>
      <c r="T85" s="16">
        <f t="shared" si="42"/>
        <v>125.22204361468854</v>
      </c>
    </row>
    <row r="86" spans="1:20" x14ac:dyDescent="0.45">
      <c r="A86" s="40">
        <v>41.5</v>
      </c>
      <c r="B86" s="42">
        <v>2100.9</v>
      </c>
      <c r="C86" s="42">
        <v>7271.8</v>
      </c>
      <c r="D86" s="8">
        <f t="shared" si="30"/>
        <v>-2585.4499999999998</v>
      </c>
      <c r="E86" s="8">
        <f t="shared" si="31"/>
        <v>-471.59222678535963</v>
      </c>
      <c r="F86" s="42">
        <v>-4507</v>
      </c>
      <c r="G86" s="42">
        <v>-9050.6</v>
      </c>
      <c r="H86" s="8">
        <f t="shared" si="32"/>
        <v>2271.8000000000002</v>
      </c>
      <c r="I86" s="8">
        <f t="shared" si="33"/>
        <v>438.48489858977319</v>
      </c>
      <c r="J86" s="38">
        <f t="shared" si="34"/>
        <v>643.94738500568337</v>
      </c>
      <c r="K86" s="38">
        <f t="shared" si="35"/>
        <v>-42.916578720881873</v>
      </c>
      <c r="L86" s="38">
        <f t="shared" si="36"/>
        <v>137.08342127911811</v>
      </c>
      <c r="M86" s="16">
        <f t="shared" si="37"/>
        <v>-471.59222678535957</v>
      </c>
      <c r="N86" s="16">
        <f t="shared" si="38"/>
        <v>438.48489858977337</v>
      </c>
      <c r="O86" s="16">
        <f t="shared" si="39"/>
        <v>643.94738500568337</v>
      </c>
      <c r="P86" s="16">
        <f>M86-'"0" цикл 24.06'!M86</f>
        <v>-16.975391208799238</v>
      </c>
      <c r="Q86" s="16">
        <f>N86-'"0" цикл 24.06'!N86</f>
        <v>23.223230085241653</v>
      </c>
      <c r="R86" s="16">
        <f t="shared" si="40"/>
        <v>28.765992461304922</v>
      </c>
      <c r="S86" s="16">
        <f t="shared" si="41"/>
        <v>126.16553344807465</v>
      </c>
      <c r="T86" s="16">
        <f t="shared" si="42"/>
        <v>126.16553344807465</v>
      </c>
    </row>
    <row r="87" spans="1:20" x14ac:dyDescent="0.45">
      <c r="A87" s="40">
        <v>42</v>
      </c>
      <c r="B87" s="42">
        <v>1959.2</v>
      </c>
      <c r="C87" s="42">
        <v>6163.8</v>
      </c>
      <c r="D87" s="8">
        <f t="shared" si="30"/>
        <v>-2102.3000000000002</v>
      </c>
      <c r="E87" s="8">
        <f t="shared" si="31"/>
        <v>-465.32508324127252</v>
      </c>
      <c r="F87" s="42">
        <v>-4548.2</v>
      </c>
      <c r="G87" s="42">
        <v>-7947</v>
      </c>
      <c r="H87" s="8">
        <f t="shared" si="32"/>
        <v>1699.4</v>
      </c>
      <c r="I87" s="8">
        <f t="shared" si="33"/>
        <v>432.97801132599585</v>
      </c>
      <c r="J87" s="38">
        <f t="shared" si="34"/>
        <v>635.60789122328504</v>
      </c>
      <c r="K87" s="38">
        <f t="shared" si="35"/>
        <v>-42.937722487475476</v>
      </c>
      <c r="L87" s="38">
        <f t="shared" si="36"/>
        <v>137.06227751252453</v>
      </c>
      <c r="M87" s="16">
        <f t="shared" si="37"/>
        <v>-465.32508324127235</v>
      </c>
      <c r="N87" s="16">
        <f t="shared" si="38"/>
        <v>432.97801132599591</v>
      </c>
      <c r="O87" s="16">
        <f t="shared" si="39"/>
        <v>635.60789122328492</v>
      </c>
      <c r="P87" s="16">
        <f>M87-'"0" цикл 24.06'!M87</f>
        <v>-17.251106361751226</v>
      </c>
      <c r="Q87" s="16">
        <f>N87-'"0" цикл 24.06'!N87</f>
        <v>23.525007275259725</v>
      </c>
      <c r="R87" s="16">
        <f t="shared" si="40"/>
        <v>29.172360857590469</v>
      </c>
      <c r="S87" s="16">
        <f t="shared" si="41"/>
        <v>126.2529418685457</v>
      </c>
      <c r="T87" s="16">
        <f t="shared" si="42"/>
        <v>126.2529418685457</v>
      </c>
    </row>
    <row r="88" spans="1:20" x14ac:dyDescent="0.45">
      <c r="A88" s="40">
        <v>42.5</v>
      </c>
      <c r="B88" s="42">
        <v>1700</v>
      </c>
      <c r="C88" s="42">
        <v>5734.2</v>
      </c>
      <c r="D88" s="8">
        <f t="shared" si="30"/>
        <v>-2017.1</v>
      </c>
      <c r="E88" s="8">
        <f t="shared" si="31"/>
        <v>-460.22905246409579</v>
      </c>
      <c r="F88" s="42">
        <v>-4168.7</v>
      </c>
      <c r="G88" s="42">
        <v>-7479</v>
      </c>
      <c r="H88" s="8">
        <f t="shared" si="32"/>
        <v>1655.15</v>
      </c>
      <c r="I88" s="8">
        <f t="shared" si="33"/>
        <v>428.85859608220142</v>
      </c>
      <c r="J88" s="38">
        <f t="shared" si="34"/>
        <v>629.07112170691494</v>
      </c>
      <c r="K88" s="38">
        <f t="shared" si="35"/>
        <v>-42.979221259266524</v>
      </c>
      <c r="L88" s="38">
        <f t="shared" si="36"/>
        <v>137.02077874073348</v>
      </c>
      <c r="M88" s="16">
        <f t="shared" si="37"/>
        <v>-460.22905246409567</v>
      </c>
      <c r="N88" s="16">
        <f t="shared" si="38"/>
        <v>428.85859608220153</v>
      </c>
      <c r="O88" s="16">
        <f t="shared" si="39"/>
        <v>629.07112170691494</v>
      </c>
      <c r="P88" s="16">
        <f>M88-'"0" цикл 24.06'!M88</f>
        <v>-17.904596720232121</v>
      </c>
      <c r="Q88" s="16">
        <f>N88-'"0" цикл 24.06'!N88</f>
        <v>23.939507440950138</v>
      </c>
      <c r="R88" s="16">
        <f t="shared" si="40"/>
        <v>29.894390782042269</v>
      </c>
      <c r="S88" s="16">
        <f t="shared" si="41"/>
        <v>126.79318145073566</v>
      </c>
      <c r="T88" s="16">
        <f t="shared" si="42"/>
        <v>126.79318145073566</v>
      </c>
    </row>
    <row r="89" spans="1:20" x14ac:dyDescent="0.45">
      <c r="A89" s="40">
        <v>43</v>
      </c>
      <c r="B89" s="42">
        <v>213.6</v>
      </c>
      <c r="C89" s="42">
        <v>6897.5</v>
      </c>
      <c r="D89" s="8">
        <f t="shared" si="30"/>
        <v>-3341.95</v>
      </c>
      <c r="E89" s="8">
        <f t="shared" si="31"/>
        <v>-455.33954201665523</v>
      </c>
      <c r="F89" s="42">
        <v>-2569.9</v>
      </c>
      <c r="G89" s="42">
        <v>-8727.6</v>
      </c>
      <c r="H89" s="8">
        <f t="shared" si="32"/>
        <v>3078.8500000000004</v>
      </c>
      <c r="I89" s="8">
        <f t="shared" si="33"/>
        <v>424.84644231877678</v>
      </c>
      <c r="J89" s="38">
        <f t="shared" si="34"/>
        <v>622.75886029414232</v>
      </c>
      <c r="K89" s="38">
        <f t="shared" si="35"/>
        <v>-43.015842693362778</v>
      </c>
      <c r="L89" s="38">
        <f t="shared" si="36"/>
        <v>136.98415730663723</v>
      </c>
      <c r="M89" s="16">
        <f t="shared" si="37"/>
        <v>-455.33954201665529</v>
      </c>
      <c r="N89" s="16">
        <f t="shared" si="38"/>
        <v>424.84644231877672</v>
      </c>
      <c r="O89" s="16">
        <f t="shared" si="39"/>
        <v>622.75886029414232</v>
      </c>
      <c r="P89" s="16">
        <f>M89-'"0" цикл 24.06'!M89</f>
        <v>-18.489008193889902</v>
      </c>
      <c r="Q89" s="16">
        <f>N89-'"0" цикл 24.06'!N89</f>
        <v>24.265169671972899</v>
      </c>
      <c r="R89" s="16">
        <f t="shared" si="40"/>
        <v>30.506423638364449</v>
      </c>
      <c r="S89" s="16">
        <f t="shared" si="41"/>
        <v>127.30583045644188</v>
      </c>
      <c r="T89" s="16">
        <f t="shared" si="42"/>
        <v>127.30583045644188</v>
      </c>
    </row>
    <row r="90" spans="1:20" x14ac:dyDescent="0.45">
      <c r="A90" s="40">
        <v>43.5</v>
      </c>
      <c r="B90" s="42">
        <v>-1462.2</v>
      </c>
      <c r="C90" s="42">
        <v>7760</v>
      </c>
      <c r="D90" s="8">
        <f t="shared" si="30"/>
        <v>-4611.1000000000004</v>
      </c>
      <c r="E90" s="8">
        <f t="shared" si="31"/>
        <v>-447.23878104446692</v>
      </c>
      <c r="F90" s="42">
        <v>-1056.8</v>
      </c>
      <c r="G90" s="42">
        <v>-9603.7999999999993</v>
      </c>
      <c r="H90" s="8">
        <f t="shared" si="32"/>
        <v>4273.5</v>
      </c>
      <c r="I90" s="8">
        <f t="shared" si="33"/>
        <v>417.38337645148067</v>
      </c>
      <c r="J90" s="38">
        <f t="shared" si="34"/>
        <v>611.74456287586167</v>
      </c>
      <c r="K90" s="38">
        <f t="shared" si="35"/>
        <v>-43.022362377583811</v>
      </c>
      <c r="L90" s="38">
        <f t="shared" si="36"/>
        <v>136.97763762241618</v>
      </c>
      <c r="M90" s="16">
        <f t="shared" si="37"/>
        <v>-447.2387810444668</v>
      </c>
      <c r="N90" s="16">
        <f t="shared" si="38"/>
        <v>417.38337645148084</v>
      </c>
      <c r="O90" s="16">
        <f t="shared" si="39"/>
        <v>611.74456287586179</v>
      </c>
      <c r="P90" s="16">
        <f>M90-'"0" цикл 24.06'!M90</f>
        <v>-18.86747443621249</v>
      </c>
      <c r="Q90" s="16">
        <f>N90-'"0" цикл 24.06'!N90</f>
        <v>24.13331478304417</v>
      </c>
      <c r="R90" s="16">
        <f t="shared" si="40"/>
        <v>30.633290290444318</v>
      </c>
      <c r="S90" s="16">
        <f t="shared" si="41"/>
        <v>128.0183681527148</v>
      </c>
      <c r="T90" s="16">
        <f t="shared" si="42"/>
        <v>128.0183681527148</v>
      </c>
    </row>
    <row r="91" spans="1:20" x14ac:dyDescent="0.45">
      <c r="A91" s="40">
        <v>44</v>
      </c>
      <c r="B91" s="42">
        <v>-3019.4</v>
      </c>
      <c r="C91" s="42">
        <v>8676.1</v>
      </c>
      <c r="D91" s="8">
        <f t="shared" si="30"/>
        <v>-5847.75</v>
      </c>
      <c r="E91" s="8">
        <f t="shared" si="31"/>
        <v>-436.06209021202233</v>
      </c>
      <c r="F91" s="42">
        <v>473.3</v>
      </c>
      <c r="G91" s="42">
        <v>-10431.200000000001</v>
      </c>
      <c r="H91" s="8">
        <f t="shared" si="32"/>
        <v>5452.25</v>
      </c>
      <c r="I91" s="8">
        <f t="shared" si="33"/>
        <v>407.02486123461284</v>
      </c>
      <c r="J91" s="38">
        <f t="shared" si="34"/>
        <v>596.50598000618038</v>
      </c>
      <c r="K91" s="38">
        <f t="shared" si="35"/>
        <v>-43.02742375352635</v>
      </c>
      <c r="L91" s="38">
        <f t="shared" si="36"/>
        <v>136.97257624647364</v>
      </c>
      <c r="M91" s="16">
        <f t="shared" si="37"/>
        <v>-436.0620902120221</v>
      </c>
      <c r="N91" s="16">
        <f t="shared" si="38"/>
        <v>407.02486123461296</v>
      </c>
      <c r="O91" s="16">
        <f t="shared" si="39"/>
        <v>596.50598000618038</v>
      </c>
      <c r="P91" s="16">
        <f>M91-'"0" цикл 24.06'!M91</f>
        <v>-18.609131830394801</v>
      </c>
      <c r="Q91" s="16">
        <f>N91-'"0" цикл 24.06'!N91</f>
        <v>23.908044938341845</v>
      </c>
      <c r="R91" s="16">
        <f t="shared" si="40"/>
        <v>30.29677210949685</v>
      </c>
      <c r="S91" s="16">
        <f t="shared" si="41"/>
        <v>127.89586138756273</v>
      </c>
      <c r="T91" s="16">
        <f t="shared" si="42"/>
        <v>127.89586138756273</v>
      </c>
    </row>
    <row r="92" spans="1:20" x14ac:dyDescent="0.45">
      <c r="A92" s="40">
        <v>44.5</v>
      </c>
      <c r="B92" s="42">
        <v>-4061.7</v>
      </c>
      <c r="C92" s="42">
        <v>9414.7999999999993</v>
      </c>
      <c r="D92" s="8">
        <f t="shared" si="30"/>
        <v>-6738.25</v>
      </c>
      <c r="E92" s="8">
        <f t="shared" si="31"/>
        <v>-421.8886430506289</v>
      </c>
      <c r="F92" s="42">
        <v>1557.3</v>
      </c>
      <c r="G92" s="42">
        <v>-11201.9</v>
      </c>
      <c r="H92" s="8">
        <f t="shared" si="32"/>
        <v>6379.5999999999995</v>
      </c>
      <c r="I92" s="8">
        <f t="shared" si="33"/>
        <v>393.80977333016216</v>
      </c>
      <c r="J92" s="38">
        <f t="shared" si="34"/>
        <v>577.12751165184864</v>
      </c>
      <c r="K92" s="38">
        <f t="shared" si="35"/>
        <v>-43.02848001400568</v>
      </c>
      <c r="L92" s="38">
        <f t="shared" si="36"/>
        <v>136.97151998599432</v>
      </c>
      <c r="M92" s="16">
        <f t="shared" si="37"/>
        <v>-421.8886430506289</v>
      </c>
      <c r="N92" s="16">
        <f t="shared" si="38"/>
        <v>393.80977333016216</v>
      </c>
      <c r="O92" s="16">
        <f t="shared" si="39"/>
        <v>577.12751165184864</v>
      </c>
      <c r="P92" s="16">
        <f>M92-'"0" цикл 24.06'!M92</f>
        <v>-18.233184778091811</v>
      </c>
      <c r="Q92" s="16">
        <f>N92-'"0" цикл 24.06'!N92</f>
        <v>23.295081254697777</v>
      </c>
      <c r="R92" s="16">
        <f t="shared" si="40"/>
        <v>29.582255455171275</v>
      </c>
      <c r="S92" s="16">
        <f t="shared" si="41"/>
        <v>128.05047684740538</v>
      </c>
      <c r="T92" s="16">
        <f t="shared" si="42"/>
        <v>128.05047684740538</v>
      </c>
    </row>
    <row r="93" spans="1:20" x14ac:dyDescent="0.45">
      <c r="A93" s="40">
        <v>45</v>
      </c>
      <c r="B93" s="42">
        <v>-4348.8</v>
      </c>
      <c r="C93" s="42">
        <v>10240.299999999999</v>
      </c>
      <c r="D93" s="8">
        <f t="shared" si="30"/>
        <v>-7294.5499999999993</v>
      </c>
      <c r="E93" s="8">
        <f t="shared" si="31"/>
        <v>-405.55756921998477</v>
      </c>
      <c r="F93" s="42">
        <v>2006.6</v>
      </c>
      <c r="G93" s="42">
        <v>-12083.1</v>
      </c>
      <c r="H93" s="8">
        <f t="shared" si="32"/>
        <v>7044.85</v>
      </c>
      <c r="I93" s="8">
        <f t="shared" si="33"/>
        <v>378.34765201833932</v>
      </c>
      <c r="J93" s="38">
        <f t="shared" si="34"/>
        <v>554.63851988426939</v>
      </c>
      <c r="K93" s="38">
        <f t="shared" si="35"/>
        <v>-43.012020192049839</v>
      </c>
      <c r="L93" s="38">
        <f t="shared" si="36"/>
        <v>136.98797980795015</v>
      </c>
      <c r="M93" s="16">
        <f t="shared" si="37"/>
        <v>-405.55756921998466</v>
      </c>
      <c r="N93" s="16">
        <f t="shared" si="38"/>
        <v>378.34765201833943</v>
      </c>
      <c r="O93" s="16">
        <f t="shared" si="39"/>
        <v>554.63851988426939</v>
      </c>
      <c r="P93" s="16">
        <f>M93-'"0" цикл 24.06'!M93</f>
        <v>-17.969948016169326</v>
      </c>
      <c r="Q93" s="16">
        <f>N93-'"0" цикл 24.06'!N93</f>
        <v>22.983249870422128</v>
      </c>
      <c r="R93" s="16">
        <f t="shared" si="40"/>
        <v>29.174454687450229</v>
      </c>
      <c r="S93" s="16">
        <f t="shared" si="41"/>
        <v>128.02083848788618</v>
      </c>
      <c r="T93" s="16">
        <f t="shared" si="42"/>
        <v>128.02083848788618</v>
      </c>
    </row>
    <row r="94" spans="1:20" x14ac:dyDescent="0.45">
      <c r="A94" s="40">
        <v>45.5</v>
      </c>
      <c r="B94" s="42">
        <v>-4075.5</v>
      </c>
      <c r="C94" s="42">
        <v>11545.9</v>
      </c>
      <c r="D94" s="8">
        <f t="shared" si="30"/>
        <v>-7810.7</v>
      </c>
      <c r="E94" s="8">
        <f t="shared" si="31"/>
        <v>-387.87876666211287</v>
      </c>
      <c r="F94" s="42">
        <v>1483.4</v>
      </c>
      <c r="G94" s="42">
        <v>-13326.9</v>
      </c>
      <c r="H94" s="8">
        <f t="shared" si="32"/>
        <v>7405.15</v>
      </c>
      <c r="I94" s="8">
        <f t="shared" si="33"/>
        <v>361.27377367475725</v>
      </c>
      <c r="J94" s="38">
        <f t="shared" si="34"/>
        <v>530.06478582577199</v>
      </c>
      <c r="K94" s="38">
        <f t="shared" si="35"/>
        <v>-42.96608384330316</v>
      </c>
      <c r="L94" s="38">
        <f t="shared" si="36"/>
        <v>137.03391615669685</v>
      </c>
      <c r="M94" s="16">
        <f t="shared" si="37"/>
        <v>-387.87876666211292</v>
      </c>
      <c r="N94" s="16">
        <f t="shared" si="38"/>
        <v>361.27377367475719</v>
      </c>
      <c r="O94" s="16">
        <f t="shared" si="39"/>
        <v>530.06478582577199</v>
      </c>
      <c r="P94" s="16">
        <f>M94-'"0" цикл 24.06'!M94</f>
        <v>-18.237031912645762</v>
      </c>
      <c r="Q94" s="16">
        <f>N94-'"0" цикл 24.06'!N94</f>
        <v>22.615607435568563</v>
      </c>
      <c r="R94" s="16">
        <f t="shared" si="40"/>
        <v>29.052625228412733</v>
      </c>
      <c r="S94" s="16">
        <f t="shared" si="41"/>
        <v>128.88240683405277</v>
      </c>
      <c r="T94" s="16">
        <f t="shared" si="42"/>
        <v>128.88240683405277</v>
      </c>
    </row>
    <row r="95" spans="1:20" x14ac:dyDescent="0.45">
      <c r="A95" s="40">
        <v>46</v>
      </c>
      <c r="B95" s="42">
        <v>-1586.3</v>
      </c>
      <c r="C95" s="42">
        <v>12413.1</v>
      </c>
      <c r="D95" s="8">
        <f t="shared" si="30"/>
        <v>-6999.7</v>
      </c>
      <c r="E95" s="8">
        <f t="shared" si="31"/>
        <v>-368.94962018667354</v>
      </c>
      <c r="F95" s="42">
        <v>-908.6</v>
      </c>
      <c r="G95" s="42">
        <v>-14195.9</v>
      </c>
      <c r="H95" s="8">
        <f t="shared" si="32"/>
        <v>6643.65</v>
      </c>
      <c r="I95" s="8">
        <f t="shared" si="33"/>
        <v>343.32703934314696</v>
      </c>
      <c r="J95" s="38">
        <f t="shared" si="34"/>
        <v>503.98142642365445</v>
      </c>
      <c r="K95" s="38">
        <f t="shared" si="35"/>
        <v>-42.939799138461076</v>
      </c>
      <c r="L95" s="38">
        <f t="shared" si="36"/>
        <v>137.06020086153893</v>
      </c>
      <c r="M95" s="16">
        <f t="shared" si="37"/>
        <v>-368.94962018667354</v>
      </c>
      <c r="N95" s="16">
        <f t="shared" si="38"/>
        <v>343.32703934314696</v>
      </c>
      <c r="O95" s="16">
        <f t="shared" si="39"/>
        <v>503.98142642365445</v>
      </c>
      <c r="P95" s="16">
        <f>M95-'"0" цикл 24.06'!M95</f>
        <v>-18.072917994025943</v>
      </c>
      <c r="Q95" s="16">
        <f>N95-'"0" цикл 24.06'!N95</f>
        <v>22.570912120958894</v>
      </c>
      <c r="R95" s="16">
        <f t="shared" si="40"/>
        <v>28.91498640481845</v>
      </c>
      <c r="S95" s="16">
        <f t="shared" si="41"/>
        <v>128.68485659124536</v>
      </c>
      <c r="T95" s="16">
        <f t="shared" si="42"/>
        <v>128.68485659124536</v>
      </c>
    </row>
    <row r="96" spans="1:20" x14ac:dyDescent="0.45">
      <c r="A96" s="40">
        <v>46.5</v>
      </c>
      <c r="B96" s="42">
        <v>-617.1</v>
      </c>
      <c r="C96" s="42">
        <v>13368.8</v>
      </c>
      <c r="D96" s="8">
        <f t="shared" si="30"/>
        <v>-6992.95</v>
      </c>
      <c r="E96" s="8">
        <f t="shared" si="31"/>
        <v>-351.98512510994607</v>
      </c>
      <c r="F96" s="42">
        <v>-1923.3</v>
      </c>
      <c r="G96" s="42">
        <v>-15181.4</v>
      </c>
      <c r="H96" s="8">
        <f t="shared" si="32"/>
        <v>6629.05</v>
      </c>
      <c r="I96" s="8">
        <f t="shared" si="33"/>
        <v>327.22516174113031</v>
      </c>
      <c r="J96" s="38">
        <f t="shared" si="34"/>
        <v>480.5932113286384</v>
      </c>
      <c r="K96" s="38">
        <f t="shared" si="35"/>
        <v>-42.912261459683236</v>
      </c>
      <c r="L96" s="38">
        <f t="shared" si="36"/>
        <v>137.08773854031676</v>
      </c>
      <c r="M96" s="16">
        <f t="shared" si="37"/>
        <v>-351.98512510994601</v>
      </c>
      <c r="N96" s="16">
        <f t="shared" si="38"/>
        <v>327.22516174113036</v>
      </c>
      <c r="O96" s="16">
        <f t="shared" si="39"/>
        <v>480.5932113286384</v>
      </c>
      <c r="P96" s="16">
        <f>M96-'"0" цикл 24.06'!M96</f>
        <v>-18.196110386020734</v>
      </c>
      <c r="Q96" s="16">
        <f>N96-'"0" цикл 24.06'!N96</f>
        <v>22.451709357865241</v>
      </c>
      <c r="R96" s="16">
        <f t="shared" si="40"/>
        <v>28.899440933525085</v>
      </c>
      <c r="S96" s="16">
        <f t="shared" si="41"/>
        <v>129.02322642996293</v>
      </c>
      <c r="T96" s="16">
        <f t="shared" si="42"/>
        <v>129.02322642996293</v>
      </c>
    </row>
    <row r="97" spans="1:20" x14ac:dyDescent="0.45">
      <c r="A97" s="40">
        <v>47</v>
      </c>
      <c r="B97" s="42">
        <v>390.1</v>
      </c>
      <c r="C97" s="42">
        <v>14041.2</v>
      </c>
      <c r="D97" s="8">
        <f t="shared" si="30"/>
        <v>-6825.55</v>
      </c>
      <c r="E97" s="8">
        <f t="shared" si="31"/>
        <v>-335.03698308328524</v>
      </c>
      <c r="F97" s="42">
        <v>-2877.7</v>
      </c>
      <c r="G97" s="42">
        <v>-15845.6</v>
      </c>
      <c r="H97" s="8">
        <f t="shared" si="32"/>
        <v>6483.9500000000007</v>
      </c>
      <c r="I97" s="8">
        <f t="shared" si="33"/>
        <v>311.15865722149277</v>
      </c>
      <c r="J97" s="38">
        <f t="shared" si="34"/>
        <v>457.24117268399175</v>
      </c>
      <c r="K97" s="38">
        <f t="shared" si="35"/>
        <v>-42.883759949203672</v>
      </c>
      <c r="L97" s="38">
        <f t="shared" si="36"/>
        <v>137.11624005079634</v>
      </c>
      <c r="M97" s="16">
        <f t="shared" si="37"/>
        <v>-335.03698308328524</v>
      </c>
      <c r="N97" s="16">
        <f t="shared" si="38"/>
        <v>311.15865722149272</v>
      </c>
      <c r="O97" s="16">
        <f t="shared" si="39"/>
        <v>457.24117268399175</v>
      </c>
      <c r="P97" s="16">
        <f>M97-'"0" цикл 24.06'!M97</f>
        <v>-18.365091024946992</v>
      </c>
      <c r="Q97" s="16">
        <f>N97-'"0" цикл 24.06'!N97</f>
        <v>22.373694467234145</v>
      </c>
      <c r="R97" s="16">
        <f t="shared" si="40"/>
        <v>28.945790237402957</v>
      </c>
      <c r="S97" s="16">
        <f t="shared" si="41"/>
        <v>129.38031637131769</v>
      </c>
      <c r="T97" s="16">
        <f t="shared" si="42"/>
        <v>129.38031637131769</v>
      </c>
    </row>
    <row r="98" spans="1:20" x14ac:dyDescent="0.45">
      <c r="A98" s="40">
        <v>47.5</v>
      </c>
      <c r="B98" s="42">
        <v>1493.8</v>
      </c>
      <c r="C98" s="42">
        <v>14661.3</v>
      </c>
      <c r="D98" s="8">
        <f t="shared" si="30"/>
        <v>-6583.75</v>
      </c>
      <c r="E98" s="8">
        <f t="shared" si="31"/>
        <v>-318.49440246041354</v>
      </c>
      <c r="F98" s="42">
        <v>-3755</v>
      </c>
      <c r="G98" s="42">
        <v>-16510.7</v>
      </c>
      <c r="H98" s="8">
        <f t="shared" si="32"/>
        <v>6377.85</v>
      </c>
      <c r="I98" s="8">
        <f t="shared" si="33"/>
        <v>295.44370733982623</v>
      </c>
      <c r="J98" s="38">
        <f t="shared" si="34"/>
        <v>434.42567673345087</v>
      </c>
      <c r="K98" s="38">
        <f t="shared" si="35"/>
        <v>-42.849803654039768</v>
      </c>
      <c r="L98" s="38">
        <f t="shared" si="36"/>
        <v>137.15019634596024</v>
      </c>
      <c r="M98" s="16">
        <f t="shared" si="37"/>
        <v>-318.49440246041348</v>
      </c>
      <c r="N98" s="16">
        <f t="shared" si="38"/>
        <v>295.44370733982623</v>
      </c>
      <c r="O98" s="16">
        <f t="shared" si="39"/>
        <v>434.42567673345081</v>
      </c>
      <c r="P98" s="16">
        <f>M98-'"0" цикл 24.06'!M98</f>
        <v>-18.406035297612732</v>
      </c>
      <c r="Q98" s="16">
        <f>N98-'"0" цикл 24.06'!N98</f>
        <v>22.527909443976</v>
      </c>
      <c r="R98" s="16">
        <f t="shared" si="40"/>
        <v>29.091043970489419</v>
      </c>
      <c r="S98" s="16">
        <f t="shared" si="41"/>
        <v>129.24994090338734</v>
      </c>
      <c r="T98" s="16">
        <f t="shared" si="42"/>
        <v>129.24994090338734</v>
      </c>
    </row>
    <row r="99" spans="1:20" x14ac:dyDescent="0.45">
      <c r="A99" s="40">
        <v>48</v>
      </c>
      <c r="B99" s="42">
        <v>1901.4</v>
      </c>
      <c r="C99" s="42">
        <v>14595.3</v>
      </c>
      <c r="D99" s="8">
        <f t="shared" si="30"/>
        <v>-6346.95</v>
      </c>
      <c r="E99" s="8">
        <f t="shared" si="31"/>
        <v>-302.53765192026441</v>
      </c>
      <c r="F99" s="42">
        <v>-4733.5</v>
      </c>
      <c r="G99" s="42">
        <v>-16272.4</v>
      </c>
      <c r="H99" s="8">
        <f t="shared" si="32"/>
        <v>5769.45</v>
      </c>
      <c r="I99" s="8">
        <f t="shared" si="33"/>
        <v>279.98582611939617</v>
      </c>
      <c r="J99" s="38">
        <f t="shared" si="34"/>
        <v>412.21486345980759</v>
      </c>
      <c r="K99" s="38">
        <f t="shared" si="35"/>
        <v>-42.782957198268804</v>
      </c>
      <c r="L99" s="38">
        <f t="shared" si="36"/>
        <v>137.2170428017312</v>
      </c>
      <c r="M99" s="16">
        <f t="shared" si="37"/>
        <v>-302.53765192026441</v>
      </c>
      <c r="N99" s="16">
        <f t="shared" si="38"/>
        <v>279.98582611939617</v>
      </c>
      <c r="O99" s="16">
        <f t="shared" si="39"/>
        <v>412.21486345980759</v>
      </c>
      <c r="P99" s="16">
        <f>M99-'"0" цикл 24.06'!M99</f>
        <v>-18.73238756708389</v>
      </c>
      <c r="Q99" s="16">
        <f>N99-'"0" цикл 24.06'!N99</f>
        <v>22.261023750691379</v>
      </c>
      <c r="R99" s="16">
        <f t="shared" si="40"/>
        <v>29.093908681926614</v>
      </c>
      <c r="S99" s="16">
        <f t="shared" si="41"/>
        <v>130.08021349536486</v>
      </c>
      <c r="T99" s="16">
        <f t="shared" si="42"/>
        <v>130.08021349536486</v>
      </c>
    </row>
    <row r="100" spans="1:20" x14ac:dyDescent="0.45">
      <c r="A100" s="40">
        <v>48.5</v>
      </c>
      <c r="B100" s="42">
        <v>2702.5</v>
      </c>
      <c r="C100" s="42">
        <v>13799.4</v>
      </c>
      <c r="D100" s="8">
        <f t="shared" si="30"/>
        <v>-5548.45</v>
      </c>
      <c r="E100" s="8">
        <f t="shared" si="31"/>
        <v>-287.154638782284</v>
      </c>
      <c r="F100" s="42">
        <v>-5123.3</v>
      </c>
      <c r="G100" s="42">
        <v>-15641.1</v>
      </c>
      <c r="H100" s="8">
        <f t="shared" si="32"/>
        <v>5258.9</v>
      </c>
      <c r="I100" s="8">
        <f t="shared" si="33"/>
        <v>266.00210825710803</v>
      </c>
      <c r="J100" s="38">
        <f t="shared" si="34"/>
        <v>391.42675965167513</v>
      </c>
      <c r="K100" s="38">
        <f t="shared" si="35"/>
        <v>-42.810095392704852</v>
      </c>
      <c r="L100" s="38">
        <f t="shared" si="36"/>
        <v>137.18990460729515</v>
      </c>
      <c r="M100" s="16">
        <f t="shared" si="37"/>
        <v>-287.15463878228405</v>
      </c>
      <c r="N100" s="16">
        <f t="shared" si="38"/>
        <v>266.00210825710803</v>
      </c>
      <c r="O100" s="16">
        <f t="shared" si="39"/>
        <v>391.42675965167513</v>
      </c>
      <c r="P100" s="16">
        <f>M100-'"0" цикл 24.06'!M100</f>
        <v>-18.809436268103184</v>
      </c>
      <c r="Q100" s="16">
        <f>N100-'"0" цикл 24.06'!N100</f>
        <v>22.499941795042304</v>
      </c>
      <c r="R100" s="16">
        <f t="shared" si="40"/>
        <v>29.326477345636434</v>
      </c>
      <c r="S100" s="16">
        <f t="shared" si="41"/>
        <v>129.89485126971459</v>
      </c>
      <c r="T100" s="16">
        <f t="shared" si="42"/>
        <v>129.89485126971459</v>
      </c>
    </row>
    <row r="101" spans="1:20" x14ac:dyDescent="0.45">
      <c r="A101" s="40">
        <v>49</v>
      </c>
      <c r="B101" s="42">
        <v>2477.4</v>
      </c>
      <c r="C101" s="42">
        <v>11992</v>
      </c>
      <c r="D101" s="8">
        <f t="shared" si="30"/>
        <v>-4757.3</v>
      </c>
      <c r="E101" s="8">
        <f t="shared" si="31"/>
        <v>-273.70643840698068</v>
      </c>
      <c r="F101" s="42">
        <v>-4767.5</v>
      </c>
      <c r="G101" s="42">
        <v>-13778.4</v>
      </c>
      <c r="H101" s="8">
        <f t="shared" si="32"/>
        <v>4505.45</v>
      </c>
      <c r="I101" s="8">
        <f t="shared" si="33"/>
        <v>253.25555598372068</v>
      </c>
      <c r="J101" s="38">
        <f t="shared" si="34"/>
        <v>372.89890193195498</v>
      </c>
      <c r="K101" s="38">
        <f t="shared" si="35"/>
        <v>-42.777521869432455</v>
      </c>
      <c r="L101" s="38">
        <f t="shared" si="36"/>
        <v>137.22247813056754</v>
      </c>
      <c r="M101" s="16">
        <f t="shared" si="37"/>
        <v>-273.70643840698057</v>
      </c>
      <c r="N101" s="16">
        <f t="shared" si="38"/>
        <v>253.25555598372077</v>
      </c>
      <c r="O101" s="16">
        <f t="shared" si="39"/>
        <v>372.89890193195498</v>
      </c>
      <c r="P101" s="16">
        <f>M101-'"0" цикл 24.06'!M101</f>
        <v>-19.345801847135533</v>
      </c>
      <c r="Q101" s="16">
        <f>N101-'"0" цикл 24.06'!N101</f>
        <v>22.275665901917279</v>
      </c>
      <c r="R101" s="16">
        <f t="shared" si="40"/>
        <v>29.503649612928783</v>
      </c>
      <c r="S101" s="16">
        <f t="shared" si="41"/>
        <v>130.97341464630159</v>
      </c>
      <c r="T101" s="16">
        <f t="shared" si="42"/>
        <v>130.97341464630159</v>
      </c>
    </row>
    <row r="102" spans="1:20" x14ac:dyDescent="0.45">
      <c r="A102" s="40">
        <v>49.5</v>
      </c>
      <c r="B102" s="42">
        <v>2462.8000000000002</v>
      </c>
      <c r="C102" s="42">
        <v>10912.5</v>
      </c>
      <c r="D102" s="8">
        <f t="shared" si="30"/>
        <v>-4224.8500000000004</v>
      </c>
      <c r="E102" s="8">
        <f t="shared" si="31"/>
        <v>-262.17544016380191</v>
      </c>
      <c r="F102" s="42">
        <v>-5164.5</v>
      </c>
      <c r="G102" s="42">
        <v>-12707.5</v>
      </c>
      <c r="H102" s="8">
        <f t="shared" si="32"/>
        <v>3771.5</v>
      </c>
      <c r="I102" s="8">
        <f t="shared" si="33"/>
        <v>242.33490544134025</v>
      </c>
      <c r="J102" s="38">
        <f t="shared" si="34"/>
        <v>357.01844184908236</v>
      </c>
      <c r="K102" s="38">
        <f t="shared" si="35"/>
        <v>-42.747928414230735</v>
      </c>
      <c r="L102" s="38">
        <f t="shared" si="36"/>
        <v>137.25207158576927</v>
      </c>
      <c r="M102" s="16">
        <f t="shared" si="37"/>
        <v>-262.17544016380191</v>
      </c>
      <c r="N102" s="16">
        <f t="shared" si="38"/>
        <v>242.33490544134025</v>
      </c>
      <c r="O102" s="16">
        <f t="shared" si="39"/>
        <v>357.01844184908236</v>
      </c>
      <c r="P102" s="16">
        <f>M102-'"0" цикл 24.06'!M102</f>
        <v>-19.812305818559338</v>
      </c>
      <c r="Q102" s="16">
        <f>N102-'"0" цикл 24.06'!N102</f>
        <v>22.45827515159209</v>
      </c>
      <c r="R102" s="16">
        <f t="shared" si="40"/>
        <v>29.948315221940931</v>
      </c>
      <c r="S102" s="16">
        <f t="shared" si="41"/>
        <v>131.41818660229492</v>
      </c>
      <c r="T102" s="16">
        <f t="shared" si="42"/>
        <v>131.41818660229492</v>
      </c>
    </row>
    <row r="103" spans="1:20" x14ac:dyDescent="0.45">
      <c r="A103" s="40">
        <v>50</v>
      </c>
      <c r="B103" s="42">
        <v>2162.6999999999998</v>
      </c>
      <c r="C103" s="42">
        <v>9978.2999999999993</v>
      </c>
      <c r="D103" s="8">
        <f t="shared" si="30"/>
        <v>-3907.7999999999997</v>
      </c>
      <c r="E103" s="8">
        <f t="shared" si="31"/>
        <v>-251.93483085147807</v>
      </c>
      <c r="F103" s="42">
        <v>-4591.3999999999996</v>
      </c>
      <c r="G103" s="42">
        <v>-11820.4</v>
      </c>
      <c r="H103" s="8">
        <f t="shared" si="32"/>
        <v>3614.5</v>
      </c>
      <c r="I103" s="8">
        <f t="shared" si="33"/>
        <v>233.19304087267827</v>
      </c>
      <c r="J103" s="38">
        <f t="shared" si="34"/>
        <v>343.29310116518428</v>
      </c>
      <c r="K103" s="38">
        <f t="shared" si="35"/>
        <v>-42.787610681004978</v>
      </c>
      <c r="L103" s="38">
        <f t="shared" si="36"/>
        <v>137.21238931899501</v>
      </c>
      <c r="M103" s="16">
        <f t="shared" si="37"/>
        <v>-251.93483085147795</v>
      </c>
      <c r="N103" s="16">
        <f t="shared" si="38"/>
        <v>233.19304087267838</v>
      </c>
      <c r="O103" s="16">
        <f t="shared" si="39"/>
        <v>343.29310116518428</v>
      </c>
      <c r="P103" s="16">
        <f>M103-'"0" цикл 24.06'!M103</f>
        <v>-20.434910260221272</v>
      </c>
      <c r="Q103" s="16">
        <f>N103-'"0" цикл 24.06'!N103</f>
        <v>22.85744952304205</v>
      </c>
      <c r="R103" s="16">
        <f t="shared" si="40"/>
        <v>30.660211285014196</v>
      </c>
      <c r="S103" s="16">
        <f t="shared" si="41"/>
        <v>131.79720224444975</v>
      </c>
      <c r="T103" s="16">
        <f t="shared" si="42"/>
        <v>131.79720224444975</v>
      </c>
    </row>
    <row r="104" spans="1:20" x14ac:dyDescent="0.45">
      <c r="A104" s="40">
        <v>50.5</v>
      </c>
      <c r="B104" s="42">
        <v>1494.3</v>
      </c>
      <c r="C104" s="42">
        <v>9488.9</v>
      </c>
      <c r="D104" s="8">
        <f t="shared" si="30"/>
        <v>-3997.2999999999997</v>
      </c>
      <c r="E104" s="8">
        <f t="shared" si="31"/>
        <v>-242.46262300931204</v>
      </c>
      <c r="F104" s="42">
        <v>-3814.8</v>
      </c>
      <c r="G104" s="42">
        <v>-11313.3</v>
      </c>
      <c r="H104" s="8">
        <f t="shared" si="32"/>
        <v>3749.2499999999995</v>
      </c>
      <c r="I104" s="8">
        <f t="shared" si="33"/>
        <v>224.43169403710834</v>
      </c>
      <c r="J104" s="38">
        <f t="shared" si="34"/>
        <v>330.39023721187948</v>
      </c>
      <c r="K104" s="38">
        <f t="shared" si="35"/>
        <v>-42.788401015176902</v>
      </c>
      <c r="L104" s="38">
        <f t="shared" si="36"/>
        <v>137.2115989848231</v>
      </c>
      <c r="M104" s="16">
        <f t="shared" si="37"/>
        <v>-242.46262300931204</v>
      </c>
      <c r="N104" s="16">
        <f t="shared" si="38"/>
        <v>224.43169403710834</v>
      </c>
      <c r="O104" s="16">
        <f t="shared" si="39"/>
        <v>330.39023721187948</v>
      </c>
      <c r="P104" s="16">
        <f>M104-'"0" цикл 24.06'!M104</f>
        <v>-21.178470228486077</v>
      </c>
      <c r="Q104" s="16">
        <f>N104-'"0" цикл 24.06'!N104</f>
        <v>23.204884233528219</v>
      </c>
      <c r="R104" s="16">
        <f t="shared" si="40"/>
        <v>31.416464688285942</v>
      </c>
      <c r="S104" s="16">
        <f t="shared" si="41"/>
        <v>132.38585792008584</v>
      </c>
      <c r="T104" s="16">
        <f t="shared" si="42"/>
        <v>132.38585792008584</v>
      </c>
    </row>
    <row r="105" spans="1:20" x14ac:dyDescent="0.45">
      <c r="A105" s="40">
        <v>51</v>
      </c>
      <c r="B105" s="42">
        <v>728.3</v>
      </c>
      <c r="C105" s="42">
        <v>9525.2000000000007</v>
      </c>
      <c r="D105" s="8">
        <f t="shared" si="30"/>
        <v>-4398.4500000000007</v>
      </c>
      <c r="E105" s="8">
        <f t="shared" si="31"/>
        <v>-232.77350087827477</v>
      </c>
      <c r="F105" s="42">
        <v>-3226.4</v>
      </c>
      <c r="G105" s="42">
        <v>-11294.9</v>
      </c>
      <c r="H105" s="8">
        <f t="shared" si="32"/>
        <v>4034.25</v>
      </c>
      <c r="I105" s="8">
        <f t="shared" si="33"/>
        <v>215.34375602761881</v>
      </c>
      <c r="J105" s="38">
        <f t="shared" si="34"/>
        <v>317.1063480462206</v>
      </c>
      <c r="K105" s="38">
        <f t="shared" si="35"/>
        <v>-42.772574805103645</v>
      </c>
      <c r="L105" s="38">
        <f t="shared" si="36"/>
        <v>137.22742519489634</v>
      </c>
      <c r="M105" s="16">
        <f t="shared" si="37"/>
        <v>-232.77350087827469</v>
      </c>
      <c r="N105" s="16">
        <f t="shared" si="38"/>
        <v>215.34375602761889</v>
      </c>
      <c r="O105" s="16">
        <f t="shared" si="39"/>
        <v>317.1063480462206</v>
      </c>
      <c r="P105" s="16">
        <f>M105-'"0" цикл 24.06'!M105</f>
        <v>-21.717233716836205</v>
      </c>
      <c r="Q105" s="16">
        <f>N105-'"0" цикл 24.06'!N105</f>
        <v>23.491966189337091</v>
      </c>
      <c r="R105" s="16">
        <f t="shared" si="40"/>
        <v>31.992354020181825</v>
      </c>
      <c r="S105" s="16">
        <f t="shared" si="41"/>
        <v>132.75195102505404</v>
      </c>
      <c r="T105" s="16">
        <f t="shared" si="42"/>
        <v>132.75195102505404</v>
      </c>
    </row>
    <row r="106" spans="1:20" x14ac:dyDescent="0.45">
      <c r="A106" s="40">
        <v>51.5</v>
      </c>
      <c r="B106" s="42">
        <v>684.9</v>
      </c>
      <c r="C106" s="42">
        <v>9927.7000000000007</v>
      </c>
      <c r="D106" s="8">
        <f t="shared" si="30"/>
        <v>-4621.4000000000005</v>
      </c>
      <c r="E106" s="8">
        <f t="shared" si="31"/>
        <v>-222.11216523914658</v>
      </c>
      <c r="F106" s="42">
        <v>-3109.7</v>
      </c>
      <c r="G106" s="42">
        <v>-11877</v>
      </c>
      <c r="H106" s="8">
        <f t="shared" si="32"/>
        <v>4383.6499999999996</v>
      </c>
      <c r="I106" s="8">
        <f t="shared" si="33"/>
        <v>205.56508154389329</v>
      </c>
      <c r="J106" s="38">
        <f t="shared" si="34"/>
        <v>302.63974738518641</v>
      </c>
      <c r="K106" s="38">
        <f t="shared" si="35"/>
        <v>-42.784297827905547</v>
      </c>
      <c r="L106" s="38">
        <f t="shared" si="36"/>
        <v>137.21570217209444</v>
      </c>
      <c r="M106" s="16">
        <f t="shared" si="37"/>
        <v>-222.11216523914655</v>
      </c>
      <c r="N106" s="16">
        <f t="shared" si="38"/>
        <v>205.56508154389331</v>
      </c>
      <c r="O106" s="16">
        <f t="shared" si="39"/>
        <v>302.63974738518641</v>
      </c>
      <c r="P106" s="16">
        <f>M106-'"0" цикл 24.06'!M106</f>
        <v>-22.092875850290824</v>
      </c>
      <c r="Q106" s="16">
        <f>N106-'"0" цикл 24.06'!N106</f>
        <v>23.457187437245437</v>
      </c>
      <c r="R106" s="16">
        <f t="shared" si="40"/>
        <v>32.223202910363035</v>
      </c>
      <c r="S106" s="16">
        <f t="shared" si="41"/>
        <v>133.28439463888259</v>
      </c>
      <c r="T106" s="16">
        <f t="shared" si="42"/>
        <v>133.28439463888259</v>
      </c>
    </row>
    <row r="107" spans="1:20" x14ac:dyDescent="0.45">
      <c r="A107" s="40">
        <v>52</v>
      </c>
      <c r="B107" s="42">
        <v>596.6</v>
      </c>
      <c r="C107" s="42">
        <v>8625.2999999999993</v>
      </c>
      <c r="D107" s="8">
        <f t="shared" si="30"/>
        <v>-4014.3499999999995</v>
      </c>
      <c r="E107" s="8">
        <f t="shared" si="31"/>
        <v>-210.91051275475195</v>
      </c>
      <c r="F107" s="42">
        <v>-3389.7</v>
      </c>
      <c r="G107" s="42">
        <v>-10340</v>
      </c>
      <c r="H107" s="8">
        <f t="shared" si="32"/>
        <v>3475.15</v>
      </c>
      <c r="I107" s="8">
        <f t="shared" si="33"/>
        <v>194.93961398798049</v>
      </c>
      <c r="J107" s="38">
        <f t="shared" si="34"/>
        <v>287.20149284475389</v>
      </c>
      <c r="K107" s="38">
        <f t="shared" si="35"/>
        <v>-42.746475536552907</v>
      </c>
      <c r="L107" s="38">
        <f t="shared" si="36"/>
        <v>137.25352446344709</v>
      </c>
      <c r="M107" s="16">
        <f t="shared" si="37"/>
        <v>-210.91051275475192</v>
      </c>
      <c r="N107" s="16">
        <f t="shared" si="38"/>
        <v>194.93961398798049</v>
      </c>
      <c r="O107" s="16">
        <f t="shared" si="39"/>
        <v>287.20149284475389</v>
      </c>
      <c r="P107" s="16">
        <f>M107-'"0" цикл 24.06'!M107</f>
        <v>-22.343702539501663</v>
      </c>
      <c r="Q107" s="16">
        <f>N107-'"0" цикл 24.06'!N107</f>
        <v>23.321712225561868</v>
      </c>
      <c r="R107" s="16">
        <f t="shared" si="40"/>
        <v>32.2977290889879</v>
      </c>
      <c r="S107" s="16">
        <f t="shared" si="41"/>
        <v>133.77309201193867</v>
      </c>
      <c r="T107" s="16">
        <f t="shared" si="42"/>
        <v>133.77309201193867</v>
      </c>
    </row>
    <row r="108" spans="1:20" x14ac:dyDescent="0.45">
      <c r="A108" s="40">
        <v>52.5</v>
      </c>
      <c r="B108" s="42">
        <v>678.7</v>
      </c>
      <c r="C108" s="42">
        <v>8916.2999999999993</v>
      </c>
      <c r="D108" s="8">
        <f t="shared" si="30"/>
        <v>-4118.7999999999993</v>
      </c>
      <c r="E108" s="8">
        <f t="shared" si="31"/>
        <v>-201.18006805139188</v>
      </c>
      <c r="F108" s="42">
        <v>-3056.1</v>
      </c>
      <c r="G108" s="42">
        <v>-10675.9</v>
      </c>
      <c r="H108" s="8">
        <f t="shared" si="32"/>
        <v>3809.8999999999996</v>
      </c>
      <c r="I108" s="8">
        <f t="shared" si="33"/>
        <v>186.51601119553854</v>
      </c>
      <c r="J108" s="38">
        <f t="shared" si="34"/>
        <v>274.33855400482253</v>
      </c>
      <c r="K108" s="38">
        <f t="shared" si="35"/>
        <v>-42.833900592995583</v>
      </c>
      <c r="L108" s="38">
        <f t="shared" si="36"/>
        <v>137.16609940700442</v>
      </c>
      <c r="M108" s="16">
        <f t="shared" si="37"/>
        <v>-201.18006805139191</v>
      </c>
      <c r="N108" s="16">
        <f t="shared" si="38"/>
        <v>186.51601119553848</v>
      </c>
      <c r="O108" s="16">
        <f t="shared" si="39"/>
        <v>274.33855400482253</v>
      </c>
      <c r="P108" s="16">
        <f>M108-'"0" цикл 24.06'!M108</f>
        <v>-21.726280797584906</v>
      </c>
      <c r="Q108" s="16">
        <f>N108-'"0" цикл 24.06'!N108</f>
        <v>22.653968845937925</v>
      </c>
      <c r="R108" s="16">
        <f t="shared" si="40"/>
        <v>31.388430699355339</v>
      </c>
      <c r="S108" s="16">
        <f t="shared" si="41"/>
        <v>133.80251078388</v>
      </c>
      <c r="T108" s="16">
        <f t="shared" si="42"/>
        <v>133.80251078388</v>
      </c>
    </row>
    <row r="109" spans="1:20" x14ac:dyDescent="0.45">
      <c r="A109" s="40">
        <v>53</v>
      </c>
      <c r="B109" s="42">
        <v>780.4</v>
      </c>
      <c r="C109" s="42">
        <v>8894.5</v>
      </c>
      <c r="D109" s="8">
        <f t="shared" si="30"/>
        <v>-4057.05</v>
      </c>
      <c r="E109" s="8">
        <f t="shared" si="31"/>
        <v>-191.19647861160675</v>
      </c>
      <c r="F109" s="42">
        <v>-3168.7</v>
      </c>
      <c r="G109" s="42">
        <v>-10686.2</v>
      </c>
      <c r="H109" s="8">
        <f t="shared" si="32"/>
        <v>3758.7500000000005</v>
      </c>
      <c r="I109" s="8">
        <f t="shared" si="33"/>
        <v>177.28107811914839</v>
      </c>
      <c r="J109" s="38">
        <f t="shared" si="34"/>
        <v>260.73870846609293</v>
      </c>
      <c r="K109" s="38">
        <f t="shared" si="35"/>
        <v>-42.837276642379877</v>
      </c>
      <c r="L109" s="38">
        <f t="shared" si="36"/>
        <v>137.16272335762011</v>
      </c>
      <c r="M109" s="16">
        <f t="shared" si="37"/>
        <v>-191.19647861160672</v>
      </c>
      <c r="N109" s="16">
        <f t="shared" si="38"/>
        <v>177.28107811914842</v>
      </c>
      <c r="O109" s="16">
        <f t="shared" si="39"/>
        <v>260.73870846609293</v>
      </c>
      <c r="P109" s="16">
        <f>M109-'"0" цикл 24.06'!M109</f>
        <v>-21.569474350861299</v>
      </c>
      <c r="Q109" s="16">
        <f>N109-'"0" цикл 24.06'!N109</f>
        <v>22.306050976411711</v>
      </c>
      <c r="R109" s="16">
        <f t="shared" si="40"/>
        <v>31.029053062166451</v>
      </c>
      <c r="S109" s="16">
        <f t="shared" si="41"/>
        <v>134.0382162359117</v>
      </c>
      <c r="T109" s="16">
        <f t="shared" si="42"/>
        <v>134.0382162359117</v>
      </c>
    </row>
    <row r="110" spans="1:20" x14ac:dyDescent="0.45">
      <c r="A110" s="40">
        <v>53.5</v>
      </c>
      <c r="B110" s="42">
        <v>908</v>
      </c>
      <c r="C110" s="42">
        <v>8547.2999999999993</v>
      </c>
      <c r="D110" s="8">
        <f t="shared" si="30"/>
        <v>-3819.6499999999996</v>
      </c>
      <c r="E110" s="8">
        <f t="shared" si="31"/>
        <v>-181.36254599896989</v>
      </c>
      <c r="F110" s="42">
        <v>-3414.1</v>
      </c>
      <c r="G110" s="42">
        <v>-10369.799999999999</v>
      </c>
      <c r="H110" s="8">
        <f t="shared" si="32"/>
        <v>3477.8499999999995</v>
      </c>
      <c r="I110" s="8">
        <f t="shared" si="33"/>
        <v>168.1701152736683</v>
      </c>
      <c r="J110" s="38">
        <f t="shared" si="34"/>
        <v>247.33289462258625</v>
      </c>
      <c r="K110" s="38">
        <f t="shared" si="35"/>
        <v>-42.838508185192403</v>
      </c>
      <c r="L110" s="38">
        <f t="shared" si="36"/>
        <v>137.16149181480759</v>
      </c>
      <c r="M110" s="16">
        <f t="shared" si="37"/>
        <v>-181.36254599896981</v>
      </c>
      <c r="N110" s="16">
        <f t="shared" si="38"/>
        <v>168.17011527366836</v>
      </c>
      <c r="O110" s="16">
        <f t="shared" si="39"/>
        <v>247.33289462258622</v>
      </c>
      <c r="P110" s="16">
        <f>M110-'"0" цикл 24.06'!M110</f>
        <v>-21.927679803929692</v>
      </c>
      <c r="Q110" s="16">
        <f>N110-'"0" цикл 24.06'!N110</f>
        <v>22.363855347807885</v>
      </c>
      <c r="R110" s="16">
        <f t="shared" si="40"/>
        <v>31.320363465345377</v>
      </c>
      <c r="S110" s="16">
        <f t="shared" si="41"/>
        <v>134.43577909688526</v>
      </c>
      <c r="T110" s="16">
        <f t="shared" si="42"/>
        <v>134.43577909688526</v>
      </c>
    </row>
    <row r="111" spans="1:20" x14ac:dyDescent="0.45">
      <c r="A111" s="40">
        <v>54</v>
      </c>
      <c r="B111" s="42">
        <v>1275.9000000000001</v>
      </c>
      <c r="C111" s="42">
        <v>8465.6</v>
      </c>
      <c r="D111" s="8">
        <f t="shared" si="30"/>
        <v>-3594.8500000000004</v>
      </c>
      <c r="E111" s="8">
        <f t="shared" si="31"/>
        <v>-172.1039822976129</v>
      </c>
      <c r="F111" s="42">
        <v>-3593.5</v>
      </c>
      <c r="G111" s="42">
        <v>-10274.4</v>
      </c>
      <c r="H111" s="8">
        <f t="shared" si="32"/>
        <v>3340.45</v>
      </c>
      <c r="I111" s="8">
        <f t="shared" si="33"/>
        <v>159.7399684261452</v>
      </c>
      <c r="J111" s="38">
        <f t="shared" si="34"/>
        <v>234.81192098248104</v>
      </c>
      <c r="K111" s="38">
        <f t="shared" si="35"/>
        <v>-42.866231156006847</v>
      </c>
      <c r="L111" s="38">
        <f t="shared" si="36"/>
        <v>137.13376884399315</v>
      </c>
      <c r="M111" s="16">
        <f t="shared" si="37"/>
        <v>-172.10398229761287</v>
      </c>
      <c r="N111" s="16">
        <f t="shared" si="38"/>
        <v>159.73996842614525</v>
      </c>
      <c r="O111" s="16">
        <f t="shared" si="39"/>
        <v>234.81192098248104</v>
      </c>
      <c r="P111" s="16">
        <f>M111-'"0" цикл 24.06'!M111</f>
        <v>-22.479176248781414</v>
      </c>
      <c r="Q111" s="16">
        <f>N111-'"0" цикл 24.06'!N111</f>
        <v>22.716383854682675</v>
      </c>
      <c r="R111" s="16">
        <f t="shared" si="40"/>
        <v>31.95852719161298</v>
      </c>
      <c r="S111" s="16">
        <f t="shared" si="41"/>
        <v>134.69928749941516</v>
      </c>
      <c r="T111" s="16">
        <f t="shared" si="42"/>
        <v>134.69928749941516</v>
      </c>
    </row>
    <row r="112" spans="1:20" x14ac:dyDescent="0.45">
      <c r="A112" s="40">
        <v>54.5</v>
      </c>
      <c r="B112" s="42">
        <v>1539.2</v>
      </c>
      <c r="C112" s="42">
        <v>8662</v>
      </c>
      <c r="D112" s="8">
        <f t="shared" si="30"/>
        <v>-3561.4</v>
      </c>
      <c r="E112" s="8">
        <f t="shared" si="31"/>
        <v>-163.39026113261195</v>
      </c>
      <c r="F112" s="42">
        <v>-4072</v>
      </c>
      <c r="G112" s="42">
        <v>-10400.799999999999</v>
      </c>
      <c r="H112" s="8">
        <f t="shared" si="32"/>
        <v>3164.3999999999996</v>
      </c>
      <c r="I112" s="8">
        <f t="shared" si="33"/>
        <v>151.64284307952903</v>
      </c>
      <c r="J112" s="38">
        <f t="shared" si="34"/>
        <v>222.91686632066626</v>
      </c>
      <c r="K112" s="38">
        <f t="shared" si="35"/>
        <v>-42.864460105372792</v>
      </c>
      <c r="L112" s="38">
        <f t="shared" si="36"/>
        <v>137.13553989462721</v>
      </c>
      <c r="M112" s="16">
        <f t="shared" si="37"/>
        <v>-163.39026113261198</v>
      </c>
      <c r="N112" s="16">
        <f t="shared" si="38"/>
        <v>151.642843079529</v>
      </c>
      <c r="O112" s="16">
        <f t="shared" si="39"/>
        <v>222.91686632066626</v>
      </c>
      <c r="P112" s="16">
        <f>M112-'"0" цикл 24.06'!M112</f>
        <v>-23.434945940236304</v>
      </c>
      <c r="Q112" s="16">
        <f>N112-'"0" цикл 24.06'!N112</f>
        <v>23.155200711505927</v>
      </c>
      <c r="R112" s="16">
        <f t="shared" si="40"/>
        <v>32.944802491621083</v>
      </c>
      <c r="S112" s="16">
        <f t="shared" si="41"/>
        <v>135.34402184756334</v>
      </c>
      <c r="T112" s="16">
        <f t="shared" si="42"/>
        <v>135.34402184756334</v>
      </c>
    </row>
    <row r="113" spans="1:20" x14ac:dyDescent="0.45">
      <c r="A113" s="40">
        <v>55</v>
      </c>
      <c r="B113" s="42">
        <v>2112.8000000000002</v>
      </c>
      <c r="C113" s="42">
        <v>10844.5</v>
      </c>
      <c r="D113" s="8">
        <f t="shared" si="30"/>
        <v>-4365.8500000000004</v>
      </c>
      <c r="E113" s="8">
        <f t="shared" si="31"/>
        <v>-154.75761285565892</v>
      </c>
      <c r="F113" s="42">
        <v>-4697.8999999999996</v>
      </c>
      <c r="G113" s="42">
        <v>-12761.3</v>
      </c>
      <c r="H113" s="8">
        <f t="shared" si="32"/>
        <v>4031.7</v>
      </c>
      <c r="I113" s="8">
        <f t="shared" si="33"/>
        <v>143.97242191021263</v>
      </c>
      <c r="J113" s="38">
        <f t="shared" si="34"/>
        <v>211.37165611186919</v>
      </c>
      <c r="K113" s="38">
        <f t="shared" si="35"/>
        <v>-42.932321591622177</v>
      </c>
      <c r="L113" s="38">
        <f t="shared" si="36"/>
        <v>137.06767840837782</v>
      </c>
      <c r="M113" s="16">
        <f t="shared" si="37"/>
        <v>-154.75761285565892</v>
      </c>
      <c r="N113" s="16">
        <f t="shared" si="38"/>
        <v>143.97242191021263</v>
      </c>
      <c r="O113" s="16">
        <f t="shared" si="39"/>
        <v>211.37165611186919</v>
      </c>
      <c r="P113" s="16">
        <f>M113-'"0" цикл 24.06'!M113</f>
        <v>-24.059891903509794</v>
      </c>
      <c r="Q113" s="16">
        <f>N113-'"0" цикл 24.06'!N113</f>
        <v>23.968369452040477</v>
      </c>
      <c r="R113" s="16">
        <f t="shared" si="40"/>
        <v>33.961170954460378</v>
      </c>
      <c r="S113" s="16">
        <f t="shared" si="41"/>
        <v>135.10918246267033</v>
      </c>
      <c r="T113" s="16">
        <f t="shared" si="42"/>
        <v>135.10918246267033</v>
      </c>
    </row>
    <row r="114" spans="1:20" x14ac:dyDescent="0.45">
      <c r="A114" s="40">
        <v>55.5</v>
      </c>
      <c r="B114" s="42">
        <v>1277.4000000000001</v>
      </c>
      <c r="C114" s="42">
        <v>11071</v>
      </c>
      <c r="D114" s="8">
        <f t="shared" si="30"/>
        <v>-4896.8</v>
      </c>
      <c r="E114" s="8">
        <f t="shared" si="31"/>
        <v>-144.1752840128147</v>
      </c>
      <c r="F114" s="42">
        <v>-3746</v>
      </c>
      <c r="G114" s="42">
        <v>-12852</v>
      </c>
      <c r="H114" s="8">
        <f t="shared" si="32"/>
        <v>4553</v>
      </c>
      <c r="I114" s="8">
        <f t="shared" si="33"/>
        <v>134.19992761939866</v>
      </c>
      <c r="J114" s="38">
        <f t="shared" si="34"/>
        <v>196.96734016894177</v>
      </c>
      <c r="K114" s="38">
        <f t="shared" si="35"/>
        <v>-42.947729014592454</v>
      </c>
      <c r="L114" s="38">
        <f t="shared" si="36"/>
        <v>137.05227098540755</v>
      </c>
      <c r="M114" s="16">
        <f t="shared" si="37"/>
        <v>-144.17528401281467</v>
      </c>
      <c r="N114" s="16">
        <f t="shared" si="38"/>
        <v>134.19992761939869</v>
      </c>
      <c r="O114" s="16">
        <f t="shared" si="39"/>
        <v>196.96734016894175</v>
      </c>
      <c r="P114" s="16">
        <f>M114-'"0" цикл 24.06'!M114</f>
        <v>-24.856369763855767</v>
      </c>
      <c r="Q114" s="16">
        <f>N114-'"0" цикл 24.06'!N114</f>
        <v>24.405220530475674</v>
      </c>
      <c r="R114" s="16">
        <f t="shared" si="40"/>
        <v>34.834665305966048</v>
      </c>
      <c r="S114" s="16">
        <f t="shared" si="41"/>
        <v>135.52471355891214</v>
      </c>
      <c r="T114" s="16">
        <f t="shared" si="42"/>
        <v>135.52471355891214</v>
      </c>
    </row>
    <row r="115" spans="1:20" x14ac:dyDescent="0.45">
      <c r="A115" s="40">
        <v>56</v>
      </c>
      <c r="B115" s="42">
        <v>143.6</v>
      </c>
      <c r="C115" s="42">
        <v>11151.9</v>
      </c>
      <c r="D115" s="8">
        <f t="shared" si="30"/>
        <v>-5504.15</v>
      </c>
      <c r="E115" s="8">
        <f t="shared" si="31"/>
        <v>-132.30622082745069</v>
      </c>
      <c r="F115" s="42">
        <v>-2602.1</v>
      </c>
      <c r="G115" s="42">
        <v>-12947.4</v>
      </c>
      <c r="H115" s="8">
        <f t="shared" si="32"/>
        <v>5172.6499999999996</v>
      </c>
      <c r="I115" s="8">
        <f t="shared" si="33"/>
        <v>123.16404041183344</v>
      </c>
      <c r="J115" s="38">
        <f t="shared" si="34"/>
        <v>180.76038537303987</v>
      </c>
      <c r="K115" s="38">
        <f t="shared" si="35"/>
        <v>-42.950505380236763</v>
      </c>
      <c r="L115" s="38">
        <f t="shared" si="36"/>
        <v>137.04949461976324</v>
      </c>
      <c r="M115" s="16">
        <f t="shared" si="37"/>
        <v>-132.30622082745072</v>
      </c>
      <c r="N115" s="16">
        <f t="shared" si="38"/>
        <v>123.16404041183341</v>
      </c>
      <c r="O115" s="16">
        <f t="shared" si="39"/>
        <v>180.76038537303987</v>
      </c>
      <c r="P115" s="16">
        <f>M115-'"0" цикл 24.06'!M115</f>
        <v>-25.288576046618928</v>
      </c>
      <c r="Q115" s="16">
        <f>N115-'"0" цикл 24.06'!N115</f>
        <v>24.71554472585062</v>
      </c>
      <c r="R115" s="16">
        <f t="shared" si="40"/>
        <v>35.360574508358191</v>
      </c>
      <c r="S115" s="16">
        <f t="shared" si="41"/>
        <v>135.65656267102679</v>
      </c>
      <c r="T115" s="16">
        <f t="shared" si="42"/>
        <v>135.65656267102679</v>
      </c>
    </row>
    <row r="116" spans="1:20" x14ac:dyDescent="0.45">
      <c r="A116" s="40">
        <v>56.5</v>
      </c>
      <c r="B116" s="42">
        <v>-527.4</v>
      </c>
      <c r="C116" s="42">
        <v>11283.6</v>
      </c>
      <c r="D116" s="8">
        <f t="shared" si="30"/>
        <v>-5905.5</v>
      </c>
      <c r="E116" s="8">
        <f t="shared" si="31"/>
        <v>-118.96536814234585</v>
      </c>
      <c r="F116" s="42">
        <v>-2031.7</v>
      </c>
      <c r="G116" s="42">
        <v>-13028.3</v>
      </c>
      <c r="H116" s="8">
        <f t="shared" si="32"/>
        <v>5498.2999999999993</v>
      </c>
      <c r="I116" s="8">
        <f t="shared" si="33"/>
        <v>110.62649719662068</v>
      </c>
      <c r="J116" s="38">
        <f t="shared" si="34"/>
        <v>162.45301074229988</v>
      </c>
      <c r="K116" s="38">
        <f t="shared" si="35"/>
        <v>-42.919908075932568</v>
      </c>
      <c r="L116" s="38">
        <f t="shared" si="36"/>
        <v>137.08009192406743</v>
      </c>
      <c r="M116" s="16">
        <f t="shared" si="37"/>
        <v>-118.96536814234588</v>
      </c>
      <c r="N116" s="16">
        <f t="shared" si="38"/>
        <v>110.62649719662065</v>
      </c>
      <c r="O116" s="16">
        <f t="shared" si="39"/>
        <v>162.45301074229988</v>
      </c>
      <c r="P116" s="16">
        <f>M116-'"0" цикл 24.06'!M116</f>
        <v>-25.308688640537355</v>
      </c>
      <c r="Q116" s="16">
        <f>N116-'"0" цикл 24.06'!N116</f>
        <v>24.20579583399055</v>
      </c>
      <c r="R116" s="16">
        <f t="shared" si="40"/>
        <v>35.020712052448317</v>
      </c>
      <c r="S116" s="16">
        <f t="shared" si="41"/>
        <v>136.2760035039866</v>
      </c>
      <c r="T116" s="16">
        <f t="shared" si="42"/>
        <v>136.2760035039866</v>
      </c>
    </row>
    <row r="117" spans="1:20" x14ac:dyDescent="0.45">
      <c r="A117" s="40">
        <v>57</v>
      </c>
      <c r="B117" s="42">
        <v>-863.8</v>
      </c>
      <c r="C117" s="42">
        <v>11258</v>
      </c>
      <c r="D117" s="8">
        <f t="shared" si="30"/>
        <v>-6060.9</v>
      </c>
      <c r="E117" s="8">
        <f t="shared" si="31"/>
        <v>-104.65198784339448</v>
      </c>
      <c r="F117" s="42">
        <v>-1587.6</v>
      </c>
      <c r="G117" s="42">
        <v>-13076.6</v>
      </c>
      <c r="H117" s="8">
        <f t="shared" si="32"/>
        <v>5744.5</v>
      </c>
      <c r="I117" s="8">
        <f t="shared" si="33"/>
        <v>97.299820268402399</v>
      </c>
      <c r="J117" s="38">
        <f t="shared" si="34"/>
        <v>142.89609366192414</v>
      </c>
      <c r="K117" s="38">
        <f t="shared" si="35"/>
        <v>-42.915036158058911</v>
      </c>
      <c r="L117" s="38">
        <f t="shared" si="36"/>
        <v>137.08496384194109</v>
      </c>
      <c r="M117" s="16">
        <f t="shared" si="37"/>
        <v>-104.65198784339449</v>
      </c>
      <c r="N117" s="16">
        <f t="shared" si="38"/>
        <v>97.299820268402399</v>
      </c>
      <c r="O117" s="16">
        <f t="shared" si="39"/>
        <v>142.89609366192414</v>
      </c>
      <c r="P117" s="16">
        <f>M117-'"0" цикл 24.06'!M117</f>
        <v>-24.623308647827642</v>
      </c>
      <c r="Q117" s="16">
        <f>N117-'"0" цикл 24.06'!N117</f>
        <v>23.663474319692227</v>
      </c>
      <c r="R117" s="16">
        <f t="shared" si="40"/>
        <v>34.150656591710167</v>
      </c>
      <c r="S117" s="16">
        <f t="shared" si="41"/>
        <v>136.13876326228686</v>
      </c>
      <c r="T117" s="16">
        <f t="shared" si="42"/>
        <v>136.13876326228686</v>
      </c>
    </row>
    <row r="118" spans="1:20" x14ac:dyDescent="0.45">
      <c r="A118" s="40">
        <v>57.5</v>
      </c>
      <c r="B118" s="42">
        <v>887.1</v>
      </c>
      <c r="C118" s="42">
        <v>11262.7</v>
      </c>
      <c r="D118" s="8">
        <f t="shared" si="30"/>
        <v>-5187.8</v>
      </c>
      <c r="E118" s="8">
        <f t="shared" si="31"/>
        <v>-89.962065795006922</v>
      </c>
      <c r="F118" s="42">
        <v>-2021.5</v>
      </c>
      <c r="G118" s="42">
        <v>-13321.4</v>
      </c>
      <c r="H118" s="8">
        <f t="shared" si="32"/>
        <v>5649.95</v>
      </c>
      <c r="I118" s="8">
        <f t="shared" si="33"/>
        <v>83.376559357115454</v>
      </c>
      <c r="J118" s="38">
        <f t="shared" si="34"/>
        <v>122.65734357279939</v>
      </c>
      <c r="K118" s="38">
        <f t="shared" si="35"/>
        <v>-42.824256774178771</v>
      </c>
      <c r="L118" s="38">
        <f t="shared" si="36"/>
        <v>137.17574322582124</v>
      </c>
      <c r="M118" s="16">
        <f t="shared" si="37"/>
        <v>-89.962065795006922</v>
      </c>
      <c r="N118" s="16">
        <f t="shared" si="38"/>
        <v>83.376559357115454</v>
      </c>
      <c r="O118" s="16">
        <f t="shared" si="39"/>
        <v>122.65734357279939</v>
      </c>
      <c r="P118" s="16">
        <f>M118-'"0" цикл 24.06'!M118</f>
        <v>-24.082481646464217</v>
      </c>
      <c r="Q118" s="16">
        <f>N118-'"0" цикл 24.06'!N118</f>
        <v>22.783736449435992</v>
      </c>
      <c r="R118" s="16">
        <f t="shared" si="40"/>
        <v>33.152142748993526</v>
      </c>
      <c r="S118" s="16">
        <f t="shared" si="41"/>
        <v>136.58736040734263</v>
      </c>
      <c r="T118" s="16">
        <f t="shared" si="42"/>
        <v>136.58736040734263</v>
      </c>
    </row>
    <row r="119" spans="1:20" x14ac:dyDescent="0.45">
      <c r="A119" s="40">
        <v>58</v>
      </c>
      <c r="B119" s="42">
        <v>891.2</v>
      </c>
      <c r="C119" s="42">
        <v>11268.3</v>
      </c>
      <c r="D119" s="8">
        <f t="shared" ref="D119:D124" si="43">(B119-C119)/2</f>
        <v>-5188.5499999999993</v>
      </c>
      <c r="E119" s="8">
        <f t="shared" ref="E119:E124" si="44">0.5*SIN(D119/3600*PI()/180)*1000+E120</f>
        <v>-77.387809524607704</v>
      </c>
      <c r="F119" s="42">
        <v>-3157.5</v>
      </c>
      <c r="G119" s="42">
        <v>-12982.4</v>
      </c>
      <c r="H119" s="8">
        <f t="shared" ref="H119:H124" si="45">(F119-G119)/2</f>
        <v>4912.45</v>
      </c>
      <c r="I119" s="8">
        <f t="shared" ref="I119:I124" si="46">0.5*SIN(H119/3600*PI()/180)*1000+I120</f>
        <v>69.682406688654055</v>
      </c>
      <c r="J119" s="38">
        <f t="shared" ref="J119:J124" si="47">SQRT(E119^2+I119^2)</f>
        <v>104.13698125517151</v>
      </c>
      <c r="K119" s="38">
        <f t="shared" ref="K119:K124" si="48">IF(E119&gt;=0,180-DEGREES(ASIN(-I119/J119)),IF(E119&lt;0,DEGREES(ASIN(-I119/J119)),360-DEGREES(ASIN(I119/J119))))</f>
        <v>-42.000862732798268</v>
      </c>
      <c r="L119" s="38">
        <f t="shared" ref="L119:L124" si="49">IF((K119+$L$1)&lt;=360,K119+$L$1,K119+$L$1-360)</f>
        <v>137.99913726720172</v>
      </c>
      <c r="M119" s="16">
        <f t="shared" ref="M119:M124" si="50">J119*COS(RADIANS(L119))</f>
        <v>-77.387809524607675</v>
      </c>
      <c r="N119" s="16">
        <f t="shared" ref="N119:N124" si="51">J119*SIN(RADIANS(L119))</f>
        <v>69.682406688654083</v>
      </c>
      <c r="O119" s="16">
        <f t="shared" ref="O119:O124" si="52">SQRT(N119^2+M119^2)</f>
        <v>104.13698125517151</v>
      </c>
      <c r="P119" s="16">
        <f>M119-'"0" цикл 24.06'!M119</f>
        <v>-25.846442175574147</v>
      </c>
      <c r="Q119" s="16">
        <f>N119-'"0" цикл 24.06'!N119</f>
        <v>22.220101063310416</v>
      </c>
      <c r="R119" s="16">
        <f t="shared" ref="R119:R124" si="53">SQRT(P119^2+Q119^2)</f>
        <v>34.084768803661063</v>
      </c>
      <c r="S119" s="16">
        <f t="shared" ref="S119:S124" si="54">IF(R119=0,0,IF(P119&gt;=0,DEGREES(ASIN(Q119/R119)),(180-DEGREES(ASIN(Q119/R119)))))</f>
        <v>139.31445997877242</v>
      </c>
      <c r="T119" s="16">
        <f t="shared" ref="T119:T124" si="55">IF(S119&lt;0,360+S119,S119)</f>
        <v>139.31445997877242</v>
      </c>
    </row>
    <row r="120" spans="1:20" x14ac:dyDescent="0.45">
      <c r="A120" s="40">
        <v>58.5</v>
      </c>
      <c r="B120" s="42">
        <v>966.7</v>
      </c>
      <c r="C120" s="42">
        <v>11174.1</v>
      </c>
      <c r="D120" s="8">
        <f t="shared" si="43"/>
        <v>-5103.7</v>
      </c>
      <c r="E120" s="8">
        <f t="shared" si="44"/>
        <v>-64.811735777989554</v>
      </c>
      <c r="F120" s="42">
        <v>-3559</v>
      </c>
      <c r="G120" s="42">
        <v>-12934</v>
      </c>
      <c r="H120" s="8">
        <f t="shared" si="45"/>
        <v>4687.5</v>
      </c>
      <c r="I120" s="8">
        <f t="shared" si="46"/>
        <v>57.775417557080694</v>
      </c>
      <c r="J120" s="38">
        <f t="shared" si="47"/>
        <v>86.824881044841973</v>
      </c>
      <c r="K120" s="38">
        <f t="shared" si="48"/>
        <v>-41.714912937875297</v>
      </c>
      <c r="L120" s="38">
        <f t="shared" si="49"/>
        <v>138.28508706212472</v>
      </c>
      <c r="M120" s="16">
        <f t="shared" si="50"/>
        <v>-64.811735777989568</v>
      </c>
      <c r="N120" s="16">
        <f t="shared" si="51"/>
        <v>57.775417557080679</v>
      </c>
      <c r="O120" s="16">
        <f t="shared" si="52"/>
        <v>86.824881044841973</v>
      </c>
      <c r="P120" s="16">
        <f>M120-'"0" цикл 24.06'!M120</f>
        <v>-26.09507134487874</v>
      </c>
      <c r="Q120" s="16">
        <f>N120-'"0" цикл 24.06'!N120</f>
        <v>22.13092045507215</v>
      </c>
      <c r="R120" s="16">
        <f t="shared" si="53"/>
        <v>34.215937641441926</v>
      </c>
      <c r="S120" s="16">
        <f t="shared" si="54"/>
        <v>139.69911802813823</v>
      </c>
      <c r="T120" s="16">
        <f t="shared" si="55"/>
        <v>139.69911802813823</v>
      </c>
    </row>
    <row r="121" spans="1:20" x14ac:dyDescent="0.45">
      <c r="A121" s="40">
        <v>59</v>
      </c>
      <c r="B121" s="42">
        <v>1072.9000000000001</v>
      </c>
      <c r="C121" s="42">
        <v>11134.9</v>
      </c>
      <c r="D121" s="8">
        <f t="shared" si="43"/>
        <v>-5031</v>
      </c>
      <c r="E121" s="8">
        <f t="shared" si="44"/>
        <v>-52.441280223135522</v>
      </c>
      <c r="F121" s="42">
        <v>-3676.7</v>
      </c>
      <c r="G121" s="42">
        <v>-12876.9</v>
      </c>
      <c r="H121" s="8">
        <f t="shared" si="45"/>
        <v>4600.1000000000004</v>
      </c>
      <c r="I121" s="8">
        <f t="shared" si="46"/>
        <v>46.413574944645845</v>
      </c>
      <c r="J121" s="38">
        <f t="shared" si="47"/>
        <v>70.030763315729189</v>
      </c>
      <c r="K121" s="38">
        <f t="shared" si="48"/>
        <v>-41.510692297949412</v>
      </c>
      <c r="L121" s="38">
        <f t="shared" si="49"/>
        <v>138.48930770205058</v>
      </c>
      <c r="M121" s="16">
        <f t="shared" si="50"/>
        <v>-52.441280223135507</v>
      </c>
      <c r="N121" s="16">
        <f t="shared" si="51"/>
        <v>46.413574944645866</v>
      </c>
      <c r="O121" s="16">
        <f t="shared" si="52"/>
        <v>70.030763315729203</v>
      </c>
      <c r="P121" s="16">
        <f>M121-'"0" цикл 24.06'!M121</f>
        <v>-26.370238168143214</v>
      </c>
      <c r="Q121" s="16">
        <f>N121-'"0" цикл 24.06'!N121</f>
        <v>22.417854156103051</v>
      </c>
      <c r="R121" s="16">
        <f t="shared" si="53"/>
        <v>34.611409188429526</v>
      </c>
      <c r="S121" s="16">
        <f t="shared" si="54"/>
        <v>139.63148812218802</v>
      </c>
      <c r="T121" s="16">
        <f t="shared" si="55"/>
        <v>139.63148812218802</v>
      </c>
    </row>
    <row r="122" spans="1:20" x14ac:dyDescent="0.45">
      <c r="A122" s="40">
        <v>59.5</v>
      </c>
      <c r="B122" s="42">
        <v>930.7</v>
      </c>
      <c r="C122" s="42">
        <v>11220.4</v>
      </c>
      <c r="D122" s="8">
        <f t="shared" si="43"/>
        <v>-5144.8499999999995</v>
      </c>
      <c r="E122" s="8">
        <f t="shared" si="44"/>
        <v>-40.247001261598101</v>
      </c>
      <c r="F122" s="42">
        <v>-3415.5</v>
      </c>
      <c r="G122" s="42">
        <v>-12994</v>
      </c>
      <c r="H122" s="8">
        <f t="shared" si="45"/>
        <v>4789.25</v>
      </c>
      <c r="I122" s="8">
        <f t="shared" si="46"/>
        <v>35.263542217873344</v>
      </c>
      <c r="J122" s="38">
        <f t="shared" si="47"/>
        <v>53.510172119913939</v>
      </c>
      <c r="K122" s="38">
        <f t="shared" si="48"/>
        <v>-41.224133934195223</v>
      </c>
      <c r="L122" s="38">
        <f t="shared" si="49"/>
        <v>138.77586606580479</v>
      </c>
      <c r="M122" s="16">
        <f t="shared" si="50"/>
        <v>-40.247001261598108</v>
      </c>
      <c r="N122" s="16">
        <f t="shared" si="51"/>
        <v>35.263542217873336</v>
      </c>
      <c r="O122" s="16">
        <f t="shared" si="52"/>
        <v>53.510172119913939</v>
      </c>
      <c r="P122" s="16">
        <f>M122-'"0" цикл 24.06'!M122</f>
        <v>-26.760393341689124</v>
      </c>
      <c r="Q122" s="16">
        <f>N122-'"0" цикл 24.06'!N122</f>
        <v>22.794699851840377</v>
      </c>
      <c r="R122" s="16">
        <f t="shared" si="53"/>
        <v>35.152766507593839</v>
      </c>
      <c r="S122" s="16">
        <f t="shared" si="54"/>
        <v>139.57539871872217</v>
      </c>
      <c r="T122" s="16">
        <f t="shared" si="55"/>
        <v>139.57539871872217</v>
      </c>
    </row>
    <row r="123" spans="1:20" x14ac:dyDescent="0.45">
      <c r="A123" s="40">
        <v>60</v>
      </c>
      <c r="B123" s="42">
        <v>748.6</v>
      </c>
      <c r="C123" s="42">
        <v>11595.1</v>
      </c>
      <c r="D123" s="8">
        <f t="shared" si="43"/>
        <v>-5423.25</v>
      </c>
      <c r="E123" s="8">
        <f t="shared" si="44"/>
        <v>-27.776826072613215</v>
      </c>
      <c r="F123" s="42">
        <v>-3179.6</v>
      </c>
      <c r="G123" s="42">
        <v>-13310.9</v>
      </c>
      <c r="H123" s="8">
        <f t="shared" si="45"/>
        <v>5065.6499999999996</v>
      </c>
      <c r="I123" s="8">
        <f t="shared" si="46"/>
        <v>23.65511572636154</v>
      </c>
      <c r="J123" s="38">
        <f t="shared" si="47"/>
        <v>36.484470212622824</v>
      </c>
      <c r="K123" s="38">
        <f t="shared" si="48"/>
        <v>-40.418158760600946</v>
      </c>
      <c r="L123" s="38">
        <f t="shared" si="49"/>
        <v>139.58184123939907</v>
      </c>
      <c r="M123" s="16">
        <f t="shared" si="50"/>
        <v>-27.776826072613215</v>
      </c>
      <c r="N123" s="16">
        <f t="shared" si="51"/>
        <v>23.655115726361537</v>
      </c>
      <c r="O123" s="16">
        <f t="shared" si="52"/>
        <v>36.484470212622824</v>
      </c>
      <c r="P123" s="16" t="e">
        <f>M123-'"0" цикл 24.06'!M123</f>
        <v>#DIV/0!</v>
      </c>
      <c r="Q123" s="16" t="e">
        <f>N123-'"0" цикл 24.06'!N123</f>
        <v>#DIV/0!</v>
      </c>
      <c r="R123" s="16" t="e">
        <f t="shared" si="53"/>
        <v>#DIV/0!</v>
      </c>
      <c r="S123" s="16" t="e">
        <f t="shared" si="54"/>
        <v>#DIV/0!</v>
      </c>
      <c r="T123" s="16" t="e">
        <f t="shared" si="55"/>
        <v>#DIV/0!</v>
      </c>
    </row>
    <row r="124" spans="1:20" x14ac:dyDescent="0.45">
      <c r="A124" s="40">
        <v>60.5</v>
      </c>
      <c r="B124" s="42">
        <v>-407.5</v>
      </c>
      <c r="C124" s="42">
        <v>11666.5</v>
      </c>
      <c r="D124" s="8">
        <f t="shared" si="43"/>
        <v>-6037</v>
      </c>
      <c r="E124" s="8">
        <f t="shared" si="44"/>
        <v>-14.632011724539538</v>
      </c>
      <c r="F124" s="42">
        <v>-4020.9</v>
      </c>
      <c r="G124" s="42">
        <v>-13408.3</v>
      </c>
      <c r="H124" s="8">
        <f t="shared" si="45"/>
        <v>4693.7</v>
      </c>
      <c r="I124" s="8">
        <f t="shared" si="46"/>
        <v>11.376867950623973</v>
      </c>
      <c r="J124" s="38">
        <f t="shared" si="47"/>
        <v>18.53453240502704</v>
      </c>
      <c r="K124" s="38">
        <f t="shared" si="48"/>
        <v>-37.866234312260588</v>
      </c>
      <c r="L124" s="38">
        <f t="shared" si="49"/>
        <v>142.13376568773941</v>
      </c>
      <c r="M124" s="16">
        <f t="shared" si="50"/>
        <v>-14.632011724539538</v>
      </c>
      <c r="N124" s="16">
        <f t="shared" si="51"/>
        <v>11.376867950623975</v>
      </c>
      <c r="O124" s="16">
        <f t="shared" si="52"/>
        <v>18.53453240502704</v>
      </c>
      <c r="P124" s="16">
        <f>M124-'"0" цикл 24.06'!M124</f>
        <v>-14.632011724539538</v>
      </c>
      <c r="Q124" s="16">
        <f>N124-'"0" цикл 24.06'!N124</f>
        <v>11.376867950623975</v>
      </c>
      <c r="R124" s="16">
        <f t="shared" si="53"/>
        <v>18.53453240502704</v>
      </c>
      <c r="S124" s="16">
        <f t="shared" si="54"/>
        <v>142.13376568773941</v>
      </c>
      <c r="T124" s="16">
        <f t="shared" si="55"/>
        <v>142.13376568773941</v>
      </c>
    </row>
    <row r="125" spans="1:20" s="41" customFormat="1" x14ac:dyDescent="0.45">
      <c r="A125" s="43">
        <v>61</v>
      </c>
      <c r="B125" s="45"/>
      <c r="C125" s="45"/>
      <c r="D125" s="8">
        <f t="shared" ref="D125" si="56">(B125-C125)/2</f>
        <v>0</v>
      </c>
      <c r="E125" s="8">
        <v>0</v>
      </c>
      <c r="F125" s="45"/>
      <c r="G125" s="45"/>
      <c r="H125" s="8">
        <f t="shared" ref="H125" si="57">(F125-G125)/2</f>
        <v>0</v>
      </c>
      <c r="I125" s="12">
        <v>0</v>
      </c>
      <c r="J125" s="43">
        <f t="shared" ref="J125" si="58">SQRT(E125^2+I125^2)</f>
        <v>0</v>
      </c>
      <c r="K125" s="43">
        <v>0</v>
      </c>
      <c r="L125" s="43">
        <v>0</v>
      </c>
      <c r="M125" s="43">
        <f>J125*COS(RADIANS(L125))</f>
        <v>0</v>
      </c>
      <c r="N125" s="43">
        <f>J125*SIN(RADIANS(L125))</f>
        <v>0</v>
      </c>
      <c r="O125" s="43">
        <f t="shared" ref="O125" si="59">SQRT(N125^2+M125^2)</f>
        <v>0</v>
      </c>
      <c r="P125" s="43">
        <f t="shared" ref="P125" si="60">N125</f>
        <v>0</v>
      </c>
      <c r="Q125" s="43">
        <f t="shared" ref="Q125" si="61">SQRT(O125^2+P125^2)</f>
        <v>0</v>
      </c>
      <c r="R125" s="43">
        <f t="shared" ref="R125" si="62">IF(Q125=0,0,IF(O125&gt;=0,DEGREES(ASIN(P125/Q125)),(180-DEGREES(ASIN(P125/Q125)))))</f>
        <v>0</v>
      </c>
      <c r="S125" s="43">
        <f t="shared" ref="S125:T125" si="63">IF(R125&lt;0,360+R125,R125)</f>
        <v>0</v>
      </c>
      <c r="T125" s="43">
        <f t="shared" si="63"/>
        <v>0</v>
      </c>
    </row>
  </sheetData>
  <mergeCells count="2">
    <mergeCell ref="B1:I1"/>
    <mergeCell ref="M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4"/>
  <sheetViews>
    <sheetView zoomScale="86" workbookViewId="0">
      <selection activeCell="B2" sqref="B2"/>
    </sheetView>
  </sheetViews>
  <sheetFormatPr defaultRowHeight="14.25" x14ac:dyDescent="0.45"/>
  <cols>
    <col min="1" max="1" width="9.1328125" style="7"/>
    <col min="2" max="3" width="9.3984375" style="12" customWidth="1"/>
    <col min="4" max="5" width="9.3984375" style="13" customWidth="1"/>
    <col min="6" max="7" width="9.3984375" style="12" customWidth="1"/>
    <col min="8" max="9" width="9.3984375" style="13" customWidth="1"/>
    <col min="10" max="19" width="9.1328125" style="16"/>
  </cols>
  <sheetData>
    <row r="1" spans="1:19" x14ac:dyDescent="0.45">
      <c r="B1" s="53" t="s">
        <v>194</v>
      </c>
      <c r="C1" s="53"/>
      <c r="D1" s="53"/>
      <c r="E1" s="53"/>
      <c r="F1" s="53"/>
      <c r="G1" s="53"/>
      <c r="H1" s="53"/>
      <c r="I1" s="53"/>
      <c r="K1" s="16" t="s">
        <v>1</v>
      </c>
      <c r="L1" s="18">
        <v>180</v>
      </c>
      <c r="M1" s="54"/>
      <c r="N1" s="55"/>
      <c r="O1" s="55"/>
      <c r="P1" s="55"/>
      <c r="Q1" s="55"/>
      <c r="R1" s="55"/>
      <c r="S1" s="56"/>
    </row>
    <row r="2" spans="1:19" ht="99.75" x14ac:dyDescent="0.45">
      <c r="A2" s="7" t="s">
        <v>2</v>
      </c>
      <c r="B2" s="9" t="s">
        <v>99</v>
      </c>
      <c r="C2" s="9" t="s">
        <v>100</v>
      </c>
      <c r="D2" s="10" t="s">
        <v>101</v>
      </c>
      <c r="E2" s="10" t="s">
        <v>102</v>
      </c>
      <c r="F2" s="9" t="s">
        <v>187</v>
      </c>
      <c r="G2" s="9" t="s">
        <v>188</v>
      </c>
      <c r="H2" s="10" t="s">
        <v>189</v>
      </c>
      <c r="I2" s="10" t="s">
        <v>186</v>
      </c>
      <c r="J2" s="10" t="s">
        <v>191</v>
      </c>
      <c r="K2" s="10" t="s">
        <v>192</v>
      </c>
      <c r="L2" s="10" t="s">
        <v>193</v>
      </c>
      <c r="M2" s="15" t="s">
        <v>17</v>
      </c>
      <c r="N2" s="15" t="s">
        <v>18</v>
      </c>
      <c r="O2" s="14" t="s">
        <v>19</v>
      </c>
      <c r="P2" s="14" t="s">
        <v>20</v>
      </c>
      <c r="Q2" s="14" t="s">
        <v>21</v>
      </c>
      <c r="R2" s="14"/>
      <c r="S2" s="14" t="s">
        <v>22</v>
      </c>
    </row>
    <row r="3" spans="1:19" x14ac:dyDescent="0.45">
      <c r="A3" s="7">
        <v>-0.5</v>
      </c>
      <c r="B3" s="11" t="s">
        <v>103</v>
      </c>
      <c r="C3" s="11" t="s">
        <v>104</v>
      </c>
      <c r="D3" s="8">
        <f>(B3-C3)/2</f>
        <v>-1963.5</v>
      </c>
      <c r="E3" s="8">
        <f t="shared" ref="E3:E54" si="0">0.5*SIN(D3/3600*PI()/180)*1000+E4</f>
        <v>-200.38155580556699</v>
      </c>
      <c r="F3" s="11">
        <v>-3702</v>
      </c>
      <c r="G3" s="11">
        <v>228</v>
      </c>
      <c r="H3" s="8">
        <f>(F3-G3)/2</f>
        <v>-1965</v>
      </c>
      <c r="I3" s="8">
        <f t="shared" ref="I3:I54" si="1">0.5*SIN(H3/3600*PI()/180)*1000+I4</f>
        <v>-202.18379614515277</v>
      </c>
      <c r="J3" s="16">
        <f>SQRT(E3^2+I3^2)</f>
        <v>284.65954284148677</v>
      </c>
      <c r="K3" s="16">
        <f t="shared" ref="K3:K54" si="2">IF(E3&gt;=0,180-DEGREES(ASIN(-I3/J3)),IF(E3&lt;0,DEGREES(ASIN(-I3/J3)),360-DEGREES(ASIN(I3/J3))))</f>
        <v>45.256505123367646</v>
      </c>
      <c r="L3" s="16">
        <f>IF((K3+$L$1)&lt;=360,K3+$L$1,K3+$L$1-360)</f>
        <v>225.25650512336765</v>
      </c>
      <c r="M3" s="16">
        <f>J3*COS(RADIANS(L3))</f>
        <v>-200.38155580556702</v>
      </c>
      <c r="N3" s="16">
        <f>J3*SIN(RADIANS(L3))</f>
        <v>-202.18379614515271</v>
      </c>
      <c r="O3" s="16" t="e">
        <f>M3-'"0" цикл 24.06'!#REF!</f>
        <v>#REF!</v>
      </c>
      <c r="P3" s="16" t="e">
        <f>N3-'"0" цикл 24.06'!#REF!</f>
        <v>#REF!</v>
      </c>
      <c r="Q3" s="16" t="e">
        <f>SQRT(O3^2+P3^2)</f>
        <v>#REF!</v>
      </c>
      <c r="R3" s="16" t="e">
        <f>IF(Q3=0,0,IF(O3&gt;=0,DEGREES(ASIN(P3/Q3)),(180-DEGREES(ASIN(P3/Q3)))))</f>
        <v>#REF!</v>
      </c>
      <c r="S3" s="16" t="e">
        <f>IF(R3&lt;0,360+R3,R3)</f>
        <v>#REF!</v>
      </c>
    </row>
    <row r="4" spans="1:19" x14ac:dyDescent="0.45">
      <c r="A4" s="7">
        <v>0</v>
      </c>
      <c r="B4" s="11" t="s">
        <v>105</v>
      </c>
      <c r="C4" s="11" t="s">
        <v>106</v>
      </c>
      <c r="D4" s="8">
        <f t="shared" ref="D4:D54" si="3">(B4-C4)/2</f>
        <v>-1325</v>
      </c>
      <c r="E4" s="8">
        <f t="shared" si="0"/>
        <v>-195.62196937558332</v>
      </c>
      <c r="F4" s="11">
        <v>-3010</v>
      </c>
      <c r="G4" s="11">
        <v>-428</v>
      </c>
      <c r="H4" s="8">
        <f>(F4-G4)/2</f>
        <v>-1291</v>
      </c>
      <c r="I4" s="8">
        <f t="shared" si="1"/>
        <v>-197.42057377743248</v>
      </c>
      <c r="J4" s="16">
        <f t="shared" ref="J4:J54" si="4">SQRT(E4^2+I4^2)</f>
        <v>277.92595750126026</v>
      </c>
      <c r="K4" s="16">
        <f t="shared" si="2"/>
        <v>45.262189739284302</v>
      </c>
      <c r="L4" s="16">
        <f t="shared" ref="L4:L53" si="5">IF((K4+$L$1)&lt;=360,K4+$L$1,K4+$L$1-360)</f>
        <v>225.26218973928431</v>
      </c>
      <c r="M4" s="16">
        <f t="shared" ref="M4:M54" si="6">J4*COS(RADIANS(L4))</f>
        <v>-195.62196937558326</v>
      </c>
      <c r="N4" s="16">
        <f t="shared" ref="N4:N54" si="7">J4*SIN(RADIANS(L4))</f>
        <v>-197.42057377743254</v>
      </c>
      <c r="O4" s="16">
        <f>M4-'"0" цикл 24.06'!M3</f>
        <v>516.9218412305147</v>
      </c>
      <c r="P4" s="16">
        <f>N4-'"0" цикл 24.06'!N3</f>
        <v>-784.12197418385415</v>
      </c>
      <c r="Q4" s="16">
        <f t="shared" ref="Q4:Q54" si="8">SQRT(O4^2+P4^2)</f>
        <v>939.17807701155925</v>
      </c>
      <c r="R4" s="16">
        <f t="shared" ref="R4:R54" si="9">IF(Q4=0,0,IF(O4&gt;=0,DEGREES(ASIN(P4/Q4)),(180-DEGREES(ASIN(P4/Q4)))))</f>
        <v>-56.605670538043313</v>
      </c>
      <c r="S4" s="16">
        <f t="shared" ref="S4:S54" si="10">IF(R4&lt;0,360+R4,R4)</f>
        <v>303.39432946195666</v>
      </c>
    </row>
    <row r="5" spans="1:19" x14ac:dyDescent="0.45">
      <c r="A5" s="7">
        <v>0.5</v>
      </c>
      <c r="B5" s="11" t="s">
        <v>107</v>
      </c>
      <c r="C5" s="11" t="s">
        <v>108</v>
      </c>
      <c r="D5" s="8">
        <f t="shared" si="3"/>
        <v>-587</v>
      </c>
      <c r="E5" s="8">
        <f t="shared" si="0"/>
        <v>-192.41010082794665</v>
      </c>
      <c r="F5" s="11">
        <v>-2302</v>
      </c>
      <c r="G5" s="11">
        <v>-1171</v>
      </c>
      <c r="H5" s="8">
        <f t="shared" ref="H5:H54" si="11">(F5-G5)/2</f>
        <v>-565.5</v>
      </c>
      <c r="I5" s="8">
        <f t="shared" si="1"/>
        <v>-194.2911218983574</v>
      </c>
      <c r="J5" s="16">
        <f t="shared" si="4"/>
        <v>273.44229180787482</v>
      </c>
      <c r="K5" s="16">
        <f t="shared" si="2"/>
        <v>45.27870022685164</v>
      </c>
      <c r="L5" s="16">
        <f t="shared" si="5"/>
        <v>225.27870022685164</v>
      </c>
      <c r="M5" s="16">
        <f t="shared" si="6"/>
        <v>-192.41010082794665</v>
      </c>
      <c r="N5" s="16">
        <f t="shared" si="7"/>
        <v>-194.2911218983574</v>
      </c>
      <c r="O5" s="16">
        <f>M5-'"0" цикл 24.06'!M4</f>
        <v>524.61381305537861</v>
      </c>
      <c r="P5" s="16">
        <f>N5-'"0" цикл 24.06'!N4</f>
        <v>-786.51213515400218</v>
      </c>
      <c r="Q5" s="16">
        <f t="shared" si="8"/>
        <v>945.42106576541391</v>
      </c>
      <c r="R5" s="16">
        <f t="shared" si="9"/>
        <v>-56.296197194784135</v>
      </c>
      <c r="S5" s="16">
        <f t="shared" si="10"/>
        <v>303.70380280521584</v>
      </c>
    </row>
    <row r="6" spans="1:19" x14ac:dyDescent="0.45">
      <c r="A6" s="7">
        <v>1</v>
      </c>
      <c r="B6" s="11" t="s">
        <v>109</v>
      </c>
      <c r="C6" s="11" t="s">
        <v>110</v>
      </c>
      <c r="D6" s="8">
        <f t="shared" si="3"/>
        <v>-1149.5</v>
      </c>
      <c r="E6" s="8">
        <f t="shared" si="0"/>
        <v>-190.98717459458109</v>
      </c>
      <c r="F6" s="11">
        <v>-2912</v>
      </c>
      <c r="G6" s="11">
        <v>-547</v>
      </c>
      <c r="H6" s="8">
        <f t="shared" si="11"/>
        <v>-1182.5</v>
      </c>
      <c r="I6" s="8">
        <f t="shared" si="1"/>
        <v>-192.92031293229982</v>
      </c>
      <c r="J6" s="16">
        <f t="shared" si="4"/>
        <v>271.4670293083812</v>
      </c>
      <c r="K6" s="16">
        <f t="shared" si="2"/>
        <v>45.288506308022626</v>
      </c>
      <c r="L6" s="16">
        <f t="shared" si="5"/>
        <v>225.28850630802262</v>
      </c>
      <c r="M6" s="16">
        <f t="shared" si="6"/>
        <v>-190.98717459458115</v>
      </c>
      <c r="N6" s="16">
        <f t="shared" si="7"/>
        <v>-192.92031293229979</v>
      </c>
      <c r="O6" s="16">
        <f>M6-'"0" цикл 24.06'!M5</f>
        <v>532.66297870773963</v>
      </c>
      <c r="P6" s="16">
        <f>N6-'"0" цикл 24.06'!N5</f>
        <v>-792.60717942324163</v>
      </c>
      <c r="Q6" s="16">
        <f t="shared" si="8"/>
        <v>954.9638683002978</v>
      </c>
      <c r="R6" s="16">
        <f t="shared" si="9"/>
        <v>-56.097357786009781</v>
      </c>
      <c r="S6" s="16">
        <f t="shared" si="10"/>
        <v>303.90264221399025</v>
      </c>
    </row>
    <row r="7" spans="1:19" x14ac:dyDescent="0.45">
      <c r="A7" s="7">
        <v>1.5</v>
      </c>
      <c r="B7" s="11" t="s">
        <v>111</v>
      </c>
      <c r="C7" s="11" t="s">
        <v>112</v>
      </c>
      <c r="D7" s="8">
        <f t="shared" si="3"/>
        <v>-1497</v>
      </c>
      <c r="E7" s="8">
        <f t="shared" si="0"/>
        <v>-188.20072238586908</v>
      </c>
      <c r="F7" s="11">
        <v>-3200</v>
      </c>
      <c r="G7" s="11">
        <v>-222</v>
      </c>
      <c r="H7" s="8">
        <f t="shared" si="11"/>
        <v>-1489</v>
      </c>
      <c r="I7" s="8">
        <f t="shared" si="1"/>
        <v>-190.05386774441848</v>
      </c>
      <c r="J7" s="16">
        <f t="shared" si="4"/>
        <v>267.46959556401151</v>
      </c>
      <c r="K7" s="16">
        <f t="shared" si="2"/>
        <v>45.280701308472246</v>
      </c>
      <c r="L7" s="16">
        <f t="shared" si="5"/>
        <v>225.28070130847226</v>
      </c>
      <c r="M7" s="16">
        <f t="shared" si="6"/>
        <v>-188.20072238586908</v>
      </c>
      <c r="N7" s="16">
        <f t="shared" si="7"/>
        <v>-190.05386774441851</v>
      </c>
      <c r="O7" s="16">
        <f>M7-'"0" цикл 24.06'!M6</f>
        <v>540.03849158715775</v>
      </c>
      <c r="P7" s="16">
        <f>N7-'"0" цикл 24.06'!N6</f>
        <v>-795.54479326974933</v>
      </c>
      <c r="Q7" s="16">
        <f t="shared" si="8"/>
        <v>961.52643775111085</v>
      </c>
      <c r="R7" s="16">
        <f t="shared" si="9"/>
        <v>-55.830220765292331</v>
      </c>
      <c r="S7" s="16">
        <f t="shared" si="10"/>
        <v>304.16977923470768</v>
      </c>
    </row>
    <row r="8" spans="1:19" x14ac:dyDescent="0.45">
      <c r="A8" s="7">
        <v>2</v>
      </c>
      <c r="B8" s="11" t="s">
        <v>113</v>
      </c>
      <c r="C8" s="11" t="s">
        <v>114</v>
      </c>
      <c r="D8" s="8">
        <f t="shared" si="3"/>
        <v>-1174.5</v>
      </c>
      <c r="E8" s="8">
        <f t="shared" si="0"/>
        <v>-184.57192383996491</v>
      </c>
      <c r="F8" s="11">
        <v>-2928</v>
      </c>
      <c r="G8" s="11">
        <v>-615</v>
      </c>
      <c r="H8" s="8">
        <f t="shared" si="11"/>
        <v>-1156.5</v>
      </c>
      <c r="I8" s="8">
        <f t="shared" si="1"/>
        <v>-186.44446123774742</v>
      </c>
      <c r="J8" s="16">
        <f t="shared" si="4"/>
        <v>262.35154315578114</v>
      </c>
      <c r="K8" s="16">
        <f t="shared" si="2"/>
        <v>45.289172077640984</v>
      </c>
      <c r="L8" s="16">
        <f t="shared" si="5"/>
        <v>225.28917207764098</v>
      </c>
      <c r="M8" s="16">
        <f t="shared" si="6"/>
        <v>-184.57192383996488</v>
      </c>
      <c r="N8" s="16">
        <f t="shared" si="7"/>
        <v>-186.44446123774745</v>
      </c>
      <c r="O8" s="16">
        <f>M8-'"0" цикл 24.06'!M7</f>
        <v>545.91233354311657</v>
      </c>
      <c r="P8" s="16">
        <f>N8-'"0" цикл 24.06'!N7</f>
        <v>-795.19852328271327</v>
      </c>
      <c r="Q8" s="16">
        <f t="shared" si="8"/>
        <v>964.55221079291448</v>
      </c>
      <c r="R8" s="16">
        <f t="shared" si="9"/>
        <v>-55.529983016096239</v>
      </c>
      <c r="S8" s="16">
        <f t="shared" si="10"/>
        <v>304.47001698390375</v>
      </c>
    </row>
    <row r="9" spans="1:19" x14ac:dyDescent="0.45">
      <c r="A9" s="7">
        <v>2.5</v>
      </c>
      <c r="B9" s="11" t="s">
        <v>115</v>
      </c>
      <c r="C9" s="11" t="s">
        <v>116</v>
      </c>
      <c r="D9" s="8">
        <f t="shared" si="3"/>
        <v>-1837</v>
      </c>
      <c r="E9" s="8">
        <f t="shared" si="0"/>
        <v>-181.7248708827984</v>
      </c>
      <c r="F9" s="11">
        <v>-3558</v>
      </c>
      <c r="G9" s="11">
        <v>171</v>
      </c>
      <c r="H9" s="8">
        <f t="shared" si="11"/>
        <v>-1864.5</v>
      </c>
      <c r="I9" s="8">
        <f t="shared" si="1"/>
        <v>-183.64104081530374</v>
      </c>
      <c r="J9" s="16">
        <f t="shared" si="4"/>
        <v>258.35626675019478</v>
      </c>
      <c r="K9" s="16">
        <f t="shared" si="2"/>
        <v>45.300486279332638</v>
      </c>
      <c r="L9" s="16">
        <f t="shared" si="5"/>
        <v>225.30048627933263</v>
      </c>
      <c r="M9" s="16">
        <f t="shared" si="6"/>
        <v>-181.7248708827984</v>
      </c>
      <c r="N9" s="16">
        <f t="shared" si="7"/>
        <v>-183.64104081530374</v>
      </c>
      <c r="O9" s="16">
        <f>M9-'"0" цикл 24.06'!M8</f>
        <v>549.50854456071329</v>
      </c>
      <c r="P9" s="16">
        <f>N9-'"0" цикл 24.06'!N8</f>
        <v>-794.29799196503689</v>
      </c>
      <c r="Q9" s="16">
        <f t="shared" si="8"/>
        <v>965.85140709372217</v>
      </c>
      <c r="R9" s="16">
        <f t="shared" si="9"/>
        <v>-55.323871393433436</v>
      </c>
      <c r="S9" s="16">
        <f t="shared" si="10"/>
        <v>304.67612860656658</v>
      </c>
    </row>
    <row r="10" spans="1:19" x14ac:dyDescent="0.45">
      <c r="A10" s="7">
        <v>3</v>
      </c>
      <c r="B10" s="11" t="s">
        <v>117</v>
      </c>
      <c r="C10" s="11" t="s">
        <v>118</v>
      </c>
      <c r="D10" s="8">
        <f t="shared" si="3"/>
        <v>-2058</v>
      </c>
      <c r="E10" s="8">
        <f t="shared" si="0"/>
        <v>-177.27191608842742</v>
      </c>
      <c r="F10" s="11">
        <v>-3765</v>
      </c>
      <c r="G10" s="11">
        <v>350</v>
      </c>
      <c r="H10" s="8">
        <f t="shared" si="11"/>
        <v>-2057.5</v>
      </c>
      <c r="I10" s="8">
        <f t="shared" si="1"/>
        <v>-179.12142682325731</v>
      </c>
      <c r="J10" s="16">
        <f t="shared" si="4"/>
        <v>252.01154295163144</v>
      </c>
      <c r="K10" s="16">
        <f t="shared" si="2"/>
        <v>45.297334981427682</v>
      </c>
      <c r="L10" s="16">
        <f t="shared" si="5"/>
        <v>225.2973349814277</v>
      </c>
      <c r="M10" s="16">
        <f t="shared" si="6"/>
        <v>-177.27191608842736</v>
      </c>
      <c r="N10" s="16">
        <f t="shared" si="7"/>
        <v>-179.12142682325734</v>
      </c>
      <c r="O10" s="16">
        <f>M10-'"0" цикл 24.06'!M9</f>
        <v>553.01344676975089</v>
      </c>
      <c r="P10" s="16">
        <f>N10-'"0" цикл 24.06'!N9</f>
        <v>-789.97315186445019</v>
      </c>
      <c r="Q10" s="16">
        <f t="shared" si="8"/>
        <v>964.30361037113914</v>
      </c>
      <c r="R10" s="16">
        <f t="shared" si="9"/>
        <v>-55.006410461610592</v>
      </c>
      <c r="S10" s="16">
        <f t="shared" si="10"/>
        <v>304.99358953838941</v>
      </c>
    </row>
    <row r="11" spans="1:19" x14ac:dyDescent="0.45">
      <c r="A11" s="7">
        <v>3.5</v>
      </c>
      <c r="B11" s="11" t="s">
        <v>119</v>
      </c>
      <c r="C11" s="11" t="s">
        <v>120</v>
      </c>
      <c r="D11" s="8">
        <f t="shared" si="3"/>
        <v>-2136.5</v>
      </c>
      <c r="E11" s="8">
        <f t="shared" si="0"/>
        <v>-172.28326608063912</v>
      </c>
      <c r="F11" s="11">
        <v>-4262</v>
      </c>
      <c r="G11" s="11">
        <v>374</v>
      </c>
      <c r="H11" s="8">
        <f t="shared" si="11"/>
        <v>-2318</v>
      </c>
      <c r="I11" s="8">
        <f t="shared" si="1"/>
        <v>-174.13398878935806</v>
      </c>
      <c r="J11" s="16">
        <f t="shared" si="4"/>
        <v>244.95748574620978</v>
      </c>
      <c r="K11" s="16">
        <f t="shared" si="2"/>
        <v>45.30609789187934</v>
      </c>
      <c r="L11" s="16">
        <f t="shared" si="5"/>
        <v>225.30609789187935</v>
      </c>
      <c r="M11" s="16">
        <f t="shared" si="6"/>
        <v>-172.28326608063909</v>
      </c>
      <c r="N11" s="16">
        <f t="shared" si="7"/>
        <v>-174.13398878935806</v>
      </c>
      <c r="O11" s="16">
        <f>M11-'"0" цикл 24.06'!M10</f>
        <v>555.08753463588187</v>
      </c>
      <c r="P11" s="16">
        <f>N11-'"0" цикл 24.06'!N10</f>
        <v>-783.11373137774262</v>
      </c>
      <c r="Q11" s="16">
        <f t="shared" si="8"/>
        <v>959.89024757026914</v>
      </c>
      <c r="R11" s="16">
        <f t="shared" si="9"/>
        <v>-54.670181157173651</v>
      </c>
      <c r="S11" s="16">
        <f t="shared" si="10"/>
        <v>305.32981884282634</v>
      </c>
    </row>
    <row r="12" spans="1:19" x14ac:dyDescent="0.45">
      <c r="A12" s="7">
        <v>4</v>
      </c>
      <c r="B12" s="11" t="s">
        <v>121</v>
      </c>
      <c r="C12" s="11" t="s">
        <v>122</v>
      </c>
      <c r="D12" s="8">
        <f t="shared" si="3"/>
        <v>-2731.5</v>
      </c>
      <c r="E12" s="8">
        <f t="shared" si="0"/>
        <v>-167.10433654044473</v>
      </c>
      <c r="F12" s="11">
        <v>-4510</v>
      </c>
      <c r="G12" s="11">
        <v>1097</v>
      </c>
      <c r="H12" s="8">
        <f t="shared" si="11"/>
        <v>-2803.5</v>
      </c>
      <c r="I12" s="8">
        <f t="shared" si="1"/>
        <v>-168.51511649701695</v>
      </c>
      <c r="J12" s="16">
        <f t="shared" si="4"/>
        <v>237.3208877840832</v>
      </c>
      <c r="K12" s="16">
        <f t="shared" si="2"/>
        <v>45.240842002813665</v>
      </c>
      <c r="L12" s="16">
        <f t="shared" si="5"/>
        <v>225.24084200281368</v>
      </c>
      <c r="M12" s="16">
        <f t="shared" si="6"/>
        <v>-167.10433654044471</v>
      </c>
      <c r="N12" s="16">
        <f t="shared" si="7"/>
        <v>-168.51511649701698</v>
      </c>
      <c r="O12" s="16">
        <f>M12-'"0" цикл 24.06'!M11</f>
        <v>555.61013848216317</v>
      </c>
      <c r="P12" s="16">
        <f>N12-'"0" цикл 24.06'!N11</f>
        <v>-773.5926333809814</v>
      </c>
      <c r="Q12" s="16">
        <f t="shared" si="8"/>
        <v>952.44327306432797</v>
      </c>
      <c r="R12" s="16">
        <f t="shared" si="9"/>
        <v>-54.313315161928578</v>
      </c>
      <c r="S12" s="16">
        <f t="shared" si="10"/>
        <v>305.68668483807141</v>
      </c>
    </row>
    <row r="13" spans="1:19" x14ac:dyDescent="0.45">
      <c r="A13" s="7">
        <v>4.5</v>
      </c>
      <c r="B13" s="11" t="s">
        <v>123</v>
      </c>
      <c r="C13" s="11" t="s">
        <v>124</v>
      </c>
      <c r="D13" s="8">
        <f t="shared" si="3"/>
        <v>-3916</v>
      </c>
      <c r="E13" s="8">
        <f t="shared" si="0"/>
        <v>-160.48318721840269</v>
      </c>
      <c r="F13" s="11">
        <v>-5668</v>
      </c>
      <c r="G13" s="11">
        <v>2227</v>
      </c>
      <c r="H13" s="8">
        <f t="shared" si="11"/>
        <v>-3947.5</v>
      </c>
      <c r="I13" s="8">
        <f t="shared" si="1"/>
        <v>-161.71944996028762</v>
      </c>
      <c r="J13" s="16">
        <f t="shared" si="4"/>
        <v>227.83334671473108</v>
      </c>
      <c r="K13" s="16">
        <f t="shared" si="2"/>
        <v>45.219837709914366</v>
      </c>
      <c r="L13" s="16">
        <f t="shared" si="5"/>
        <v>225.21983770991437</v>
      </c>
      <c r="M13" s="16">
        <f t="shared" si="6"/>
        <v>-160.48318721840266</v>
      </c>
      <c r="N13" s="16">
        <f t="shared" si="7"/>
        <v>-161.71944996028768</v>
      </c>
      <c r="O13" s="16">
        <f>M13-'"0" цикл 24.06'!M12</f>
        <v>558.02182154286027</v>
      </c>
      <c r="P13" s="16">
        <f>N13-'"0" цикл 24.06'!N12</f>
        <v>-763.81477436997375</v>
      </c>
      <c r="Q13" s="16">
        <f t="shared" si="8"/>
        <v>945.93940760699138</v>
      </c>
      <c r="R13" s="16">
        <f t="shared" si="9"/>
        <v>-53.849175257390819</v>
      </c>
      <c r="S13" s="16">
        <f t="shared" si="10"/>
        <v>306.15082474260919</v>
      </c>
    </row>
    <row r="14" spans="1:19" x14ac:dyDescent="0.45">
      <c r="A14" s="7">
        <v>5</v>
      </c>
      <c r="B14" s="11" t="s">
        <v>125</v>
      </c>
      <c r="C14" s="11" t="s">
        <v>126</v>
      </c>
      <c r="D14" s="8">
        <f t="shared" si="3"/>
        <v>-5273.5</v>
      </c>
      <c r="E14" s="8">
        <f t="shared" si="0"/>
        <v>-150.99110559002344</v>
      </c>
      <c r="F14" s="11">
        <v>-7005</v>
      </c>
      <c r="G14" s="11">
        <v>3515</v>
      </c>
      <c r="H14" s="8">
        <f t="shared" si="11"/>
        <v>-5260</v>
      </c>
      <c r="I14" s="8">
        <f t="shared" si="1"/>
        <v>-152.15102404903928</v>
      </c>
      <c r="J14" s="16">
        <f t="shared" si="4"/>
        <v>214.35542467236263</v>
      </c>
      <c r="K14" s="16">
        <f t="shared" si="2"/>
        <v>45.219230853955821</v>
      </c>
      <c r="L14" s="16">
        <f t="shared" si="5"/>
        <v>225.21923085395582</v>
      </c>
      <c r="M14" s="16">
        <f t="shared" si="6"/>
        <v>-150.99110559002344</v>
      </c>
      <c r="N14" s="16">
        <f t="shared" si="7"/>
        <v>-152.15102404903925</v>
      </c>
      <c r="O14" s="16">
        <f>M14-'"0" цикл 24.06'!M13</f>
        <v>564.94294754947418</v>
      </c>
      <c r="P14" s="16">
        <f>N14-'"0" цикл 24.06'!N13</f>
        <v>-752.69167469194667</v>
      </c>
      <c r="Q14" s="16">
        <f t="shared" si="8"/>
        <v>941.11916946604333</v>
      </c>
      <c r="R14" s="16">
        <f t="shared" si="9"/>
        <v>-53.109442369134847</v>
      </c>
      <c r="S14" s="16">
        <f t="shared" si="10"/>
        <v>306.89055763086515</v>
      </c>
    </row>
    <row r="15" spans="1:19" x14ac:dyDescent="0.45">
      <c r="A15" s="7">
        <v>5.5</v>
      </c>
      <c r="B15" s="11" t="s">
        <v>127</v>
      </c>
      <c r="C15" s="11" t="s">
        <v>128</v>
      </c>
      <c r="D15" s="8">
        <f t="shared" si="3"/>
        <v>-6288.5</v>
      </c>
      <c r="E15" s="8">
        <f t="shared" si="0"/>
        <v>-138.2091734521515</v>
      </c>
      <c r="F15" s="11">
        <v>-8031</v>
      </c>
      <c r="G15" s="11">
        <v>4599</v>
      </c>
      <c r="H15" s="8">
        <f t="shared" si="11"/>
        <v>-6315</v>
      </c>
      <c r="I15" s="8">
        <f t="shared" si="1"/>
        <v>-139.4018061671969</v>
      </c>
      <c r="J15" s="16">
        <f t="shared" si="4"/>
        <v>196.30241768506988</v>
      </c>
      <c r="K15" s="16">
        <f t="shared" si="2"/>
        <v>45.246144445704807</v>
      </c>
      <c r="L15" s="16">
        <f t="shared" si="5"/>
        <v>225.2461444457048</v>
      </c>
      <c r="M15" s="16">
        <f t="shared" si="6"/>
        <v>-138.20917345215156</v>
      </c>
      <c r="N15" s="16">
        <f t="shared" si="7"/>
        <v>-139.40180616719684</v>
      </c>
      <c r="O15" s="16">
        <f>M15-'"0" цикл 24.06'!M14</f>
        <v>577.62452325603044</v>
      </c>
      <c r="P15" s="16">
        <f>N15-'"0" цикл 24.06'!N14</f>
        <v>-740.84117968752594</v>
      </c>
      <c r="Q15" s="16">
        <f t="shared" si="8"/>
        <v>939.41244583386344</v>
      </c>
      <c r="R15" s="16">
        <f t="shared" si="9"/>
        <v>-52.056906992074786</v>
      </c>
      <c r="S15" s="16">
        <f t="shared" si="10"/>
        <v>307.9430930079252</v>
      </c>
    </row>
    <row r="16" spans="1:19" x14ac:dyDescent="0.45">
      <c r="A16" s="7">
        <v>6</v>
      </c>
      <c r="B16" s="11" t="s">
        <v>129</v>
      </c>
      <c r="C16" s="11" t="s">
        <v>130</v>
      </c>
      <c r="D16" s="8">
        <f t="shared" si="3"/>
        <v>-6174.5</v>
      </c>
      <c r="E16" s="8">
        <f t="shared" si="0"/>
        <v>-122.96778065563274</v>
      </c>
      <c r="F16" s="11">
        <v>-7865</v>
      </c>
      <c r="G16" s="11">
        <v>4444</v>
      </c>
      <c r="H16" s="8">
        <f t="shared" si="11"/>
        <v>-6154.5</v>
      </c>
      <c r="I16" s="8">
        <f t="shared" si="1"/>
        <v>-124.09620553572584</v>
      </c>
      <c r="J16" s="16">
        <f t="shared" si="4"/>
        <v>174.70244219167893</v>
      </c>
      <c r="K16" s="16">
        <f t="shared" si="2"/>
        <v>45.261687405582485</v>
      </c>
      <c r="L16" s="16">
        <f t="shared" si="5"/>
        <v>225.26168740558248</v>
      </c>
      <c r="M16" s="16">
        <f t="shared" si="6"/>
        <v>-122.96778065563272</v>
      </c>
      <c r="N16" s="16">
        <f t="shared" si="7"/>
        <v>-124.09620553572584</v>
      </c>
      <c r="O16" s="16">
        <f>M16-'"0" цикл 24.06'!M15</f>
        <v>594.65681396122932</v>
      </c>
      <c r="P16" s="16">
        <f>N16-'"0" цикл 24.06'!N15</f>
        <v>-728.36675462113396</v>
      </c>
      <c r="Q16" s="16">
        <f t="shared" si="8"/>
        <v>940.28445463478943</v>
      </c>
      <c r="R16" s="16">
        <f t="shared" si="9"/>
        <v>-50.77094101946313</v>
      </c>
      <c r="S16" s="16">
        <f t="shared" si="10"/>
        <v>309.22905898053688</v>
      </c>
    </row>
    <row r="17" spans="1:19" x14ac:dyDescent="0.45">
      <c r="A17" s="7">
        <v>6.5</v>
      </c>
      <c r="B17" s="11" t="s">
        <v>131</v>
      </c>
      <c r="C17" s="11" t="s">
        <v>132</v>
      </c>
      <c r="D17" s="8">
        <f t="shared" si="3"/>
        <v>-5283.5</v>
      </c>
      <c r="E17" s="8">
        <f t="shared" si="0"/>
        <v>-108.00260555193182</v>
      </c>
      <c r="F17" s="11">
        <v>-6979</v>
      </c>
      <c r="G17" s="11">
        <v>3516</v>
      </c>
      <c r="H17" s="8">
        <f t="shared" si="11"/>
        <v>-5247.5</v>
      </c>
      <c r="I17" s="8">
        <f t="shared" si="1"/>
        <v>-109.17949015011231</v>
      </c>
      <c r="J17" s="16">
        <f t="shared" si="4"/>
        <v>153.573187358486</v>
      </c>
      <c r="K17" s="16">
        <f t="shared" si="2"/>
        <v>45.310476147799271</v>
      </c>
      <c r="L17" s="16">
        <f t="shared" si="5"/>
        <v>225.31047614779928</v>
      </c>
      <c r="M17" s="16">
        <f t="shared" si="6"/>
        <v>-108.00260555193178</v>
      </c>
      <c r="N17" s="16">
        <f t="shared" si="7"/>
        <v>-109.17949015011233</v>
      </c>
      <c r="O17" s="16">
        <f>M17-'"0" цикл 24.06'!M16</f>
        <v>612.27814952700885</v>
      </c>
      <c r="P17" s="16">
        <f>N17-'"0" цикл 24.06'!N16</f>
        <v>-717.1711922928655</v>
      </c>
      <c r="Q17" s="16">
        <f t="shared" si="8"/>
        <v>942.98412046173314</v>
      </c>
      <c r="R17" s="16">
        <f t="shared" si="9"/>
        <v>-49.511269391482337</v>
      </c>
      <c r="S17" s="16">
        <f t="shared" si="10"/>
        <v>310.48873060851764</v>
      </c>
    </row>
    <row r="18" spans="1:19" x14ac:dyDescent="0.45">
      <c r="A18" s="7">
        <v>7</v>
      </c>
      <c r="B18" s="11" t="s">
        <v>133</v>
      </c>
      <c r="C18" s="11" t="s">
        <v>134</v>
      </c>
      <c r="D18" s="8">
        <f t="shared" si="3"/>
        <v>-3972.5</v>
      </c>
      <c r="E18" s="8">
        <f t="shared" si="0"/>
        <v>-95.196440667108746</v>
      </c>
      <c r="F18" s="11">
        <v>-5692</v>
      </c>
      <c r="G18" s="11">
        <v>2257</v>
      </c>
      <c r="H18" s="8">
        <f t="shared" si="11"/>
        <v>-3974.5</v>
      </c>
      <c r="I18" s="8">
        <f t="shared" si="1"/>
        <v>-96.46056329477338</v>
      </c>
      <c r="J18" s="16">
        <f t="shared" si="4"/>
        <v>135.5249150039628</v>
      </c>
      <c r="K18" s="16">
        <f t="shared" si="2"/>
        <v>45.377903439828913</v>
      </c>
      <c r="L18" s="16">
        <f t="shared" si="5"/>
        <v>225.37790343982891</v>
      </c>
      <c r="M18" s="16">
        <f t="shared" si="6"/>
        <v>-95.196440667108774</v>
      </c>
      <c r="N18" s="16">
        <f t="shared" si="7"/>
        <v>-96.46056329477338</v>
      </c>
      <c r="O18" s="16">
        <f>M18-'"0" цикл 24.06'!M17</f>
        <v>628.27315478135415</v>
      </c>
      <c r="P18" s="16">
        <f>N18-'"0" цикл 24.06'!N17</f>
        <v>-708.48974989507406</v>
      </c>
      <c r="Q18" s="16">
        <f t="shared" si="8"/>
        <v>946.93446590843871</v>
      </c>
      <c r="R18" s="16">
        <f t="shared" si="9"/>
        <v>-48.434092496623634</v>
      </c>
      <c r="S18" s="16">
        <f t="shared" si="10"/>
        <v>311.56590750337637</v>
      </c>
    </row>
    <row r="19" spans="1:19" x14ac:dyDescent="0.45">
      <c r="A19" s="7">
        <v>7.5</v>
      </c>
      <c r="B19" s="11" t="s">
        <v>135</v>
      </c>
      <c r="C19" s="11" t="s">
        <v>136</v>
      </c>
      <c r="D19" s="8">
        <f t="shared" si="3"/>
        <v>-3002</v>
      </c>
      <c r="E19" s="8">
        <f t="shared" si="0"/>
        <v>-85.567424213919381</v>
      </c>
      <c r="F19" s="11">
        <v>-4692</v>
      </c>
      <c r="G19" s="11">
        <v>1275</v>
      </c>
      <c r="H19" s="8">
        <f t="shared" si="11"/>
        <v>-2983.5</v>
      </c>
      <c r="I19" s="8">
        <f t="shared" si="1"/>
        <v>-86.8266996043277</v>
      </c>
      <c r="J19" s="16">
        <f t="shared" si="4"/>
        <v>121.90430612076423</v>
      </c>
      <c r="K19" s="16">
        <f t="shared" si="2"/>
        <v>45.41851706013226</v>
      </c>
      <c r="L19" s="16">
        <f t="shared" si="5"/>
        <v>225.41851706013227</v>
      </c>
      <c r="M19" s="16">
        <f t="shared" si="6"/>
        <v>-85.567424213919395</v>
      </c>
      <c r="N19" s="16">
        <f t="shared" si="7"/>
        <v>-86.826699604327686</v>
      </c>
      <c r="O19" s="16">
        <f>M19-'"0" цикл 24.06'!M18</f>
        <v>639.71076472794743</v>
      </c>
      <c r="P19" s="16">
        <f>N19-'"0" цикл 24.06'!N18</f>
        <v>-701.87286343455025</v>
      </c>
      <c r="Q19" s="16">
        <f t="shared" si="8"/>
        <v>949.66066515078433</v>
      </c>
      <c r="R19" s="16">
        <f t="shared" si="9"/>
        <v>-47.652894879828452</v>
      </c>
      <c r="S19" s="16">
        <f t="shared" si="10"/>
        <v>312.34710512017153</v>
      </c>
    </row>
    <row r="20" spans="1:19" x14ac:dyDescent="0.45">
      <c r="A20" s="7">
        <v>8</v>
      </c>
      <c r="B20" s="11" t="s">
        <v>137</v>
      </c>
      <c r="C20" s="11" t="s">
        <v>138</v>
      </c>
      <c r="D20" s="8">
        <f t="shared" si="3"/>
        <v>-3003</v>
      </c>
      <c r="E20" s="8">
        <f t="shared" si="0"/>
        <v>-78.290627764436962</v>
      </c>
      <c r="F20" s="11">
        <v>-4692</v>
      </c>
      <c r="G20" s="11">
        <v>1309</v>
      </c>
      <c r="H20" s="8">
        <f t="shared" si="11"/>
        <v>-3000.5</v>
      </c>
      <c r="I20" s="8">
        <f t="shared" si="1"/>
        <v>-79.594743700032922</v>
      </c>
      <c r="J20" s="16">
        <f t="shared" si="4"/>
        <v>111.64562517368765</v>
      </c>
      <c r="K20" s="16">
        <f t="shared" si="2"/>
        <v>45.473246122785248</v>
      </c>
      <c r="L20" s="16">
        <f t="shared" si="5"/>
        <v>225.47324612278524</v>
      </c>
      <c r="M20" s="16">
        <f t="shared" si="6"/>
        <v>-78.290627764436962</v>
      </c>
      <c r="N20" s="16">
        <f t="shared" si="7"/>
        <v>-79.594743700032907</v>
      </c>
      <c r="O20" s="16">
        <f>M20-'"0" цикл 24.06'!M19</f>
        <v>648.76258153900278</v>
      </c>
      <c r="P20" s="16">
        <f>N20-'"0" цикл 24.06'!N19</f>
        <v>-697.36094127167758</v>
      </c>
      <c r="Q20" s="16">
        <f t="shared" si="8"/>
        <v>952.47318577294936</v>
      </c>
      <c r="R20" s="16">
        <f t="shared" si="9"/>
        <v>-47.067620132819023</v>
      </c>
      <c r="S20" s="16">
        <f t="shared" si="10"/>
        <v>312.932379867181</v>
      </c>
    </row>
    <row r="21" spans="1:19" x14ac:dyDescent="0.45">
      <c r="A21" s="7">
        <v>8.5</v>
      </c>
      <c r="B21" s="11" t="s">
        <v>139</v>
      </c>
      <c r="C21" s="11" t="s">
        <v>140</v>
      </c>
      <c r="D21" s="8">
        <f t="shared" si="3"/>
        <v>-3498.5</v>
      </c>
      <c r="E21" s="8">
        <f t="shared" si="0"/>
        <v>-71.011407503365533</v>
      </c>
      <c r="F21" s="11">
        <v>-5273</v>
      </c>
      <c r="G21" s="11">
        <v>1785</v>
      </c>
      <c r="H21" s="8">
        <f t="shared" si="11"/>
        <v>-3529</v>
      </c>
      <c r="I21" s="8">
        <f t="shared" si="1"/>
        <v>-72.321582968254702</v>
      </c>
      <c r="J21" s="16">
        <f t="shared" si="4"/>
        <v>101.35596360670243</v>
      </c>
      <c r="K21" s="16">
        <f t="shared" si="2"/>
        <v>45.523713582546556</v>
      </c>
      <c r="L21" s="16">
        <f t="shared" si="5"/>
        <v>225.52371358254655</v>
      </c>
      <c r="M21" s="16">
        <f t="shared" si="6"/>
        <v>-71.011407503365561</v>
      </c>
      <c r="N21" s="16">
        <f t="shared" si="7"/>
        <v>-72.321582968254674</v>
      </c>
      <c r="O21" s="16">
        <f>M21-'"0" цикл 24.06'!M20</f>
        <v>657.77088634739846</v>
      </c>
      <c r="P21" s="16">
        <f>N21-'"0" цикл 24.06'!N20</f>
        <v>-693.02864337286917</v>
      </c>
      <c r="Q21" s="16">
        <f t="shared" si="8"/>
        <v>955.48481906385177</v>
      </c>
      <c r="R21" s="16">
        <f t="shared" si="9"/>
        <v>-46.495160501384973</v>
      </c>
      <c r="S21" s="16">
        <f t="shared" si="10"/>
        <v>313.50483949861501</v>
      </c>
    </row>
    <row r="22" spans="1:19" x14ac:dyDescent="0.45">
      <c r="A22" s="7">
        <v>9</v>
      </c>
      <c r="B22" s="11" t="s">
        <v>141</v>
      </c>
      <c r="C22" s="11" t="s">
        <v>142</v>
      </c>
      <c r="D22" s="8">
        <f t="shared" si="3"/>
        <v>-3913</v>
      </c>
      <c r="E22" s="8">
        <f t="shared" si="0"/>
        <v>-62.531210800945146</v>
      </c>
      <c r="F22" s="11">
        <v>-5626</v>
      </c>
      <c r="G22" s="11">
        <v>2201</v>
      </c>
      <c r="H22" s="8">
        <f t="shared" si="11"/>
        <v>-3913.5</v>
      </c>
      <c r="I22" s="8">
        <f t="shared" si="1"/>
        <v>-63.767462906961811</v>
      </c>
      <c r="J22" s="16">
        <f t="shared" si="4"/>
        <v>89.310926822102729</v>
      </c>
      <c r="K22" s="16">
        <f t="shared" si="2"/>
        <v>45.56081163777192</v>
      </c>
      <c r="L22" s="16">
        <f t="shared" si="5"/>
        <v>225.56081163777191</v>
      </c>
      <c r="M22" s="16">
        <f t="shared" si="6"/>
        <v>-62.531210800945161</v>
      </c>
      <c r="N22" s="16">
        <f t="shared" si="7"/>
        <v>-63.767462906961804</v>
      </c>
      <c r="O22" s="16">
        <f>M22-'"0" цикл 24.06'!M21</f>
        <v>668.19239335490977</v>
      </c>
      <c r="P22" s="16">
        <f>N22-'"0" цикл 24.06'!N21</f>
        <v>-687.38169216988854</v>
      </c>
      <c r="Q22" s="16">
        <f t="shared" si="8"/>
        <v>958.6316629799486</v>
      </c>
      <c r="R22" s="16">
        <f t="shared" si="9"/>
        <v>-45.811016096106158</v>
      </c>
      <c r="S22" s="16">
        <f t="shared" si="10"/>
        <v>314.18898390389381</v>
      </c>
    </row>
    <row r="23" spans="1:19" x14ac:dyDescent="0.45">
      <c r="A23" s="7">
        <v>9.5</v>
      </c>
      <c r="B23" s="11" t="s">
        <v>143</v>
      </c>
      <c r="C23" s="11" t="s">
        <v>144</v>
      </c>
      <c r="D23" s="8">
        <f t="shared" si="3"/>
        <v>-3790.5</v>
      </c>
      <c r="E23" s="8">
        <f t="shared" si="0"/>
        <v>-53.046400068222404</v>
      </c>
      <c r="F23" s="11">
        <v>-5529</v>
      </c>
      <c r="G23" s="11">
        <v>2057</v>
      </c>
      <c r="H23" s="8">
        <f t="shared" si="11"/>
        <v>-3793</v>
      </c>
      <c r="I23" s="8">
        <f t="shared" si="1"/>
        <v>-54.281440358156942</v>
      </c>
      <c r="J23" s="16">
        <f t="shared" si="4"/>
        <v>75.897268248297678</v>
      </c>
      <c r="K23" s="16">
        <f t="shared" si="2"/>
        <v>45.659283488457241</v>
      </c>
      <c r="L23" s="16">
        <f t="shared" si="5"/>
        <v>225.65928348845725</v>
      </c>
      <c r="M23" s="16">
        <f t="shared" si="6"/>
        <v>-53.046400068222397</v>
      </c>
      <c r="N23" s="16">
        <f t="shared" si="7"/>
        <v>-54.281440358156942</v>
      </c>
      <c r="O23" s="16">
        <f>M23-'"0" цикл 24.06'!M22</f>
        <v>679.5683365452503</v>
      </c>
      <c r="P23" s="16">
        <f>N23-'"0" цикл 24.06'!N22</f>
        <v>-680.91919171629388</v>
      </c>
      <c r="Q23" s="16">
        <f t="shared" si="8"/>
        <v>962.01043117133065</v>
      </c>
      <c r="R23" s="16">
        <f t="shared" si="9"/>
        <v>-45.056890102254549</v>
      </c>
      <c r="S23" s="16">
        <f t="shared" si="10"/>
        <v>314.94310989774544</v>
      </c>
    </row>
    <row r="24" spans="1:19" x14ac:dyDescent="0.45">
      <c r="A24" s="7">
        <v>10</v>
      </c>
      <c r="B24" s="11" t="s">
        <v>145</v>
      </c>
      <c r="C24" s="11" t="s">
        <v>146</v>
      </c>
      <c r="D24" s="8">
        <f t="shared" si="3"/>
        <v>-3258.5</v>
      </c>
      <c r="E24" s="8">
        <f t="shared" si="0"/>
        <v>-43.858485937705197</v>
      </c>
      <c r="F24" s="11">
        <v>-4984</v>
      </c>
      <c r="G24" s="11">
        <v>1527</v>
      </c>
      <c r="H24" s="8">
        <f t="shared" si="11"/>
        <v>-3255.5</v>
      </c>
      <c r="I24" s="8">
        <f t="shared" si="1"/>
        <v>-45.087467080559463</v>
      </c>
      <c r="J24" s="16">
        <f t="shared" si="4"/>
        <v>62.900289955519426</v>
      </c>
      <c r="K24" s="16">
        <f t="shared" si="2"/>
        <v>45.791615015753926</v>
      </c>
      <c r="L24" s="16">
        <f t="shared" si="5"/>
        <v>225.79161501575393</v>
      </c>
      <c r="M24" s="16">
        <f t="shared" si="6"/>
        <v>-43.858485937705183</v>
      </c>
      <c r="N24" s="16">
        <f t="shared" si="7"/>
        <v>-45.087467080559485</v>
      </c>
      <c r="O24" s="16">
        <f>M24-'"0" цикл 24.06'!M23</f>
        <v>690.33528621040045</v>
      </c>
      <c r="P24" s="16">
        <f>N24-'"0" цикл 24.06'!N23</f>
        <v>-674.14067200613215</v>
      </c>
      <c r="Q24" s="16">
        <f t="shared" si="8"/>
        <v>964.89815682281983</v>
      </c>
      <c r="R24" s="16">
        <f t="shared" si="9"/>
        <v>-44.320003057981403</v>
      </c>
      <c r="S24" s="16">
        <f t="shared" si="10"/>
        <v>315.67999694201859</v>
      </c>
    </row>
    <row r="25" spans="1:19" x14ac:dyDescent="0.45">
      <c r="A25" s="7">
        <v>10.5</v>
      </c>
      <c r="B25" s="11" t="s">
        <v>147</v>
      </c>
      <c r="C25" s="11" t="s">
        <v>148</v>
      </c>
      <c r="D25" s="8">
        <f t="shared" si="3"/>
        <v>-2736.5</v>
      </c>
      <c r="E25" s="8">
        <f t="shared" si="0"/>
        <v>-35.959987580390411</v>
      </c>
      <c r="F25" s="11">
        <v>-4436</v>
      </c>
      <c r="G25" s="11">
        <v>1003</v>
      </c>
      <c r="H25" s="8">
        <f t="shared" si="11"/>
        <v>-2719.5</v>
      </c>
      <c r="I25" s="8">
        <f t="shared" si="1"/>
        <v>-37.196240021868263</v>
      </c>
      <c r="J25" s="16">
        <f t="shared" si="4"/>
        <v>51.736650244737213</v>
      </c>
      <c r="K25" s="16">
        <f t="shared" si="2"/>
        <v>45.968137755275222</v>
      </c>
      <c r="L25" s="16">
        <f t="shared" si="5"/>
        <v>225.96813775527522</v>
      </c>
      <c r="M25" s="16">
        <f t="shared" si="6"/>
        <v>-35.959987580390418</v>
      </c>
      <c r="N25" s="16">
        <f t="shared" si="7"/>
        <v>-37.196240021868263</v>
      </c>
      <c r="O25" s="16">
        <f>M25-'"0" цикл 24.06'!M24</f>
        <v>697.81902651109135</v>
      </c>
      <c r="P25" s="16">
        <f>N25-'"0" цикл 24.06'!N24</f>
        <v>-667.04078174806762</v>
      </c>
      <c r="Q25" s="16">
        <f t="shared" si="8"/>
        <v>965.34698335674125</v>
      </c>
      <c r="R25" s="16">
        <f t="shared" si="9"/>
        <v>-43.70817157559803</v>
      </c>
      <c r="S25" s="16">
        <f t="shared" si="10"/>
        <v>316.29182842440196</v>
      </c>
    </row>
    <row r="26" spans="1:19" x14ac:dyDescent="0.45">
      <c r="A26" s="7">
        <v>11</v>
      </c>
      <c r="B26" s="11" t="s">
        <v>149</v>
      </c>
      <c r="C26" s="11" t="s">
        <v>150</v>
      </c>
      <c r="D26" s="8">
        <f t="shared" si="3"/>
        <v>-2344.5</v>
      </c>
      <c r="E26" s="8">
        <f t="shared" si="0"/>
        <v>-29.326718981016064</v>
      </c>
      <c r="F26" s="11">
        <v>-4117</v>
      </c>
      <c r="G26" s="11">
        <v>601</v>
      </c>
      <c r="H26" s="8">
        <f t="shared" si="11"/>
        <v>-2359</v>
      </c>
      <c r="I26" s="8">
        <f t="shared" si="1"/>
        <v>-30.604176981284045</v>
      </c>
      <c r="J26" s="16">
        <f t="shared" si="4"/>
        <v>42.387168988896207</v>
      </c>
      <c r="K26" s="16">
        <f t="shared" si="2"/>
        <v>46.221104217842246</v>
      </c>
      <c r="L26" s="16">
        <f t="shared" si="5"/>
        <v>226.22110421784225</v>
      </c>
      <c r="M26" s="16">
        <f t="shared" si="6"/>
        <v>-29.326718981016064</v>
      </c>
      <c r="N26" s="16">
        <f t="shared" si="7"/>
        <v>-30.604176981284049</v>
      </c>
      <c r="O26" s="16">
        <f>M26-'"0" цикл 24.06'!M25</f>
        <v>704.79214947475486</v>
      </c>
      <c r="P26" s="16">
        <f>N26-'"0" цикл 24.06'!N25</f>
        <v>-661.94739675514745</v>
      </c>
      <c r="Q26" s="16">
        <f t="shared" si="8"/>
        <v>966.90554349024274</v>
      </c>
      <c r="R26" s="16">
        <f t="shared" si="9"/>
        <v>-43.204471464853398</v>
      </c>
      <c r="S26" s="16">
        <f t="shared" si="10"/>
        <v>316.79552853514662</v>
      </c>
    </row>
    <row r="27" spans="1:19" x14ac:dyDescent="0.45">
      <c r="A27" s="7">
        <v>11.5</v>
      </c>
      <c r="B27" s="11" t="s">
        <v>151</v>
      </c>
      <c r="C27" s="11" t="s">
        <v>152</v>
      </c>
      <c r="D27" s="8">
        <f t="shared" si="3"/>
        <v>-2394.5</v>
      </c>
      <c r="E27" s="8">
        <f t="shared" si="0"/>
        <v>-23.643612978802462</v>
      </c>
      <c r="F27" s="11">
        <v>-4106</v>
      </c>
      <c r="G27" s="11">
        <v>670</v>
      </c>
      <c r="H27" s="8">
        <f t="shared" si="11"/>
        <v>-2388</v>
      </c>
      <c r="I27" s="8">
        <f t="shared" si="1"/>
        <v>-24.88592427179745</v>
      </c>
      <c r="J27" s="16">
        <f t="shared" si="4"/>
        <v>34.326806748560713</v>
      </c>
      <c r="K27" s="16">
        <f t="shared" si="2"/>
        <v>46.466398730814802</v>
      </c>
      <c r="L27" s="16">
        <f t="shared" si="5"/>
        <v>226.4663987308148</v>
      </c>
      <c r="M27" s="16">
        <f t="shared" si="6"/>
        <v>-23.643612978802452</v>
      </c>
      <c r="N27" s="16">
        <f t="shared" si="7"/>
        <v>-24.885924271797453</v>
      </c>
      <c r="O27" s="16">
        <f>M27-'"0" цикл 24.06'!M26</f>
        <v>711.88036487880231</v>
      </c>
      <c r="P27" s="16">
        <f>N27-'"0" цикл 24.06'!N26</f>
        <v>-658.63162899764666</v>
      </c>
      <c r="Q27" s="16">
        <f t="shared" si="8"/>
        <v>969.82950904582731</v>
      </c>
      <c r="R27" s="16">
        <f t="shared" si="9"/>
        <v>-42.774996470065702</v>
      </c>
      <c r="S27" s="16">
        <f t="shared" si="10"/>
        <v>317.22500352993427</v>
      </c>
    </row>
    <row r="28" spans="1:19" x14ac:dyDescent="0.45">
      <c r="A28" s="7">
        <v>12</v>
      </c>
      <c r="B28" s="11" t="s">
        <v>153</v>
      </c>
      <c r="C28" s="11" t="s">
        <v>154</v>
      </c>
      <c r="D28" s="8">
        <f t="shared" si="3"/>
        <v>-2150</v>
      </c>
      <c r="E28" s="8">
        <f t="shared" si="0"/>
        <v>-17.839311553905922</v>
      </c>
      <c r="F28" s="11">
        <v>-3862</v>
      </c>
      <c r="G28" s="11">
        <v>414</v>
      </c>
      <c r="H28" s="8">
        <f t="shared" si="11"/>
        <v>-2138</v>
      </c>
      <c r="I28" s="8">
        <f t="shared" si="1"/>
        <v>-19.097378232714043</v>
      </c>
      <c r="J28" s="16">
        <f t="shared" si="4"/>
        <v>26.133329142699395</v>
      </c>
      <c r="K28" s="16">
        <f t="shared" si="2"/>
        <v>46.950744829290834</v>
      </c>
      <c r="L28" s="16">
        <f t="shared" si="5"/>
        <v>226.95074482929084</v>
      </c>
      <c r="M28" s="16">
        <f t="shared" si="6"/>
        <v>-17.839311553905919</v>
      </c>
      <c r="N28" s="16">
        <f t="shared" si="7"/>
        <v>-19.097378232714046</v>
      </c>
      <c r="O28" s="16">
        <f>M28-'"0" цикл 24.06'!M27</f>
        <v>720.05115424921905</v>
      </c>
      <c r="P28" s="16">
        <f>N28-'"0" цикл 24.06'!N27</f>
        <v>-656.22220859235961</v>
      </c>
      <c r="Q28" s="16">
        <f t="shared" si="8"/>
        <v>974.21827727951552</v>
      </c>
      <c r="R28" s="16">
        <f t="shared" si="9"/>
        <v>-42.344633268287815</v>
      </c>
      <c r="S28" s="16">
        <f t="shared" si="10"/>
        <v>317.65536673171221</v>
      </c>
    </row>
    <row r="29" spans="1:19" x14ac:dyDescent="0.45">
      <c r="A29" s="7">
        <v>12.5</v>
      </c>
      <c r="B29" s="11" t="s">
        <v>155</v>
      </c>
      <c r="C29" s="11" t="s">
        <v>156</v>
      </c>
      <c r="D29" s="8">
        <f t="shared" si="3"/>
        <v>-2247</v>
      </c>
      <c r="E29" s="8">
        <f t="shared" si="0"/>
        <v>-12.627658856850251</v>
      </c>
      <c r="F29" s="11">
        <v>-3978</v>
      </c>
      <c r="G29" s="11">
        <v>515</v>
      </c>
      <c r="H29" s="8">
        <f t="shared" si="11"/>
        <v>-2246.5</v>
      </c>
      <c r="I29" s="8">
        <f t="shared" si="1"/>
        <v>-13.914812785103628</v>
      </c>
      <c r="J29" s="16">
        <f t="shared" si="4"/>
        <v>18.790417319726348</v>
      </c>
      <c r="K29" s="16">
        <f t="shared" si="2"/>
        <v>47.776333687031688</v>
      </c>
      <c r="L29" s="16">
        <f t="shared" si="5"/>
        <v>227.77633368703169</v>
      </c>
      <c r="M29" s="16">
        <f t="shared" si="6"/>
        <v>-12.627658856850246</v>
      </c>
      <c r="N29" s="16">
        <f t="shared" si="7"/>
        <v>-13.914812785103631</v>
      </c>
      <c r="O29" s="16">
        <f>M29-'"0" цикл 24.06'!M28</f>
        <v>728.74349865630256</v>
      </c>
      <c r="P29" s="16">
        <f>N29-'"0" цикл 24.06'!N28</f>
        <v>-655.5311390849588</v>
      </c>
      <c r="Q29" s="16">
        <f t="shared" si="8"/>
        <v>980.19802139356113</v>
      </c>
      <c r="R29" s="16">
        <f t="shared" si="9"/>
        <v>-41.972526658968064</v>
      </c>
      <c r="S29" s="16">
        <f t="shared" si="10"/>
        <v>318.02747334103196</v>
      </c>
    </row>
    <row r="30" spans="1:19" x14ac:dyDescent="0.45">
      <c r="A30" s="7">
        <v>13</v>
      </c>
      <c r="B30" s="11" t="s">
        <v>157</v>
      </c>
      <c r="C30" s="11" t="s">
        <v>158</v>
      </c>
      <c r="D30" s="8">
        <f t="shared" si="3"/>
        <v>-1825.5</v>
      </c>
      <c r="E30" s="8">
        <f t="shared" si="0"/>
        <v>-7.1808848828924772</v>
      </c>
      <c r="F30" s="11">
        <v>-3529</v>
      </c>
      <c r="G30" s="11">
        <v>85</v>
      </c>
      <c r="H30" s="8">
        <f t="shared" si="11"/>
        <v>-1807</v>
      </c>
      <c r="I30" s="8">
        <f t="shared" si="1"/>
        <v>-8.4692507734468183</v>
      </c>
      <c r="J30" s="16">
        <f t="shared" si="4"/>
        <v>11.103752355167293</v>
      </c>
      <c r="K30" s="16">
        <f t="shared" si="2"/>
        <v>49.706147467571661</v>
      </c>
      <c r="L30" s="16">
        <f t="shared" si="5"/>
        <v>229.70614746757167</v>
      </c>
      <c r="M30" s="16">
        <f t="shared" si="6"/>
        <v>-7.1808848828924727</v>
      </c>
      <c r="N30" s="16">
        <f t="shared" si="7"/>
        <v>-8.4692507734468201</v>
      </c>
      <c r="O30" s="16">
        <f>M30-'"0" цикл 24.06'!M29</f>
        <v>738.53148219265722</v>
      </c>
      <c r="P30" s="16">
        <f>N30-'"0" цикл 24.06'!N29</f>
        <v>-655.6543954858663</v>
      </c>
      <c r="Q30" s="16">
        <f t="shared" si="8"/>
        <v>987.57857232203048</v>
      </c>
      <c r="R30" s="16">
        <f t="shared" si="9"/>
        <v>-41.598067767252637</v>
      </c>
      <c r="S30" s="16">
        <f t="shared" si="10"/>
        <v>318.40193223274736</v>
      </c>
    </row>
    <row r="31" spans="1:19" x14ac:dyDescent="0.45">
      <c r="A31" s="7">
        <v>13.5</v>
      </c>
      <c r="B31" s="11" t="s">
        <v>159</v>
      </c>
      <c r="C31" s="11" t="s">
        <v>160</v>
      </c>
      <c r="D31" s="8">
        <f t="shared" si="3"/>
        <v>-1092</v>
      </c>
      <c r="E31" s="8">
        <f t="shared" si="0"/>
        <v>-2.755805776543033</v>
      </c>
      <c r="F31" s="11">
        <v>-2796</v>
      </c>
      <c r="G31" s="11">
        <v>-647</v>
      </c>
      <c r="H31" s="8">
        <f t="shared" si="11"/>
        <v>-1074.5</v>
      </c>
      <c r="I31" s="8">
        <f t="shared" si="1"/>
        <v>-4.0890151940445794</v>
      </c>
      <c r="J31" s="16">
        <f t="shared" si="4"/>
        <v>4.930974623252018</v>
      </c>
      <c r="K31" s="16">
        <f t="shared" si="2"/>
        <v>56.021865085068292</v>
      </c>
      <c r="L31" s="16">
        <f t="shared" si="5"/>
        <v>236.0218650850683</v>
      </c>
      <c r="M31" s="16">
        <f t="shared" si="6"/>
        <v>-2.7558057765430344</v>
      </c>
      <c r="N31" s="16">
        <f t="shared" si="7"/>
        <v>-4.0890151940445785</v>
      </c>
      <c r="O31" s="16">
        <f>M31-'"0" цикл 24.06'!M30</f>
        <v>745.6339320579458</v>
      </c>
      <c r="P31" s="16">
        <f>N31-'"0" цикл 24.06'!N30</f>
        <v>-655.00525136829094</v>
      </c>
      <c r="Q31" s="16">
        <f t="shared" si="8"/>
        <v>992.47258902008537</v>
      </c>
      <c r="R31" s="16">
        <f t="shared" si="9"/>
        <v>-41.297824360738929</v>
      </c>
      <c r="S31" s="16">
        <f t="shared" si="10"/>
        <v>318.7021756392611</v>
      </c>
    </row>
    <row r="32" spans="1:19" x14ac:dyDescent="0.45">
      <c r="A32" s="7">
        <v>14</v>
      </c>
      <c r="B32" s="11" t="s">
        <v>161</v>
      </c>
      <c r="C32" s="11" t="s">
        <v>162</v>
      </c>
      <c r="D32" s="8">
        <f t="shared" si="3"/>
        <v>-441.5</v>
      </c>
      <c r="E32" s="8">
        <f t="shared" si="0"/>
        <v>-0.10873544315589911</v>
      </c>
      <c r="F32" s="11">
        <v>-2167</v>
      </c>
      <c r="G32" s="11">
        <v>-1278</v>
      </c>
      <c r="H32" s="8">
        <f t="shared" si="11"/>
        <v>-444.5</v>
      </c>
      <c r="I32" s="8">
        <f t="shared" si="1"/>
        <v>-1.4843654727375122</v>
      </c>
      <c r="J32" s="16">
        <f t="shared" si="4"/>
        <v>1.4883427875504918</v>
      </c>
      <c r="K32" s="16">
        <f t="shared" si="2"/>
        <v>85.810348570527722</v>
      </c>
      <c r="L32" s="16">
        <f t="shared" si="5"/>
        <v>265.81034857052771</v>
      </c>
      <c r="M32" s="16">
        <f t="shared" si="6"/>
        <v>-0.1087354431559022</v>
      </c>
      <c r="N32" s="16">
        <f t="shared" si="7"/>
        <v>-1.4843654727375122</v>
      </c>
      <c r="O32" s="16">
        <f>M32-'"0" цикл 24.06'!M31</f>
        <v>750.26327913713294</v>
      </c>
      <c r="P32" s="16">
        <f>N32-'"0" цикл 24.06'!N31</f>
        <v>-655.31637580224344</v>
      </c>
      <c r="Q32" s="16">
        <f t="shared" si="8"/>
        <v>996.15989701261844</v>
      </c>
      <c r="R32" s="16">
        <f t="shared" si="9"/>
        <v>-41.135540900038315</v>
      </c>
      <c r="S32" s="16">
        <f t="shared" si="10"/>
        <v>318.86445909996166</v>
      </c>
    </row>
    <row r="33" spans="1:19" x14ac:dyDescent="0.45">
      <c r="A33" s="7">
        <v>14.5</v>
      </c>
      <c r="B33" s="11" t="s">
        <v>163</v>
      </c>
      <c r="C33" s="11" t="s">
        <v>164</v>
      </c>
      <c r="D33" s="8">
        <f t="shared" si="3"/>
        <v>-644.5</v>
      </c>
      <c r="E33" s="8">
        <f t="shared" si="0"/>
        <v>0.96148994068019089</v>
      </c>
      <c r="F33" s="11">
        <v>-2401</v>
      </c>
      <c r="G33" s="11">
        <v>-1116</v>
      </c>
      <c r="H33" s="8">
        <f t="shared" si="11"/>
        <v>-642.5</v>
      </c>
      <c r="I33" s="8">
        <f t="shared" si="1"/>
        <v>-0.40686790045716359</v>
      </c>
      <c r="J33" s="16">
        <f t="shared" si="4"/>
        <v>1.0440327554495679</v>
      </c>
      <c r="K33" s="16">
        <f t="shared" si="2"/>
        <v>157.06366945794642</v>
      </c>
      <c r="L33" s="16">
        <f t="shared" si="5"/>
        <v>337.06366945794639</v>
      </c>
      <c r="M33" s="16">
        <f t="shared" si="6"/>
        <v>0.96148994068019078</v>
      </c>
      <c r="N33" s="16">
        <f t="shared" si="7"/>
        <v>-0.4068679004571637</v>
      </c>
      <c r="O33" s="16">
        <f>M33-'"0" цикл 24.06'!M32</f>
        <v>752.22277354672099</v>
      </c>
      <c r="P33" s="16">
        <f>N33-'"0" цикл 24.06'!N32</f>
        <v>-656.22515465713548</v>
      </c>
      <c r="Q33" s="16">
        <f t="shared" si="8"/>
        <v>998.23371744652206</v>
      </c>
      <c r="R33" s="16">
        <f t="shared" si="9"/>
        <v>-41.100839318939336</v>
      </c>
      <c r="S33" s="16">
        <f t="shared" si="10"/>
        <v>318.89916068106066</v>
      </c>
    </row>
    <row r="34" spans="1:19" x14ac:dyDescent="0.45">
      <c r="A34" s="7">
        <v>15</v>
      </c>
      <c r="B34" s="11" t="s">
        <v>165</v>
      </c>
      <c r="C34" s="11" t="s">
        <v>166</v>
      </c>
      <c r="D34" s="8">
        <f t="shared" si="3"/>
        <v>-879</v>
      </c>
      <c r="E34" s="8">
        <f t="shared" si="0"/>
        <v>2.523799485842833</v>
      </c>
      <c r="F34" s="11">
        <v>-2618</v>
      </c>
      <c r="G34" s="11">
        <v>-851</v>
      </c>
      <c r="H34" s="8">
        <f t="shared" si="11"/>
        <v>-883.5</v>
      </c>
      <c r="I34" s="8">
        <f t="shared" si="1"/>
        <v>1.1505935314878468</v>
      </c>
      <c r="J34" s="16">
        <f t="shared" si="4"/>
        <v>2.7737031779630321</v>
      </c>
      <c r="K34" s="16">
        <f t="shared" si="2"/>
        <v>204.50811728000249</v>
      </c>
      <c r="L34" s="16">
        <f t="shared" si="5"/>
        <v>24.508117280002466</v>
      </c>
      <c r="M34" s="16">
        <f t="shared" si="6"/>
        <v>2.5237994858428339</v>
      </c>
      <c r="N34" s="16">
        <f t="shared" si="7"/>
        <v>1.1505935314878453</v>
      </c>
      <c r="O34" s="16">
        <f>M34-'"0" цикл 24.06'!M33</f>
        <v>753.96058564084126</v>
      </c>
      <c r="P34" s="16">
        <f>N34-'"0" цикл 24.06'!N33</f>
        <v>-655.78264256431567</v>
      </c>
      <c r="Q34" s="16">
        <f t="shared" si="8"/>
        <v>999.25344081895321</v>
      </c>
      <c r="R34" s="16">
        <f t="shared" si="9"/>
        <v>-41.016214961015407</v>
      </c>
      <c r="S34" s="16">
        <f t="shared" si="10"/>
        <v>318.98378503898459</v>
      </c>
    </row>
    <row r="35" spans="1:19" x14ac:dyDescent="0.45">
      <c r="A35" s="7">
        <v>15.5</v>
      </c>
      <c r="B35" s="11" t="s">
        <v>167</v>
      </c>
      <c r="C35" s="11" t="s">
        <v>168</v>
      </c>
      <c r="D35" s="8">
        <f t="shared" si="3"/>
        <v>-1253.5</v>
      </c>
      <c r="E35" s="8">
        <f t="shared" si="0"/>
        <v>4.6545491650637052</v>
      </c>
      <c r="F35" s="11">
        <v>-2997</v>
      </c>
      <c r="G35" s="11">
        <v>-480</v>
      </c>
      <c r="H35" s="8">
        <f t="shared" si="11"/>
        <v>-1258.5</v>
      </c>
      <c r="I35" s="8">
        <f t="shared" si="1"/>
        <v>3.2922514189757979</v>
      </c>
      <c r="J35" s="16">
        <f t="shared" si="4"/>
        <v>5.7012057791087827</v>
      </c>
      <c r="K35" s="16">
        <f t="shared" si="2"/>
        <v>215.27249797146291</v>
      </c>
      <c r="L35" s="16">
        <f t="shared" si="5"/>
        <v>35.27249797146294</v>
      </c>
      <c r="M35" s="16">
        <f t="shared" si="6"/>
        <v>4.6545491650637025</v>
      </c>
      <c r="N35" s="16">
        <f t="shared" si="7"/>
        <v>3.292251418975801</v>
      </c>
      <c r="O35" s="16">
        <f>M35-'"0" цикл 24.06'!M34</f>
        <v>755.38156832929087</v>
      </c>
      <c r="P35" s="16">
        <f>N35-'"0" цикл 24.06'!N34</f>
        <v>-653.90157201862701</v>
      </c>
      <c r="Q35" s="16">
        <f t="shared" si="8"/>
        <v>999.09387930266632</v>
      </c>
      <c r="R35" s="16">
        <f t="shared" si="9"/>
        <v>-40.881340706418065</v>
      </c>
      <c r="S35" s="16">
        <f t="shared" si="10"/>
        <v>319.11865929358191</v>
      </c>
    </row>
    <row r="36" spans="1:19" x14ac:dyDescent="0.45">
      <c r="A36" s="7">
        <v>16</v>
      </c>
      <c r="B36" s="11" t="s">
        <v>169</v>
      </c>
      <c r="C36" s="11" t="s">
        <v>170</v>
      </c>
      <c r="D36" s="8">
        <f t="shared" si="3"/>
        <v>-1546.5</v>
      </c>
      <c r="E36" s="8">
        <f t="shared" si="0"/>
        <v>7.6931002082328206</v>
      </c>
      <c r="F36" s="11">
        <v>-3257</v>
      </c>
      <c r="G36" s="11">
        <v>-195</v>
      </c>
      <c r="H36" s="8">
        <f t="shared" si="11"/>
        <v>-1531</v>
      </c>
      <c r="I36" s="8">
        <f t="shared" si="1"/>
        <v>6.3429225794674515</v>
      </c>
      <c r="J36" s="16">
        <f t="shared" si="4"/>
        <v>9.9707801932963047</v>
      </c>
      <c r="K36" s="16">
        <f t="shared" si="2"/>
        <v>219.50541022898531</v>
      </c>
      <c r="L36" s="16">
        <f t="shared" si="5"/>
        <v>39.505410228985284</v>
      </c>
      <c r="M36" s="16">
        <f t="shared" si="6"/>
        <v>7.6931002082328233</v>
      </c>
      <c r="N36" s="16">
        <f t="shared" si="7"/>
        <v>6.3429225794674471</v>
      </c>
      <c r="O36" s="16">
        <f>M36-'"0" цикл 24.06'!M35</f>
        <v>757.95966764390812</v>
      </c>
      <c r="P36" s="16">
        <f>N36-'"0" цикл 24.06'!N35</f>
        <v>-651.25559903425392</v>
      </c>
      <c r="Q36" s="16">
        <f t="shared" si="8"/>
        <v>999.31812404675645</v>
      </c>
      <c r="R36" s="16">
        <f t="shared" si="9"/>
        <v>-40.669895854207589</v>
      </c>
      <c r="S36" s="16">
        <f t="shared" si="10"/>
        <v>319.3301041457924</v>
      </c>
    </row>
    <row r="37" spans="1:19" x14ac:dyDescent="0.45">
      <c r="A37" s="7">
        <v>16.5</v>
      </c>
      <c r="B37" s="11" t="s">
        <v>171</v>
      </c>
      <c r="C37" s="11" t="s">
        <v>172</v>
      </c>
      <c r="D37" s="8">
        <f t="shared" si="3"/>
        <v>-2229</v>
      </c>
      <c r="E37" s="8">
        <f t="shared" si="0"/>
        <v>11.441886874387798</v>
      </c>
      <c r="F37" s="11">
        <v>-3964</v>
      </c>
      <c r="G37" s="11">
        <v>513</v>
      </c>
      <c r="H37" s="8">
        <f t="shared" si="11"/>
        <v>-2238.5</v>
      </c>
      <c r="I37" s="8">
        <f t="shared" si="1"/>
        <v>10.054137230860658</v>
      </c>
      <c r="J37" s="16">
        <f t="shared" si="4"/>
        <v>15.231626659791337</v>
      </c>
      <c r="K37" s="16">
        <f t="shared" si="2"/>
        <v>221.30620019761295</v>
      </c>
      <c r="L37" s="16">
        <f t="shared" si="5"/>
        <v>41.306200197612952</v>
      </c>
      <c r="M37" s="16">
        <f t="shared" si="6"/>
        <v>11.441886874387796</v>
      </c>
      <c r="N37" s="16">
        <f t="shared" si="7"/>
        <v>10.054137230860659</v>
      </c>
      <c r="O37" s="16">
        <f>M37-'"0" цикл 24.06'!M36</f>
        <v>761.95001271727949</v>
      </c>
      <c r="P37" s="16">
        <f>N37-'"0" цикл 24.06'!N36</f>
        <v>-649.11942022451933</v>
      </c>
      <c r="Q37" s="16">
        <f t="shared" si="8"/>
        <v>1000.9614595939638</v>
      </c>
      <c r="R37" s="16">
        <f t="shared" si="9"/>
        <v>-40.428296265581096</v>
      </c>
      <c r="S37" s="16">
        <f t="shared" si="10"/>
        <v>319.57170373441892</v>
      </c>
    </row>
    <row r="38" spans="1:19" x14ac:dyDescent="0.45">
      <c r="A38" s="7">
        <v>17</v>
      </c>
      <c r="B38" s="11" t="s">
        <v>173</v>
      </c>
      <c r="C38" s="11" t="s">
        <v>174</v>
      </c>
      <c r="D38" s="8">
        <f t="shared" si="3"/>
        <v>-2590.5</v>
      </c>
      <c r="E38" s="8">
        <f t="shared" si="0"/>
        <v>16.845030185402528</v>
      </c>
      <c r="F38" s="11">
        <v>-3977</v>
      </c>
      <c r="G38" s="11">
        <v>1114</v>
      </c>
      <c r="H38" s="8">
        <f t="shared" si="11"/>
        <v>-2545.5</v>
      </c>
      <c r="I38" s="8">
        <f t="shared" si="1"/>
        <v>15.480307841355062</v>
      </c>
      <c r="J38" s="16">
        <f t="shared" si="4"/>
        <v>22.877827099841483</v>
      </c>
      <c r="K38" s="16">
        <f t="shared" si="2"/>
        <v>222.58250251244323</v>
      </c>
      <c r="L38" s="16">
        <f t="shared" si="5"/>
        <v>42.582502512443227</v>
      </c>
      <c r="M38" s="16">
        <f t="shared" si="6"/>
        <v>16.845030185402525</v>
      </c>
      <c r="N38" s="16">
        <f t="shared" si="7"/>
        <v>15.480307841355064</v>
      </c>
      <c r="O38" s="16">
        <f>M38-'"0" цикл 24.06'!M37</f>
        <v>768.08558803508492</v>
      </c>
      <c r="P38" s="16">
        <f>N38-'"0" цикл 24.06'!N37</f>
        <v>-645.46027060004053</v>
      </c>
      <c r="Q38" s="16">
        <f t="shared" si="8"/>
        <v>1003.2818305293282</v>
      </c>
      <c r="R38" s="16">
        <f t="shared" si="9"/>
        <v>-40.041994886063925</v>
      </c>
      <c r="S38" s="16">
        <f t="shared" si="10"/>
        <v>319.95800511393605</v>
      </c>
    </row>
    <row r="39" spans="1:19" x14ac:dyDescent="0.45">
      <c r="A39" s="7">
        <v>17.5</v>
      </c>
      <c r="B39" s="11" t="s">
        <v>175</v>
      </c>
      <c r="C39" s="11" t="s">
        <v>176</v>
      </c>
      <c r="D39" s="8">
        <f t="shared" si="3"/>
        <v>-2458</v>
      </c>
      <c r="E39" s="8">
        <f t="shared" si="0"/>
        <v>23.124414311395782</v>
      </c>
      <c r="F39" s="11">
        <v>-4542</v>
      </c>
      <c r="G39" s="11">
        <v>532</v>
      </c>
      <c r="H39" s="8">
        <f t="shared" si="11"/>
        <v>-2537</v>
      </c>
      <c r="I39" s="8">
        <f t="shared" si="1"/>
        <v>21.650617343301523</v>
      </c>
      <c r="J39" s="16">
        <f t="shared" si="4"/>
        <v>31.677875064327701</v>
      </c>
      <c r="K39" s="16">
        <f t="shared" si="2"/>
        <v>223.11475577250411</v>
      </c>
      <c r="L39" s="16">
        <f t="shared" si="5"/>
        <v>43.114755772504111</v>
      </c>
      <c r="M39" s="16">
        <f t="shared" si="6"/>
        <v>23.124414311395775</v>
      </c>
      <c r="N39" s="16">
        <f t="shared" si="7"/>
        <v>21.65061734330153</v>
      </c>
      <c r="O39" s="16">
        <f>M39-'"0" цикл 24.06'!M38</f>
        <v>774.30764294341225</v>
      </c>
      <c r="P39" s="16">
        <f>N39-'"0" цикл 24.06'!N38</f>
        <v>-640.19813782686515</v>
      </c>
      <c r="Q39" s="16">
        <f t="shared" si="8"/>
        <v>1004.6919834444627</v>
      </c>
      <c r="R39" s="16">
        <f t="shared" si="9"/>
        <v>-39.583968010810729</v>
      </c>
      <c r="S39" s="16">
        <f t="shared" si="10"/>
        <v>320.41603198918926</v>
      </c>
    </row>
    <row r="40" spans="1:19" x14ac:dyDescent="0.45">
      <c r="A40" s="7">
        <v>18</v>
      </c>
      <c r="B40" s="11" t="s">
        <v>167</v>
      </c>
      <c r="C40" s="11" t="s">
        <v>177</v>
      </c>
      <c r="D40" s="8">
        <f t="shared" si="3"/>
        <v>-1256.5</v>
      </c>
      <c r="E40" s="8">
        <f t="shared" si="0"/>
        <v>29.082633430544753</v>
      </c>
      <c r="F40" s="11">
        <v>-3074</v>
      </c>
      <c r="G40" s="11">
        <v>-370</v>
      </c>
      <c r="H40" s="8">
        <f t="shared" si="11"/>
        <v>-1352</v>
      </c>
      <c r="I40" s="8">
        <f t="shared" si="1"/>
        <v>27.800323827572097</v>
      </c>
      <c r="J40" s="16">
        <f t="shared" si="4"/>
        <v>40.232543695040114</v>
      </c>
      <c r="K40" s="16">
        <f t="shared" si="2"/>
        <v>223.70860289237987</v>
      </c>
      <c r="L40" s="16">
        <f t="shared" si="5"/>
        <v>43.708602892379872</v>
      </c>
      <c r="M40" s="16">
        <f t="shared" si="6"/>
        <v>29.082633430544757</v>
      </c>
      <c r="N40" s="16">
        <f t="shared" si="7"/>
        <v>27.800323827572093</v>
      </c>
      <c r="O40" s="16">
        <f>M40-'"0" цикл 24.06'!M39</f>
        <v>778.96753248358243</v>
      </c>
      <c r="P40" s="16">
        <f>N40-'"0" цикл 24.06'!N39</f>
        <v>-633.74930131919359</v>
      </c>
      <c r="Q40" s="16">
        <f t="shared" si="8"/>
        <v>1004.2054538719291</v>
      </c>
      <c r="R40" s="16">
        <f t="shared" si="9"/>
        <v>-39.13097508637992</v>
      </c>
      <c r="S40" s="16">
        <f t="shared" si="10"/>
        <v>320.86902491362008</v>
      </c>
    </row>
    <row r="41" spans="1:19" x14ac:dyDescent="0.45">
      <c r="A41" s="7">
        <v>18.5</v>
      </c>
      <c r="B41" s="11" t="s">
        <v>178</v>
      </c>
      <c r="C41" s="11" t="s">
        <v>179</v>
      </c>
      <c r="D41" s="8">
        <f t="shared" si="3"/>
        <v>-46</v>
      </c>
      <c r="E41" s="8">
        <f t="shared" si="0"/>
        <v>32.128456544322106</v>
      </c>
      <c r="F41" s="11">
        <v>-1529</v>
      </c>
      <c r="G41" s="11">
        <v>-1464</v>
      </c>
      <c r="H41" s="8">
        <f t="shared" si="11"/>
        <v>-32.5</v>
      </c>
      <c r="I41" s="8">
        <f t="shared" si="1"/>
        <v>31.077640844066188</v>
      </c>
      <c r="J41" s="16">
        <f t="shared" si="4"/>
        <v>44.699636244081056</v>
      </c>
      <c r="K41" s="16">
        <f t="shared" si="2"/>
        <v>224.04753242147299</v>
      </c>
      <c r="L41" s="16">
        <f t="shared" si="5"/>
        <v>44.047532421472965</v>
      </c>
      <c r="M41" s="16">
        <f t="shared" si="6"/>
        <v>32.128456544322113</v>
      </c>
      <c r="N41" s="16">
        <f t="shared" si="7"/>
        <v>31.077640844066174</v>
      </c>
      <c r="O41" s="16">
        <f>M41-'"0" цикл 24.06'!M40</f>
        <v>778.78985176231606</v>
      </c>
      <c r="P41" s="16">
        <f>N41-'"0" цикл 24.06'!N40</f>
        <v>-628.13761490866273</v>
      </c>
      <c r="Q41" s="16">
        <f t="shared" si="8"/>
        <v>1000.5351050668405</v>
      </c>
      <c r="R41" s="16">
        <f t="shared" si="9"/>
        <v>-38.88811969192939</v>
      </c>
      <c r="S41" s="16">
        <f t="shared" si="10"/>
        <v>321.11188030807062</v>
      </c>
    </row>
    <row r="42" spans="1:19" x14ac:dyDescent="0.45">
      <c r="A42" s="7">
        <v>19</v>
      </c>
      <c r="B42" s="11" t="s">
        <v>180</v>
      </c>
      <c r="C42" s="11" t="s">
        <v>181</v>
      </c>
      <c r="D42" s="8">
        <f t="shared" si="3"/>
        <v>391</v>
      </c>
      <c r="E42" s="8">
        <f t="shared" si="0"/>
        <v>32.239963690052988</v>
      </c>
      <c r="F42" s="11">
        <v>-803</v>
      </c>
      <c r="G42" s="11">
        <v>-1810</v>
      </c>
      <c r="H42" s="8">
        <f t="shared" si="11"/>
        <v>503.5</v>
      </c>
      <c r="I42" s="8">
        <f t="shared" si="1"/>
        <v>31.156423066920507</v>
      </c>
      <c r="J42" s="16">
        <f t="shared" si="4"/>
        <v>44.834562081734127</v>
      </c>
      <c r="K42" s="16">
        <f t="shared" si="2"/>
        <v>224.02082336692882</v>
      </c>
      <c r="L42" s="16">
        <f t="shared" si="5"/>
        <v>44.020823366928823</v>
      </c>
      <c r="M42" s="16">
        <f t="shared" si="6"/>
        <v>32.239963690052996</v>
      </c>
      <c r="N42" s="16">
        <f t="shared" si="7"/>
        <v>31.156423066920503</v>
      </c>
      <c r="O42" s="16">
        <f>M42-'"0" цикл 24.06'!M41</f>
        <v>774.33544712045625</v>
      </c>
      <c r="P42" s="16">
        <f>N42-'"0" цикл 24.06'!N41</f>
        <v>-624.52408558061791</v>
      </c>
      <c r="Q42" s="16">
        <f t="shared" si="8"/>
        <v>994.79933561374264</v>
      </c>
      <c r="R42" s="16">
        <f t="shared" si="9"/>
        <v>-38.887187097232434</v>
      </c>
      <c r="S42" s="16">
        <f t="shared" si="10"/>
        <v>321.11281290276759</v>
      </c>
    </row>
    <row r="43" spans="1:19" x14ac:dyDescent="0.45">
      <c r="A43" s="7">
        <v>19.5</v>
      </c>
      <c r="B43" s="11" t="s">
        <v>182</v>
      </c>
      <c r="C43" s="11" t="s">
        <v>183</v>
      </c>
      <c r="D43" s="8">
        <f t="shared" si="3"/>
        <v>726.5</v>
      </c>
      <c r="E43" s="8">
        <f t="shared" si="0"/>
        <v>31.292153511124571</v>
      </c>
      <c r="F43" s="11">
        <v>-900</v>
      </c>
      <c r="G43" s="11">
        <v>-2345</v>
      </c>
      <c r="H43" s="8">
        <f t="shared" si="11"/>
        <v>722.5</v>
      </c>
      <c r="I43" s="8">
        <f t="shared" si="1"/>
        <v>29.935905836836177</v>
      </c>
      <c r="J43" s="16">
        <f t="shared" si="4"/>
        <v>43.305396079884872</v>
      </c>
      <c r="K43" s="16">
        <f t="shared" si="2"/>
        <v>223.73106279861994</v>
      </c>
      <c r="L43" s="16">
        <f t="shared" si="5"/>
        <v>43.731062798619973</v>
      </c>
      <c r="M43" s="16">
        <f t="shared" si="6"/>
        <v>31.292153511124553</v>
      </c>
      <c r="N43" s="16">
        <f t="shared" si="7"/>
        <v>29.935905836836195</v>
      </c>
      <c r="O43" s="16">
        <f>M43-'"0" цикл 24.06'!M42</f>
        <v>771.53565291439395</v>
      </c>
      <c r="P43" s="16">
        <f>N43-'"0" цикл 24.06'!N42</f>
        <v>-625.0754389271101</v>
      </c>
      <c r="Q43" s="16">
        <f t="shared" si="8"/>
        <v>992.96856348424217</v>
      </c>
      <c r="R43" s="16">
        <f t="shared" si="9"/>
        <v>-39.013371410089462</v>
      </c>
      <c r="S43" s="16">
        <f t="shared" si="10"/>
        <v>320.98662858991054</v>
      </c>
    </row>
    <row r="44" spans="1:19" x14ac:dyDescent="0.45">
      <c r="A44" s="7">
        <v>20</v>
      </c>
      <c r="B44" s="11" t="s">
        <v>184</v>
      </c>
      <c r="C44" s="11" t="s">
        <v>185</v>
      </c>
      <c r="D44" s="8">
        <f t="shared" si="3"/>
        <v>1107.5</v>
      </c>
      <c r="E44" s="8">
        <f t="shared" si="0"/>
        <v>29.531071455739514</v>
      </c>
      <c r="F44" s="11">
        <v>-548</v>
      </c>
      <c r="G44" s="11">
        <v>-2662</v>
      </c>
      <c r="H44" s="8">
        <f t="shared" si="11"/>
        <v>1057</v>
      </c>
      <c r="I44" s="8">
        <f t="shared" si="1"/>
        <v>28.184519995259421</v>
      </c>
      <c r="J44" s="16">
        <f t="shared" si="4"/>
        <v>40.822191865297619</v>
      </c>
      <c r="K44" s="16">
        <f t="shared" si="2"/>
        <v>223.66348555676493</v>
      </c>
      <c r="L44" s="16">
        <f t="shared" si="5"/>
        <v>43.663485556764954</v>
      </c>
      <c r="M44" s="16">
        <f t="shared" si="6"/>
        <v>29.531071455739504</v>
      </c>
      <c r="N44" s="16">
        <f t="shared" si="7"/>
        <v>28.184519995259432</v>
      </c>
      <c r="O44" s="16">
        <f>M44-'"0" цикл 24.06'!M43</f>
        <v>768.03009357017277</v>
      </c>
      <c r="P44" s="16">
        <f>N44-'"0" цикл 24.06'!N43</f>
        <v>-626.25171466628308</v>
      </c>
      <c r="Q44" s="16">
        <f t="shared" si="8"/>
        <v>990.99012848356267</v>
      </c>
      <c r="R44" s="16">
        <f t="shared" si="9"/>
        <v>-39.193801492185038</v>
      </c>
      <c r="S44" s="16">
        <f t="shared" si="10"/>
        <v>320.80619850781494</v>
      </c>
    </row>
    <row r="45" spans="1:19" x14ac:dyDescent="0.45">
      <c r="A45" s="7">
        <v>20.5</v>
      </c>
      <c r="B45" s="11" t="s">
        <v>184</v>
      </c>
      <c r="C45" s="11" t="s">
        <v>185</v>
      </c>
      <c r="D45" s="8">
        <f t="shared" si="3"/>
        <v>1107.5</v>
      </c>
      <c r="E45" s="8">
        <f t="shared" si="0"/>
        <v>26.846428596126831</v>
      </c>
      <c r="F45" s="11">
        <v>-548</v>
      </c>
      <c r="G45" s="11">
        <v>-2662</v>
      </c>
      <c r="H45" s="8">
        <f t="shared" si="11"/>
        <v>1057</v>
      </c>
      <c r="I45" s="8">
        <f t="shared" si="1"/>
        <v>25.622290904781291</v>
      </c>
      <c r="J45" s="16">
        <f t="shared" si="4"/>
        <v>37.111083513906927</v>
      </c>
      <c r="K45" s="16">
        <f t="shared" si="2"/>
        <v>223.66348555676493</v>
      </c>
      <c r="L45" s="16">
        <f t="shared" si="5"/>
        <v>43.663485556764954</v>
      </c>
      <c r="M45" s="16">
        <f t="shared" si="6"/>
        <v>26.846428596126824</v>
      </c>
      <c r="N45" s="16">
        <f t="shared" si="7"/>
        <v>25.622290904781302</v>
      </c>
      <c r="O45" s="16">
        <f>M45-'"0" цикл 24.06'!M44</f>
        <v>763.12719298958018</v>
      </c>
      <c r="P45" s="16">
        <f>N45-'"0" цикл 24.06'!N44</f>
        <v>-627.63621121098072</v>
      </c>
      <c r="Q45" s="16">
        <f t="shared" si="8"/>
        <v>988.07404899806511</v>
      </c>
      <c r="R45" s="16">
        <f t="shared" si="9"/>
        <v>-39.435688741714593</v>
      </c>
      <c r="S45" s="16">
        <f t="shared" si="10"/>
        <v>320.56431125828539</v>
      </c>
    </row>
    <row r="46" spans="1:19" x14ac:dyDescent="0.45">
      <c r="A46" s="7">
        <v>21</v>
      </c>
      <c r="B46" s="11" t="s">
        <v>184</v>
      </c>
      <c r="C46" s="11" t="s">
        <v>185</v>
      </c>
      <c r="D46" s="8">
        <f t="shared" si="3"/>
        <v>1107.5</v>
      </c>
      <c r="E46" s="8">
        <f t="shared" si="0"/>
        <v>24.161785736514148</v>
      </c>
      <c r="F46" s="11">
        <v>-548</v>
      </c>
      <c r="G46" s="11">
        <v>-2662</v>
      </c>
      <c r="H46" s="8">
        <f t="shared" si="11"/>
        <v>1057</v>
      </c>
      <c r="I46" s="8">
        <f t="shared" si="1"/>
        <v>23.060061814303161</v>
      </c>
      <c r="J46" s="16">
        <f t="shared" si="4"/>
        <v>33.399975162516235</v>
      </c>
      <c r="K46" s="16">
        <f t="shared" si="2"/>
        <v>223.66348555676493</v>
      </c>
      <c r="L46" s="16">
        <f t="shared" si="5"/>
        <v>43.663485556764954</v>
      </c>
      <c r="M46" s="16">
        <f t="shared" si="6"/>
        <v>24.16178573651414</v>
      </c>
      <c r="N46" s="16">
        <f t="shared" si="7"/>
        <v>23.060061814303172</v>
      </c>
      <c r="O46" s="16">
        <f>M46-'"0" цикл 24.06'!M45</f>
        <v>757.42775452192336</v>
      </c>
      <c r="P46" s="16">
        <f>N46-'"0" цикл 24.06'!N45</f>
        <v>-628.01836128856098</v>
      </c>
      <c r="Q46" s="16">
        <f t="shared" si="8"/>
        <v>983.92269281468066</v>
      </c>
      <c r="R46" s="16">
        <f t="shared" si="9"/>
        <v>-39.663696662208423</v>
      </c>
      <c r="S46" s="16">
        <f t="shared" si="10"/>
        <v>320.33630333779161</v>
      </c>
    </row>
    <row r="47" spans="1:19" x14ac:dyDescent="0.45">
      <c r="A47" s="7">
        <v>21.5</v>
      </c>
      <c r="B47" s="11" t="s">
        <v>184</v>
      </c>
      <c r="C47" s="11" t="s">
        <v>185</v>
      </c>
      <c r="D47" s="8">
        <f t="shared" si="3"/>
        <v>1107.5</v>
      </c>
      <c r="E47" s="8">
        <f t="shared" si="0"/>
        <v>21.477142876901464</v>
      </c>
      <c r="F47" s="11">
        <v>-548</v>
      </c>
      <c r="G47" s="11">
        <v>-2662</v>
      </c>
      <c r="H47" s="8">
        <f t="shared" si="11"/>
        <v>1057</v>
      </c>
      <c r="I47" s="8">
        <f t="shared" si="1"/>
        <v>20.497832723825031</v>
      </c>
      <c r="J47" s="16">
        <f t="shared" si="4"/>
        <v>29.688866811125539</v>
      </c>
      <c r="K47" s="16">
        <f t="shared" si="2"/>
        <v>223.66348555676493</v>
      </c>
      <c r="L47" s="16">
        <f t="shared" si="5"/>
        <v>43.663485556764954</v>
      </c>
      <c r="M47" s="16">
        <f t="shared" si="6"/>
        <v>21.477142876901457</v>
      </c>
      <c r="N47" s="16">
        <f t="shared" si="7"/>
        <v>20.497832723825038</v>
      </c>
      <c r="O47" s="16">
        <f>M47-'"0" цикл 24.06'!M46</f>
        <v>750.90294024903551</v>
      </c>
      <c r="P47" s="16">
        <f>N47-'"0" цикл 24.06'!N46</f>
        <v>-627.93485326460063</v>
      </c>
      <c r="Q47" s="16">
        <f t="shared" si="8"/>
        <v>978.85515047890613</v>
      </c>
      <c r="R47" s="16">
        <f t="shared" si="9"/>
        <v>-39.903706494898394</v>
      </c>
      <c r="S47" s="16">
        <f t="shared" si="10"/>
        <v>320.09629350510158</v>
      </c>
    </row>
    <row r="48" spans="1:19" x14ac:dyDescent="0.45">
      <c r="A48" s="7">
        <v>22</v>
      </c>
      <c r="B48" s="11" t="s">
        <v>184</v>
      </c>
      <c r="C48" s="11" t="s">
        <v>185</v>
      </c>
      <c r="D48" s="8">
        <f t="shared" si="3"/>
        <v>1107.5</v>
      </c>
      <c r="E48" s="8">
        <f t="shared" si="0"/>
        <v>18.792500017288781</v>
      </c>
      <c r="F48" s="11">
        <v>-548</v>
      </c>
      <c r="G48" s="11">
        <v>-2662</v>
      </c>
      <c r="H48" s="8">
        <f t="shared" si="11"/>
        <v>1057</v>
      </c>
      <c r="I48" s="8">
        <f t="shared" si="1"/>
        <v>17.935603633346901</v>
      </c>
      <c r="J48" s="16">
        <f t="shared" si="4"/>
        <v>25.977758459734847</v>
      </c>
      <c r="K48" s="16">
        <f t="shared" si="2"/>
        <v>223.66348555676493</v>
      </c>
      <c r="L48" s="16">
        <f t="shared" si="5"/>
        <v>43.663485556764954</v>
      </c>
      <c r="M48" s="16">
        <f t="shared" si="6"/>
        <v>18.792500017288774</v>
      </c>
      <c r="N48" s="16">
        <f t="shared" si="7"/>
        <v>17.935603633346911</v>
      </c>
      <c r="O48" s="16">
        <f>M48-'"0" цикл 24.06'!M47</f>
        <v>745.34894336730531</v>
      </c>
      <c r="P48" s="16">
        <f>N48-'"0" цикл 24.06'!N47</f>
        <v>-628.59988976993338</v>
      </c>
      <c r="Q48" s="16">
        <f t="shared" si="8"/>
        <v>975.02967585480746</v>
      </c>
      <c r="R48" s="16">
        <f t="shared" si="9"/>
        <v>-40.143052297290083</v>
      </c>
      <c r="S48" s="16">
        <f t="shared" si="10"/>
        <v>319.85694770270993</v>
      </c>
    </row>
    <row r="49" spans="1:19" x14ac:dyDescent="0.45">
      <c r="A49" s="7">
        <v>22.5</v>
      </c>
      <c r="B49" s="11" t="s">
        <v>184</v>
      </c>
      <c r="C49" s="11" t="s">
        <v>185</v>
      </c>
      <c r="D49" s="8">
        <f t="shared" si="3"/>
        <v>1107.5</v>
      </c>
      <c r="E49" s="8">
        <f t="shared" si="0"/>
        <v>16.107857157676097</v>
      </c>
      <c r="F49" s="11">
        <v>-548</v>
      </c>
      <c r="G49" s="11">
        <v>-2662</v>
      </c>
      <c r="H49" s="8">
        <f t="shared" si="11"/>
        <v>1057</v>
      </c>
      <c r="I49" s="8">
        <f t="shared" si="1"/>
        <v>15.373374542868772</v>
      </c>
      <c r="J49" s="16">
        <f t="shared" si="4"/>
        <v>22.266650108344155</v>
      </c>
      <c r="K49" s="16">
        <f t="shared" si="2"/>
        <v>223.66348555676493</v>
      </c>
      <c r="L49" s="16">
        <f t="shared" si="5"/>
        <v>43.663485556764954</v>
      </c>
      <c r="M49" s="16">
        <f t="shared" si="6"/>
        <v>16.107857157676094</v>
      </c>
      <c r="N49" s="16">
        <f t="shared" si="7"/>
        <v>15.373374542868779</v>
      </c>
      <c r="O49" s="16">
        <f>M49-'"0" цикл 24.06'!M48</f>
        <v>742.26857138180162</v>
      </c>
      <c r="P49" s="16">
        <f>N49-'"0" цикл 24.06'!N48</f>
        <v>-631.92012476047285</v>
      </c>
      <c r="Q49" s="16">
        <f t="shared" si="8"/>
        <v>974.82597223220944</v>
      </c>
      <c r="R49" s="16">
        <f t="shared" si="9"/>
        <v>-40.408954387780987</v>
      </c>
      <c r="S49" s="16">
        <f t="shared" si="10"/>
        <v>319.59104561221903</v>
      </c>
    </row>
    <row r="50" spans="1:19" x14ac:dyDescent="0.45">
      <c r="A50" s="7">
        <v>23</v>
      </c>
      <c r="B50" s="11" t="s">
        <v>184</v>
      </c>
      <c r="C50" s="11" t="s">
        <v>185</v>
      </c>
      <c r="D50" s="8">
        <f t="shared" si="3"/>
        <v>1107.5</v>
      </c>
      <c r="E50" s="8">
        <f t="shared" si="0"/>
        <v>13.423214298063415</v>
      </c>
      <c r="F50" s="11">
        <v>-548</v>
      </c>
      <c r="G50" s="11">
        <v>-2662</v>
      </c>
      <c r="H50" s="8">
        <f t="shared" si="11"/>
        <v>1057</v>
      </c>
      <c r="I50" s="8">
        <f t="shared" si="1"/>
        <v>12.811145452390644</v>
      </c>
      <c r="J50" s="16">
        <f t="shared" si="4"/>
        <v>18.555541756953463</v>
      </c>
      <c r="K50" s="16">
        <f t="shared" si="2"/>
        <v>223.66348555676493</v>
      </c>
      <c r="L50" s="16">
        <f t="shared" si="5"/>
        <v>43.663485556764954</v>
      </c>
      <c r="M50" s="16">
        <f t="shared" si="6"/>
        <v>13.423214298063412</v>
      </c>
      <c r="N50" s="16">
        <f t="shared" si="7"/>
        <v>12.811145452390651</v>
      </c>
      <c r="O50" s="16">
        <f>M50-'"0" цикл 24.06'!M49</f>
        <v>738.19009099428786</v>
      </c>
      <c r="P50" s="16">
        <f>N50-'"0" цикл 24.06'!N49</f>
        <v>-634.04650640683019</v>
      </c>
      <c r="Q50" s="16">
        <f t="shared" si="8"/>
        <v>973.10820710179075</v>
      </c>
      <c r="R50" s="16">
        <f t="shared" si="9"/>
        <v>-40.659953180758016</v>
      </c>
      <c r="S50" s="16">
        <f t="shared" si="10"/>
        <v>319.34004681924199</v>
      </c>
    </row>
    <row r="51" spans="1:19" x14ac:dyDescent="0.45">
      <c r="A51" s="7">
        <v>23.5</v>
      </c>
      <c r="B51" s="11" t="s">
        <v>184</v>
      </c>
      <c r="C51" s="11" t="s">
        <v>185</v>
      </c>
      <c r="D51" s="8">
        <f t="shared" si="3"/>
        <v>1107.5</v>
      </c>
      <c r="E51" s="8">
        <f t="shared" si="0"/>
        <v>10.738571438450732</v>
      </c>
      <c r="F51" s="11">
        <v>-548</v>
      </c>
      <c r="G51" s="11">
        <v>-2662</v>
      </c>
      <c r="H51" s="8">
        <f t="shared" si="11"/>
        <v>1057</v>
      </c>
      <c r="I51" s="8">
        <f t="shared" si="1"/>
        <v>10.248916361912515</v>
      </c>
      <c r="J51" s="16">
        <f t="shared" si="4"/>
        <v>14.84443340556277</v>
      </c>
      <c r="K51" s="16">
        <f t="shared" si="2"/>
        <v>223.66348555676493</v>
      </c>
      <c r="L51" s="16">
        <f t="shared" si="5"/>
        <v>43.663485556764954</v>
      </c>
      <c r="M51" s="16">
        <f t="shared" si="6"/>
        <v>10.738571438450728</v>
      </c>
      <c r="N51" s="16">
        <f t="shared" si="7"/>
        <v>10.248916361912519</v>
      </c>
      <c r="O51" s="16">
        <f>M51-'"0" цикл 24.06'!M50</f>
        <v>730.84972843158835</v>
      </c>
      <c r="P51" s="16">
        <f>N51-'"0" цикл 24.06'!N50</f>
        <v>-633.05399033035246</v>
      </c>
      <c r="Q51" s="16">
        <f t="shared" si="8"/>
        <v>966.90158766117895</v>
      </c>
      <c r="R51" s="16">
        <f t="shared" si="9"/>
        <v>-40.898750200497979</v>
      </c>
      <c r="S51" s="16">
        <f t="shared" si="10"/>
        <v>319.101249799502</v>
      </c>
    </row>
    <row r="52" spans="1:19" x14ac:dyDescent="0.45">
      <c r="A52" s="7">
        <v>24</v>
      </c>
      <c r="B52" s="11" t="s">
        <v>184</v>
      </c>
      <c r="C52" s="11" t="s">
        <v>185</v>
      </c>
      <c r="D52" s="8">
        <f t="shared" si="3"/>
        <v>1107.5</v>
      </c>
      <c r="E52" s="8">
        <f t="shared" si="0"/>
        <v>8.0539285788380486</v>
      </c>
      <c r="F52" s="11">
        <v>-548</v>
      </c>
      <c r="G52" s="11">
        <v>-2662</v>
      </c>
      <c r="H52" s="8">
        <f t="shared" si="11"/>
        <v>1057</v>
      </c>
      <c r="I52" s="8">
        <f t="shared" si="1"/>
        <v>7.686687271434387</v>
      </c>
      <c r="J52" s="16">
        <f t="shared" si="4"/>
        <v>11.133325054172078</v>
      </c>
      <c r="K52" s="16">
        <f t="shared" si="2"/>
        <v>223.66348555676493</v>
      </c>
      <c r="L52" s="16">
        <f t="shared" si="5"/>
        <v>43.663485556764954</v>
      </c>
      <c r="M52" s="16">
        <f t="shared" si="6"/>
        <v>8.0539285788380468</v>
      </c>
      <c r="N52" s="16">
        <f t="shared" si="7"/>
        <v>7.6866872714343897</v>
      </c>
      <c r="O52" s="16">
        <f>M52-'"0" цикл 24.06'!M51</f>
        <v>719.14803994150998</v>
      </c>
      <c r="P52" s="16">
        <f>N52-'"0" цикл 24.06'!N51</f>
        <v>-627.53581795735852</v>
      </c>
      <c r="Q52" s="16">
        <f t="shared" si="8"/>
        <v>954.4501590817232</v>
      </c>
      <c r="R52" s="16">
        <f t="shared" si="9"/>
        <v>-41.108278171863041</v>
      </c>
      <c r="S52" s="16">
        <f t="shared" si="10"/>
        <v>318.89172182813695</v>
      </c>
    </row>
    <row r="53" spans="1:19" x14ac:dyDescent="0.45">
      <c r="A53" s="7">
        <v>24.5</v>
      </c>
      <c r="B53" s="11" t="s">
        <v>184</v>
      </c>
      <c r="C53" s="11" t="s">
        <v>185</v>
      </c>
      <c r="D53" s="8">
        <f t="shared" si="3"/>
        <v>1107.5</v>
      </c>
      <c r="E53" s="8">
        <f t="shared" si="0"/>
        <v>5.369285719225366</v>
      </c>
      <c r="F53" s="11">
        <v>-548</v>
      </c>
      <c r="G53" s="11">
        <v>-2662</v>
      </c>
      <c r="H53" s="8">
        <f t="shared" si="11"/>
        <v>1057</v>
      </c>
      <c r="I53" s="8">
        <f t="shared" si="1"/>
        <v>5.1244581809562577</v>
      </c>
      <c r="J53" s="16">
        <f t="shared" si="4"/>
        <v>7.4222167027813848</v>
      </c>
      <c r="K53" s="16">
        <f t="shared" si="2"/>
        <v>223.66348555676493</v>
      </c>
      <c r="L53" s="16">
        <f t="shared" si="5"/>
        <v>43.663485556764954</v>
      </c>
      <c r="M53" s="16">
        <f t="shared" si="6"/>
        <v>5.3692857192253642</v>
      </c>
      <c r="N53" s="16">
        <f t="shared" si="7"/>
        <v>5.1244581809562595</v>
      </c>
      <c r="O53" s="16">
        <f>M53-'"0" цикл 24.06'!M52</f>
        <v>703.71030195204014</v>
      </c>
      <c r="P53" s="16">
        <f>N53-'"0" цикл 24.06'!N52</f>
        <v>-618.16730879633565</v>
      </c>
      <c r="Q53" s="16">
        <f t="shared" si="8"/>
        <v>936.66376610709983</v>
      </c>
      <c r="R53" s="16">
        <f t="shared" si="9"/>
        <v>-41.29736690741597</v>
      </c>
      <c r="S53" s="16">
        <f t="shared" si="10"/>
        <v>318.70263309258405</v>
      </c>
    </row>
    <row r="54" spans="1:19" x14ac:dyDescent="0.45">
      <c r="A54" s="7">
        <v>25</v>
      </c>
      <c r="B54" s="11" t="s">
        <v>184</v>
      </c>
      <c r="C54" s="11" t="s">
        <v>185</v>
      </c>
      <c r="D54" s="8">
        <f t="shared" si="3"/>
        <v>1107.5</v>
      </c>
      <c r="E54" s="8">
        <f t="shared" si="0"/>
        <v>2.684642859612683</v>
      </c>
      <c r="F54" s="11">
        <v>-548</v>
      </c>
      <c r="G54" s="11">
        <v>-2662</v>
      </c>
      <c r="H54" s="8">
        <f t="shared" si="11"/>
        <v>1057</v>
      </c>
      <c r="I54" s="8">
        <f t="shared" si="1"/>
        <v>2.5622290904781289</v>
      </c>
      <c r="J54" s="16">
        <f t="shared" si="4"/>
        <v>3.7111083513906924</v>
      </c>
      <c r="K54" s="16">
        <f t="shared" si="2"/>
        <v>223.66348555676493</v>
      </c>
      <c r="L54" s="16">
        <v>0</v>
      </c>
      <c r="M54" s="16">
        <f t="shared" si="6"/>
        <v>3.7111083513906924</v>
      </c>
      <c r="N54" s="16">
        <f t="shared" si="7"/>
        <v>0</v>
      </c>
      <c r="O54" s="16">
        <f>M54-'"0" цикл 24.06'!M53</f>
        <v>687.02370976008342</v>
      </c>
      <c r="P54" s="16">
        <f>N54-'"0" цикл 24.06'!N53</f>
        <v>-609.23571912388809</v>
      </c>
      <c r="Q54" s="16">
        <f t="shared" si="8"/>
        <v>918.24274526342344</v>
      </c>
      <c r="R54" s="16">
        <f t="shared" si="9"/>
        <v>-41.565822416474546</v>
      </c>
      <c r="S54" s="16">
        <f t="shared" si="10"/>
        <v>318.43417758352547</v>
      </c>
    </row>
  </sheetData>
  <mergeCells count="2">
    <mergeCell ref="B1:I1"/>
    <mergeCell ref="M1: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4"/>
  <sheetViews>
    <sheetView zoomScale="70" zoomScaleNormal="70" workbookViewId="0">
      <selection sqref="A1:XFD1048576"/>
    </sheetView>
  </sheetViews>
  <sheetFormatPr defaultRowHeight="14.25" x14ac:dyDescent="0.45"/>
  <cols>
    <col min="1" max="1" width="9.1328125" style="7"/>
    <col min="2" max="3" width="9.3984375" style="12" customWidth="1"/>
    <col min="4" max="5" width="9.3984375" style="13" customWidth="1"/>
    <col min="6" max="7" width="9.3984375" style="12" customWidth="1"/>
    <col min="8" max="9" width="9.3984375" style="13" customWidth="1"/>
    <col min="10" max="19" width="9.1328125" style="16"/>
  </cols>
  <sheetData>
    <row r="1" spans="1:19" x14ac:dyDescent="0.45">
      <c r="B1" s="53" t="s">
        <v>195</v>
      </c>
      <c r="C1" s="53"/>
      <c r="D1" s="53"/>
      <c r="E1" s="53"/>
      <c r="F1" s="53"/>
      <c r="G1" s="53"/>
      <c r="H1" s="53"/>
      <c r="I1" s="53"/>
      <c r="K1" s="16" t="s">
        <v>1</v>
      </c>
      <c r="L1" s="18">
        <v>180</v>
      </c>
      <c r="M1" s="54"/>
      <c r="N1" s="55"/>
      <c r="O1" s="55"/>
      <c r="P1" s="55"/>
      <c r="Q1" s="55"/>
      <c r="R1" s="55"/>
      <c r="S1" s="56"/>
    </row>
    <row r="2" spans="1:19" ht="99.75" x14ac:dyDescent="0.45">
      <c r="A2" s="7" t="s">
        <v>2</v>
      </c>
      <c r="B2" s="9" t="s">
        <v>99</v>
      </c>
      <c r="C2" s="9" t="s">
        <v>100</v>
      </c>
      <c r="D2" s="10" t="s">
        <v>101</v>
      </c>
      <c r="E2" s="10" t="s">
        <v>102</v>
      </c>
      <c r="F2" s="9" t="s">
        <v>187</v>
      </c>
      <c r="G2" s="9" t="s">
        <v>188</v>
      </c>
      <c r="H2" s="10" t="s">
        <v>189</v>
      </c>
      <c r="I2" s="10" t="s">
        <v>186</v>
      </c>
      <c r="J2" s="10" t="s">
        <v>191</v>
      </c>
      <c r="K2" s="10" t="s">
        <v>192</v>
      </c>
      <c r="L2" s="10" t="s">
        <v>193</v>
      </c>
      <c r="M2" s="15" t="s">
        <v>17</v>
      </c>
      <c r="N2" s="15" t="s">
        <v>18</v>
      </c>
      <c r="O2" s="14" t="s">
        <v>19</v>
      </c>
      <c r="P2" s="14" t="s">
        <v>20</v>
      </c>
      <c r="Q2" s="14" t="s">
        <v>21</v>
      </c>
      <c r="R2" s="14"/>
      <c r="S2" s="14" t="s">
        <v>22</v>
      </c>
    </row>
    <row r="3" spans="1:19" x14ac:dyDescent="0.45">
      <c r="A3" s="7">
        <v>-0.5</v>
      </c>
      <c r="B3" s="11" t="s">
        <v>103</v>
      </c>
      <c r="C3" s="11" t="s">
        <v>104</v>
      </c>
      <c r="D3" s="8">
        <f>(B3-C3)/2</f>
        <v>-1963.5</v>
      </c>
      <c r="E3" s="8">
        <f t="shared" ref="E3:E54" si="0">0.5*SIN(D3/3600*PI()/180)*1000+E4</f>
        <v>-200.38155580556699</v>
      </c>
      <c r="F3" s="11">
        <v>-3702</v>
      </c>
      <c r="G3" s="11">
        <v>228</v>
      </c>
      <c r="H3" s="8">
        <f>(F3-G3)/2</f>
        <v>-1965</v>
      </c>
      <c r="I3" s="8">
        <f t="shared" ref="I3:I54" si="1">0.5*SIN(H3/3600*PI()/180)*1000+I4</f>
        <v>-202.18379614515277</v>
      </c>
      <c r="J3" s="16">
        <f>SQRT(E3^2+I3^2)</f>
        <v>284.65954284148677</v>
      </c>
      <c r="K3" s="16">
        <f t="shared" ref="K3:K54" si="2">IF(E3&gt;=0,180-DEGREES(ASIN(-I3/J3)),IF(E3&lt;0,DEGREES(ASIN(-I3/J3)),360-DEGREES(ASIN(I3/J3))))</f>
        <v>45.256505123367646</v>
      </c>
      <c r="L3" s="16">
        <f>IF((K3+$L$1)&lt;=360,K3+$L$1,K3+$L$1-360)</f>
        <v>225.25650512336765</v>
      </c>
      <c r="M3" s="16">
        <f>J3*COS(RADIANS(L3))</f>
        <v>-200.38155580556702</v>
      </c>
      <c r="N3" s="16">
        <f>J3*SIN(RADIANS(L3))</f>
        <v>-202.18379614515271</v>
      </c>
      <c r="O3" s="16" t="e">
        <f>M3-'"0" цикл 24.06'!#REF!</f>
        <v>#REF!</v>
      </c>
      <c r="P3" s="16" t="e">
        <f>N3-'"0" цикл 24.06'!#REF!</f>
        <v>#REF!</v>
      </c>
      <c r="Q3" s="16" t="e">
        <f>SQRT(O3^2+P3^2)</f>
        <v>#REF!</v>
      </c>
      <c r="R3" s="16" t="e">
        <f>IF(Q3=0,0,IF(O3&gt;=0,DEGREES(ASIN(P3/Q3)),(180-DEGREES(ASIN(P3/Q3)))))</f>
        <v>#REF!</v>
      </c>
      <c r="S3" s="16" t="e">
        <f>IF(R3&lt;0,360+R3,R3)</f>
        <v>#REF!</v>
      </c>
    </row>
    <row r="4" spans="1:19" x14ac:dyDescent="0.45">
      <c r="A4" s="7">
        <v>0</v>
      </c>
      <c r="B4" s="11" t="s">
        <v>105</v>
      </c>
      <c r="C4" s="11" t="s">
        <v>106</v>
      </c>
      <c r="D4" s="8">
        <f t="shared" ref="D4:D54" si="3">(B4-C4)/2</f>
        <v>-1325</v>
      </c>
      <c r="E4" s="8">
        <f t="shared" si="0"/>
        <v>-195.62196937558332</v>
      </c>
      <c r="F4" s="11">
        <v>-3010</v>
      </c>
      <c r="G4" s="11">
        <v>-428</v>
      </c>
      <c r="H4" s="8">
        <f>(F4-G4)/2</f>
        <v>-1291</v>
      </c>
      <c r="I4" s="8">
        <f t="shared" si="1"/>
        <v>-197.42057377743248</v>
      </c>
      <c r="J4" s="16">
        <f t="shared" ref="J4:J54" si="4">SQRT(E4^2+I4^2)</f>
        <v>277.92595750126026</v>
      </c>
      <c r="K4" s="16">
        <f t="shared" si="2"/>
        <v>45.262189739284302</v>
      </c>
      <c r="L4" s="16">
        <f t="shared" ref="L4:L53" si="5">IF((K4+$L$1)&lt;=360,K4+$L$1,K4+$L$1-360)</f>
        <v>225.26218973928431</v>
      </c>
      <c r="M4" s="16">
        <f t="shared" ref="M4:M54" si="6">J4*COS(RADIANS(L4))</f>
        <v>-195.62196937558326</v>
      </c>
      <c r="N4" s="16">
        <f t="shared" ref="N4:N54" si="7">J4*SIN(RADIANS(L4))</f>
        <v>-197.42057377743254</v>
      </c>
      <c r="O4" s="16">
        <f>M4-'"0" цикл 24.06'!M3</f>
        <v>516.9218412305147</v>
      </c>
      <c r="P4" s="16">
        <f>N4-'"0" цикл 24.06'!N3</f>
        <v>-784.12197418385415</v>
      </c>
      <c r="Q4" s="16">
        <f t="shared" ref="Q4:Q54" si="8">SQRT(O4^2+P4^2)</f>
        <v>939.17807701155925</v>
      </c>
      <c r="R4" s="16">
        <f t="shared" ref="R4:R54" si="9">IF(Q4=0,0,IF(O4&gt;=0,DEGREES(ASIN(P4/Q4)),(180-DEGREES(ASIN(P4/Q4)))))</f>
        <v>-56.605670538043313</v>
      </c>
      <c r="S4" s="16">
        <f t="shared" ref="S4:S54" si="10">IF(R4&lt;0,360+R4,R4)</f>
        <v>303.39432946195666</v>
      </c>
    </row>
    <row r="5" spans="1:19" x14ac:dyDescent="0.45">
      <c r="A5" s="7">
        <v>0.5</v>
      </c>
      <c r="B5" s="11" t="s">
        <v>107</v>
      </c>
      <c r="C5" s="11" t="s">
        <v>108</v>
      </c>
      <c r="D5" s="8">
        <f t="shared" si="3"/>
        <v>-587</v>
      </c>
      <c r="E5" s="8">
        <f t="shared" si="0"/>
        <v>-192.41010082794665</v>
      </c>
      <c r="F5" s="11">
        <v>-2302</v>
      </c>
      <c r="G5" s="11">
        <v>-1171</v>
      </c>
      <c r="H5" s="8">
        <f t="shared" ref="H5:H54" si="11">(F5-G5)/2</f>
        <v>-565.5</v>
      </c>
      <c r="I5" s="8">
        <f t="shared" si="1"/>
        <v>-194.2911218983574</v>
      </c>
      <c r="J5" s="16">
        <f t="shared" si="4"/>
        <v>273.44229180787482</v>
      </c>
      <c r="K5" s="16">
        <f t="shared" si="2"/>
        <v>45.27870022685164</v>
      </c>
      <c r="L5" s="16">
        <f t="shared" si="5"/>
        <v>225.27870022685164</v>
      </c>
      <c r="M5" s="16">
        <f t="shared" si="6"/>
        <v>-192.41010082794665</v>
      </c>
      <c r="N5" s="16">
        <f t="shared" si="7"/>
        <v>-194.2911218983574</v>
      </c>
      <c r="O5" s="16">
        <f>M5-'"0" цикл 24.06'!M4</f>
        <v>524.61381305537861</v>
      </c>
      <c r="P5" s="16">
        <f>N5-'"0" цикл 24.06'!N4</f>
        <v>-786.51213515400218</v>
      </c>
      <c r="Q5" s="16">
        <f t="shared" si="8"/>
        <v>945.42106576541391</v>
      </c>
      <c r="R5" s="16">
        <f t="shared" si="9"/>
        <v>-56.296197194784135</v>
      </c>
      <c r="S5" s="16">
        <f t="shared" si="10"/>
        <v>303.70380280521584</v>
      </c>
    </row>
    <row r="6" spans="1:19" x14ac:dyDescent="0.45">
      <c r="A6" s="7">
        <v>1</v>
      </c>
      <c r="B6" s="11" t="s">
        <v>109</v>
      </c>
      <c r="C6" s="11" t="s">
        <v>110</v>
      </c>
      <c r="D6" s="8">
        <f t="shared" si="3"/>
        <v>-1149.5</v>
      </c>
      <c r="E6" s="8">
        <f t="shared" si="0"/>
        <v>-190.98717459458109</v>
      </c>
      <c r="F6" s="11">
        <v>-2912</v>
      </c>
      <c r="G6" s="11">
        <v>-547</v>
      </c>
      <c r="H6" s="8">
        <f t="shared" si="11"/>
        <v>-1182.5</v>
      </c>
      <c r="I6" s="8">
        <f t="shared" si="1"/>
        <v>-192.92031293229982</v>
      </c>
      <c r="J6" s="16">
        <f t="shared" si="4"/>
        <v>271.4670293083812</v>
      </c>
      <c r="K6" s="16">
        <f t="shared" si="2"/>
        <v>45.288506308022626</v>
      </c>
      <c r="L6" s="16">
        <f t="shared" si="5"/>
        <v>225.28850630802262</v>
      </c>
      <c r="M6" s="16">
        <f t="shared" si="6"/>
        <v>-190.98717459458115</v>
      </c>
      <c r="N6" s="16">
        <f t="shared" si="7"/>
        <v>-192.92031293229979</v>
      </c>
      <c r="O6" s="16">
        <f>M6-'"0" цикл 24.06'!M5</f>
        <v>532.66297870773963</v>
      </c>
      <c r="P6" s="16">
        <f>N6-'"0" цикл 24.06'!N5</f>
        <v>-792.60717942324163</v>
      </c>
      <c r="Q6" s="16">
        <f t="shared" si="8"/>
        <v>954.9638683002978</v>
      </c>
      <c r="R6" s="16">
        <f t="shared" si="9"/>
        <v>-56.097357786009781</v>
      </c>
      <c r="S6" s="16">
        <f t="shared" si="10"/>
        <v>303.90264221399025</v>
      </c>
    </row>
    <row r="7" spans="1:19" x14ac:dyDescent="0.45">
      <c r="A7" s="7">
        <v>1.5</v>
      </c>
      <c r="B7" s="11" t="s">
        <v>111</v>
      </c>
      <c r="C7" s="11" t="s">
        <v>112</v>
      </c>
      <c r="D7" s="8">
        <f t="shared" si="3"/>
        <v>-1497</v>
      </c>
      <c r="E7" s="8">
        <f t="shared" si="0"/>
        <v>-188.20072238586908</v>
      </c>
      <c r="F7" s="11">
        <v>-3200</v>
      </c>
      <c r="G7" s="11">
        <v>-222</v>
      </c>
      <c r="H7" s="8">
        <f t="shared" si="11"/>
        <v>-1489</v>
      </c>
      <c r="I7" s="8">
        <f t="shared" si="1"/>
        <v>-190.05386774441848</v>
      </c>
      <c r="J7" s="16">
        <f t="shared" si="4"/>
        <v>267.46959556401151</v>
      </c>
      <c r="K7" s="16">
        <f t="shared" si="2"/>
        <v>45.280701308472246</v>
      </c>
      <c r="L7" s="16">
        <f t="shared" si="5"/>
        <v>225.28070130847226</v>
      </c>
      <c r="M7" s="16">
        <f t="shared" si="6"/>
        <v>-188.20072238586908</v>
      </c>
      <c r="N7" s="16">
        <f t="shared" si="7"/>
        <v>-190.05386774441851</v>
      </c>
      <c r="O7" s="16">
        <f>M7-'"0" цикл 24.06'!M6</f>
        <v>540.03849158715775</v>
      </c>
      <c r="P7" s="16">
        <f>N7-'"0" цикл 24.06'!N6</f>
        <v>-795.54479326974933</v>
      </c>
      <c r="Q7" s="16">
        <f t="shared" si="8"/>
        <v>961.52643775111085</v>
      </c>
      <c r="R7" s="16">
        <f t="shared" si="9"/>
        <v>-55.830220765292331</v>
      </c>
      <c r="S7" s="16">
        <f t="shared" si="10"/>
        <v>304.16977923470768</v>
      </c>
    </row>
    <row r="8" spans="1:19" x14ac:dyDescent="0.45">
      <c r="A8" s="7">
        <v>2</v>
      </c>
      <c r="B8" s="11" t="s">
        <v>113</v>
      </c>
      <c r="C8" s="11" t="s">
        <v>114</v>
      </c>
      <c r="D8" s="8">
        <f t="shared" si="3"/>
        <v>-1174.5</v>
      </c>
      <c r="E8" s="8">
        <f t="shared" si="0"/>
        <v>-184.57192383996491</v>
      </c>
      <c r="F8" s="11">
        <v>-2928</v>
      </c>
      <c r="G8" s="11">
        <v>-615</v>
      </c>
      <c r="H8" s="8">
        <f t="shared" si="11"/>
        <v>-1156.5</v>
      </c>
      <c r="I8" s="8">
        <f t="shared" si="1"/>
        <v>-186.44446123774742</v>
      </c>
      <c r="J8" s="16">
        <f t="shared" si="4"/>
        <v>262.35154315578114</v>
      </c>
      <c r="K8" s="16">
        <f t="shared" si="2"/>
        <v>45.289172077640984</v>
      </c>
      <c r="L8" s="16">
        <f t="shared" si="5"/>
        <v>225.28917207764098</v>
      </c>
      <c r="M8" s="16">
        <f t="shared" si="6"/>
        <v>-184.57192383996488</v>
      </c>
      <c r="N8" s="16">
        <f t="shared" si="7"/>
        <v>-186.44446123774745</v>
      </c>
      <c r="O8" s="16">
        <f>M8-'"0" цикл 24.06'!M7</f>
        <v>545.91233354311657</v>
      </c>
      <c r="P8" s="16">
        <f>N8-'"0" цикл 24.06'!N7</f>
        <v>-795.19852328271327</v>
      </c>
      <c r="Q8" s="16">
        <f t="shared" si="8"/>
        <v>964.55221079291448</v>
      </c>
      <c r="R8" s="16">
        <f t="shared" si="9"/>
        <v>-55.529983016096239</v>
      </c>
      <c r="S8" s="16">
        <f t="shared" si="10"/>
        <v>304.47001698390375</v>
      </c>
    </row>
    <row r="9" spans="1:19" x14ac:dyDescent="0.45">
      <c r="A9" s="7">
        <v>2.5</v>
      </c>
      <c r="B9" s="11" t="s">
        <v>115</v>
      </c>
      <c r="C9" s="11" t="s">
        <v>116</v>
      </c>
      <c r="D9" s="8">
        <f t="shared" si="3"/>
        <v>-1837</v>
      </c>
      <c r="E9" s="8">
        <f t="shared" si="0"/>
        <v>-181.7248708827984</v>
      </c>
      <c r="F9" s="11">
        <v>-3558</v>
      </c>
      <c r="G9" s="11">
        <v>171</v>
      </c>
      <c r="H9" s="8">
        <f t="shared" si="11"/>
        <v>-1864.5</v>
      </c>
      <c r="I9" s="8">
        <f t="shared" si="1"/>
        <v>-183.64104081530374</v>
      </c>
      <c r="J9" s="16">
        <f t="shared" si="4"/>
        <v>258.35626675019478</v>
      </c>
      <c r="K9" s="16">
        <f t="shared" si="2"/>
        <v>45.300486279332638</v>
      </c>
      <c r="L9" s="16">
        <f t="shared" si="5"/>
        <v>225.30048627933263</v>
      </c>
      <c r="M9" s="16">
        <f t="shared" si="6"/>
        <v>-181.7248708827984</v>
      </c>
      <c r="N9" s="16">
        <f t="shared" si="7"/>
        <v>-183.64104081530374</v>
      </c>
      <c r="O9" s="16">
        <f>M9-'"0" цикл 24.06'!M8</f>
        <v>549.50854456071329</v>
      </c>
      <c r="P9" s="16">
        <f>N9-'"0" цикл 24.06'!N8</f>
        <v>-794.29799196503689</v>
      </c>
      <c r="Q9" s="16">
        <f t="shared" si="8"/>
        <v>965.85140709372217</v>
      </c>
      <c r="R9" s="16">
        <f t="shared" si="9"/>
        <v>-55.323871393433436</v>
      </c>
      <c r="S9" s="16">
        <f t="shared" si="10"/>
        <v>304.67612860656658</v>
      </c>
    </row>
    <row r="10" spans="1:19" x14ac:dyDescent="0.45">
      <c r="A10" s="7">
        <v>3</v>
      </c>
      <c r="B10" s="11" t="s">
        <v>117</v>
      </c>
      <c r="C10" s="11" t="s">
        <v>118</v>
      </c>
      <c r="D10" s="8">
        <f t="shared" si="3"/>
        <v>-2058</v>
      </c>
      <c r="E10" s="8">
        <f t="shared" si="0"/>
        <v>-177.27191608842742</v>
      </c>
      <c r="F10" s="11">
        <v>-3765</v>
      </c>
      <c r="G10" s="11">
        <v>350</v>
      </c>
      <c r="H10" s="8">
        <f t="shared" si="11"/>
        <v>-2057.5</v>
      </c>
      <c r="I10" s="8">
        <f t="shared" si="1"/>
        <v>-179.12142682325731</v>
      </c>
      <c r="J10" s="16">
        <f t="shared" si="4"/>
        <v>252.01154295163144</v>
      </c>
      <c r="K10" s="16">
        <f t="shared" si="2"/>
        <v>45.297334981427682</v>
      </c>
      <c r="L10" s="16">
        <f t="shared" si="5"/>
        <v>225.2973349814277</v>
      </c>
      <c r="M10" s="16">
        <f t="shared" si="6"/>
        <v>-177.27191608842736</v>
      </c>
      <c r="N10" s="16">
        <f t="shared" si="7"/>
        <v>-179.12142682325734</v>
      </c>
      <c r="O10" s="16">
        <f>M10-'"0" цикл 24.06'!M9</f>
        <v>553.01344676975089</v>
      </c>
      <c r="P10" s="16">
        <f>N10-'"0" цикл 24.06'!N9</f>
        <v>-789.97315186445019</v>
      </c>
      <c r="Q10" s="16">
        <f t="shared" si="8"/>
        <v>964.30361037113914</v>
      </c>
      <c r="R10" s="16">
        <f t="shared" si="9"/>
        <v>-55.006410461610592</v>
      </c>
      <c r="S10" s="16">
        <f t="shared" si="10"/>
        <v>304.99358953838941</v>
      </c>
    </row>
    <row r="11" spans="1:19" x14ac:dyDescent="0.45">
      <c r="A11" s="7">
        <v>3.5</v>
      </c>
      <c r="B11" s="11" t="s">
        <v>119</v>
      </c>
      <c r="C11" s="11" t="s">
        <v>120</v>
      </c>
      <c r="D11" s="8">
        <f t="shared" si="3"/>
        <v>-2136.5</v>
      </c>
      <c r="E11" s="8">
        <f t="shared" si="0"/>
        <v>-172.28326608063912</v>
      </c>
      <c r="F11" s="11">
        <v>-4262</v>
      </c>
      <c r="G11" s="11">
        <v>374</v>
      </c>
      <c r="H11" s="8">
        <f t="shared" si="11"/>
        <v>-2318</v>
      </c>
      <c r="I11" s="8">
        <f t="shared" si="1"/>
        <v>-174.13398878935806</v>
      </c>
      <c r="J11" s="16">
        <f t="shared" si="4"/>
        <v>244.95748574620978</v>
      </c>
      <c r="K11" s="16">
        <f t="shared" si="2"/>
        <v>45.30609789187934</v>
      </c>
      <c r="L11" s="16">
        <f t="shared" si="5"/>
        <v>225.30609789187935</v>
      </c>
      <c r="M11" s="16">
        <f t="shared" si="6"/>
        <v>-172.28326608063909</v>
      </c>
      <c r="N11" s="16">
        <f t="shared" si="7"/>
        <v>-174.13398878935806</v>
      </c>
      <c r="O11" s="16">
        <f>M11-'"0" цикл 24.06'!M10</f>
        <v>555.08753463588187</v>
      </c>
      <c r="P11" s="16">
        <f>N11-'"0" цикл 24.06'!N10</f>
        <v>-783.11373137774262</v>
      </c>
      <c r="Q11" s="16">
        <f t="shared" si="8"/>
        <v>959.89024757026914</v>
      </c>
      <c r="R11" s="16">
        <f t="shared" si="9"/>
        <v>-54.670181157173651</v>
      </c>
      <c r="S11" s="16">
        <f t="shared" si="10"/>
        <v>305.32981884282634</v>
      </c>
    </row>
    <row r="12" spans="1:19" x14ac:dyDescent="0.45">
      <c r="A12" s="7">
        <v>4</v>
      </c>
      <c r="B12" s="11" t="s">
        <v>121</v>
      </c>
      <c r="C12" s="11" t="s">
        <v>122</v>
      </c>
      <c r="D12" s="8">
        <f t="shared" si="3"/>
        <v>-2731.5</v>
      </c>
      <c r="E12" s="8">
        <f t="shared" si="0"/>
        <v>-167.10433654044473</v>
      </c>
      <c r="F12" s="11">
        <v>-4510</v>
      </c>
      <c r="G12" s="11">
        <v>1097</v>
      </c>
      <c r="H12" s="8">
        <f t="shared" si="11"/>
        <v>-2803.5</v>
      </c>
      <c r="I12" s="8">
        <f t="shared" si="1"/>
        <v>-168.51511649701695</v>
      </c>
      <c r="J12" s="16">
        <f t="shared" si="4"/>
        <v>237.3208877840832</v>
      </c>
      <c r="K12" s="16">
        <f t="shared" si="2"/>
        <v>45.240842002813665</v>
      </c>
      <c r="L12" s="16">
        <f t="shared" si="5"/>
        <v>225.24084200281368</v>
      </c>
      <c r="M12" s="16">
        <f t="shared" si="6"/>
        <v>-167.10433654044471</v>
      </c>
      <c r="N12" s="16">
        <f t="shared" si="7"/>
        <v>-168.51511649701698</v>
      </c>
      <c r="O12" s="16">
        <f>M12-'"0" цикл 24.06'!M11</f>
        <v>555.61013848216317</v>
      </c>
      <c r="P12" s="16">
        <f>N12-'"0" цикл 24.06'!N11</f>
        <v>-773.5926333809814</v>
      </c>
      <c r="Q12" s="16">
        <f t="shared" si="8"/>
        <v>952.44327306432797</v>
      </c>
      <c r="R12" s="16">
        <f t="shared" si="9"/>
        <v>-54.313315161928578</v>
      </c>
      <c r="S12" s="16">
        <f t="shared" si="10"/>
        <v>305.68668483807141</v>
      </c>
    </row>
    <row r="13" spans="1:19" x14ac:dyDescent="0.45">
      <c r="A13" s="7">
        <v>4.5</v>
      </c>
      <c r="B13" s="11" t="s">
        <v>123</v>
      </c>
      <c r="C13" s="11" t="s">
        <v>124</v>
      </c>
      <c r="D13" s="8">
        <f t="shared" si="3"/>
        <v>-3916</v>
      </c>
      <c r="E13" s="8">
        <f t="shared" si="0"/>
        <v>-160.48318721840269</v>
      </c>
      <c r="F13" s="11">
        <v>-5668</v>
      </c>
      <c r="G13" s="11">
        <v>2227</v>
      </c>
      <c r="H13" s="8">
        <f t="shared" si="11"/>
        <v>-3947.5</v>
      </c>
      <c r="I13" s="8">
        <f t="shared" si="1"/>
        <v>-161.71944996028762</v>
      </c>
      <c r="J13" s="16">
        <f t="shared" si="4"/>
        <v>227.83334671473108</v>
      </c>
      <c r="K13" s="16">
        <f t="shared" si="2"/>
        <v>45.219837709914366</v>
      </c>
      <c r="L13" s="16">
        <f t="shared" si="5"/>
        <v>225.21983770991437</v>
      </c>
      <c r="M13" s="16">
        <f t="shared" si="6"/>
        <v>-160.48318721840266</v>
      </c>
      <c r="N13" s="16">
        <f t="shared" si="7"/>
        <v>-161.71944996028768</v>
      </c>
      <c r="O13" s="16">
        <f>M13-'"0" цикл 24.06'!M12</f>
        <v>558.02182154286027</v>
      </c>
      <c r="P13" s="16">
        <f>N13-'"0" цикл 24.06'!N12</f>
        <v>-763.81477436997375</v>
      </c>
      <c r="Q13" s="16">
        <f t="shared" si="8"/>
        <v>945.93940760699138</v>
      </c>
      <c r="R13" s="16">
        <f t="shared" si="9"/>
        <v>-53.849175257390819</v>
      </c>
      <c r="S13" s="16">
        <f t="shared" si="10"/>
        <v>306.15082474260919</v>
      </c>
    </row>
    <row r="14" spans="1:19" x14ac:dyDescent="0.45">
      <c r="A14" s="7">
        <v>5</v>
      </c>
      <c r="B14" s="11" t="s">
        <v>125</v>
      </c>
      <c r="C14" s="11" t="s">
        <v>126</v>
      </c>
      <c r="D14" s="8">
        <f t="shared" si="3"/>
        <v>-5273.5</v>
      </c>
      <c r="E14" s="8">
        <f t="shared" si="0"/>
        <v>-150.99110559002344</v>
      </c>
      <c r="F14" s="11">
        <v>-7005</v>
      </c>
      <c r="G14" s="11">
        <v>3515</v>
      </c>
      <c r="H14" s="8">
        <f t="shared" si="11"/>
        <v>-5260</v>
      </c>
      <c r="I14" s="8">
        <f t="shared" si="1"/>
        <v>-152.15102404903928</v>
      </c>
      <c r="J14" s="16">
        <f t="shared" si="4"/>
        <v>214.35542467236263</v>
      </c>
      <c r="K14" s="16">
        <f t="shared" si="2"/>
        <v>45.219230853955821</v>
      </c>
      <c r="L14" s="16">
        <f t="shared" si="5"/>
        <v>225.21923085395582</v>
      </c>
      <c r="M14" s="16">
        <f t="shared" si="6"/>
        <v>-150.99110559002344</v>
      </c>
      <c r="N14" s="16">
        <f t="shared" si="7"/>
        <v>-152.15102404903925</v>
      </c>
      <c r="O14" s="16">
        <f>M14-'"0" цикл 24.06'!M13</f>
        <v>564.94294754947418</v>
      </c>
      <c r="P14" s="16">
        <f>N14-'"0" цикл 24.06'!N13</f>
        <v>-752.69167469194667</v>
      </c>
      <c r="Q14" s="16">
        <f t="shared" si="8"/>
        <v>941.11916946604333</v>
      </c>
      <c r="R14" s="16">
        <f t="shared" si="9"/>
        <v>-53.109442369134847</v>
      </c>
      <c r="S14" s="16">
        <f t="shared" si="10"/>
        <v>306.89055763086515</v>
      </c>
    </row>
    <row r="15" spans="1:19" x14ac:dyDescent="0.45">
      <c r="A15" s="7">
        <v>5.5</v>
      </c>
      <c r="B15" s="11" t="s">
        <v>127</v>
      </c>
      <c r="C15" s="11" t="s">
        <v>128</v>
      </c>
      <c r="D15" s="8">
        <f t="shared" si="3"/>
        <v>-6288.5</v>
      </c>
      <c r="E15" s="8">
        <f t="shared" si="0"/>
        <v>-138.2091734521515</v>
      </c>
      <c r="F15" s="11">
        <v>-8031</v>
      </c>
      <c r="G15" s="11">
        <v>4599</v>
      </c>
      <c r="H15" s="8">
        <f t="shared" si="11"/>
        <v>-6315</v>
      </c>
      <c r="I15" s="8">
        <f t="shared" si="1"/>
        <v>-139.4018061671969</v>
      </c>
      <c r="J15" s="16">
        <f t="shared" si="4"/>
        <v>196.30241768506988</v>
      </c>
      <c r="K15" s="16">
        <f t="shared" si="2"/>
        <v>45.246144445704807</v>
      </c>
      <c r="L15" s="16">
        <f t="shared" si="5"/>
        <v>225.2461444457048</v>
      </c>
      <c r="M15" s="16">
        <f t="shared" si="6"/>
        <v>-138.20917345215156</v>
      </c>
      <c r="N15" s="16">
        <f t="shared" si="7"/>
        <v>-139.40180616719684</v>
      </c>
      <c r="O15" s="16">
        <f>M15-'"0" цикл 24.06'!M14</f>
        <v>577.62452325603044</v>
      </c>
      <c r="P15" s="16">
        <f>N15-'"0" цикл 24.06'!N14</f>
        <v>-740.84117968752594</v>
      </c>
      <c r="Q15" s="16">
        <f t="shared" si="8"/>
        <v>939.41244583386344</v>
      </c>
      <c r="R15" s="16">
        <f t="shared" si="9"/>
        <v>-52.056906992074786</v>
      </c>
      <c r="S15" s="16">
        <f t="shared" si="10"/>
        <v>307.9430930079252</v>
      </c>
    </row>
    <row r="16" spans="1:19" x14ac:dyDescent="0.45">
      <c r="A16" s="7">
        <v>6</v>
      </c>
      <c r="B16" s="11" t="s">
        <v>129</v>
      </c>
      <c r="C16" s="11" t="s">
        <v>130</v>
      </c>
      <c r="D16" s="8">
        <f t="shared" si="3"/>
        <v>-6174.5</v>
      </c>
      <c r="E16" s="8">
        <f t="shared" si="0"/>
        <v>-122.96778065563274</v>
      </c>
      <c r="F16" s="11">
        <v>-7865</v>
      </c>
      <c r="G16" s="11">
        <v>4444</v>
      </c>
      <c r="H16" s="8">
        <f t="shared" si="11"/>
        <v>-6154.5</v>
      </c>
      <c r="I16" s="8">
        <f t="shared" si="1"/>
        <v>-124.09620553572584</v>
      </c>
      <c r="J16" s="16">
        <f t="shared" si="4"/>
        <v>174.70244219167893</v>
      </c>
      <c r="K16" s="16">
        <f t="shared" si="2"/>
        <v>45.261687405582485</v>
      </c>
      <c r="L16" s="16">
        <f t="shared" si="5"/>
        <v>225.26168740558248</v>
      </c>
      <c r="M16" s="16">
        <f t="shared" si="6"/>
        <v>-122.96778065563272</v>
      </c>
      <c r="N16" s="16">
        <f t="shared" si="7"/>
        <v>-124.09620553572584</v>
      </c>
      <c r="O16" s="16">
        <f>M16-'"0" цикл 24.06'!M15</f>
        <v>594.65681396122932</v>
      </c>
      <c r="P16" s="16">
        <f>N16-'"0" цикл 24.06'!N15</f>
        <v>-728.36675462113396</v>
      </c>
      <c r="Q16" s="16">
        <f t="shared" si="8"/>
        <v>940.28445463478943</v>
      </c>
      <c r="R16" s="16">
        <f t="shared" si="9"/>
        <v>-50.77094101946313</v>
      </c>
      <c r="S16" s="16">
        <f t="shared" si="10"/>
        <v>309.22905898053688</v>
      </c>
    </row>
    <row r="17" spans="1:19" x14ac:dyDescent="0.45">
      <c r="A17" s="7">
        <v>6.5</v>
      </c>
      <c r="B17" s="11" t="s">
        <v>131</v>
      </c>
      <c r="C17" s="11" t="s">
        <v>132</v>
      </c>
      <c r="D17" s="8">
        <f t="shared" si="3"/>
        <v>-5283.5</v>
      </c>
      <c r="E17" s="8">
        <f t="shared" si="0"/>
        <v>-108.00260555193182</v>
      </c>
      <c r="F17" s="11">
        <v>-6979</v>
      </c>
      <c r="G17" s="11">
        <v>3516</v>
      </c>
      <c r="H17" s="8">
        <f t="shared" si="11"/>
        <v>-5247.5</v>
      </c>
      <c r="I17" s="8">
        <f t="shared" si="1"/>
        <v>-109.17949015011231</v>
      </c>
      <c r="J17" s="16">
        <f t="shared" si="4"/>
        <v>153.573187358486</v>
      </c>
      <c r="K17" s="16">
        <f t="shared" si="2"/>
        <v>45.310476147799271</v>
      </c>
      <c r="L17" s="16">
        <f t="shared" si="5"/>
        <v>225.31047614779928</v>
      </c>
      <c r="M17" s="16">
        <f t="shared" si="6"/>
        <v>-108.00260555193178</v>
      </c>
      <c r="N17" s="16">
        <f t="shared" si="7"/>
        <v>-109.17949015011233</v>
      </c>
      <c r="O17" s="16">
        <f>M17-'"0" цикл 24.06'!M16</f>
        <v>612.27814952700885</v>
      </c>
      <c r="P17" s="16">
        <f>N17-'"0" цикл 24.06'!N16</f>
        <v>-717.1711922928655</v>
      </c>
      <c r="Q17" s="16">
        <f t="shared" si="8"/>
        <v>942.98412046173314</v>
      </c>
      <c r="R17" s="16">
        <f t="shared" si="9"/>
        <v>-49.511269391482337</v>
      </c>
      <c r="S17" s="16">
        <f t="shared" si="10"/>
        <v>310.48873060851764</v>
      </c>
    </row>
    <row r="18" spans="1:19" x14ac:dyDescent="0.45">
      <c r="A18" s="7">
        <v>7</v>
      </c>
      <c r="B18" s="11" t="s">
        <v>133</v>
      </c>
      <c r="C18" s="11" t="s">
        <v>134</v>
      </c>
      <c r="D18" s="8">
        <f t="shared" si="3"/>
        <v>-3972.5</v>
      </c>
      <c r="E18" s="8">
        <f t="shared" si="0"/>
        <v>-95.196440667108746</v>
      </c>
      <c r="F18" s="11">
        <v>-5692</v>
      </c>
      <c r="G18" s="11">
        <v>2257</v>
      </c>
      <c r="H18" s="8">
        <f t="shared" si="11"/>
        <v>-3974.5</v>
      </c>
      <c r="I18" s="8">
        <f t="shared" si="1"/>
        <v>-96.46056329477338</v>
      </c>
      <c r="J18" s="16">
        <f t="shared" si="4"/>
        <v>135.5249150039628</v>
      </c>
      <c r="K18" s="16">
        <f t="shared" si="2"/>
        <v>45.377903439828913</v>
      </c>
      <c r="L18" s="16">
        <f t="shared" si="5"/>
        <v>225.37790343982891</v>
      </c>
      <c r="M18" s="16">
        <f t="shared" si="6"/>
        <v>-95.196440667108774</v>
      </c>
      <c r="N18" s="16">
        <f t="shared" si="7"/>
        <v>-96.46056329477338</v>
      </c>
      <c r="O18" s="16">
        <f>M18-'"0" цикл 24.06'!M17</f>
        <v>628.27315478135415</v>
      </c>
      <c r="P18" s="16">
        <f>N18-'"0" цикл 24.06'!N17</f>
        <v>-708.48974989507406</v>
      </c>
      <c r="Q18" s="16">
        <f t="shared" si="8"/>
        <v>946.93446590843871</v>
      </c>
      <c r="R18" s="16">
        <f t="shared" si="9"/>
        <v>-48.434092496623634</v>
      </c>
      <c r="S18" s="16">
        <f t="shared" si="10"/>
        <v>311.56590750337637</v>
      </c>
    </row>
    <row r="19" spans="1:19" x14ac:dyDescent="0.45">
      <c r="A19" s="7">
        <v>7.5</v>
      </c>
      <c r="B19" s="11" t="s">
        <v>135</v>
      </c>
      <c r="C19" s="11" t="s">
        <v>136</v>
      </c>
      <c r="D19" s="8">
        <f t="shared" si="3"/>
        <v>-3002</v>
      </c>
      <c r="E19" s="8">
        <f t="shared" si="0"/>
        <v>-85.567424213919381</v>
      </c>
      <c r="F19" s="11">
        <v>-4692</v>
      </c>
      <c r="G19" s="11">
        <v>1275</v>
      </c>
      <c r="H19" s="8">
        <f t="shared" si="11"/>
        <v>-2983.5</v>
      </c>
      <c r="I19" s="8">
        <f t="shared" si="1"/>
        <v>-86.8266996043277</v>
      </c>
      <c r="J19" s="16">
        <f t="shared" si="4"/>
        <v>121.90430612076423</v>
      </c>
      <c r="K19" s="16">
        <f t="shared" si="2"/>
        <v>45.41851706013226</v>
      </c>
      <c r="L19" s="16">
        <f t="shared" si="5"/>
        <v>225.41851706013227</v>
      </c>
      <c r="M19" s="16">
        <f t="shared" si="6"/>
        <v>-85.567424213919395</v>
      </c>
      <c r="N19" s="16">
        <f t="shared" si="7"/>
        <v>-86.826699604327686</v>
      </c>
      <c r="O19" s="16">
        <f>M19-'"0" цикл 24.06'!M18</f>
        <v>639.71076472794743</v>
      </c>
      <c r="P19" s="16">
        <f>N19-'"0" цикл 24.06'!N18</f>
        <v>-701.87286343455025</v>
      </c>
      <c r="Q19" s="16">
        <f t="shared" si="8"/>
        <v>949.66066515078433</v>
      </c>
      <c r="R19" s="16">
        <f t="shared" si="9"/>
        <v>-47.652894879828452</v>
      </c>
      <c r="S19" s="16">
        <f t="shared" si="10"/>
        <v>312.34710512017153</v>
      </c>
    </row>
    <row r="20" spans="1:19" x14ac:dyDescent="0.45">
      <c r="A20" s="7">
        <v>8</v>
      </c>
      <c r="B20" s="11" t="s">
        <v>137</v>
      </c>
      <c r="C20" s="11" t="s">
        <v>138</v>
      </c>
      <c r="D20" s="8">
        <f t="shared" si="3"/>
        <v>-3003</v>
      </c>
      <c r="E20" s="8">
        <f t="shared" si="0"/>
        <v>-78.290627764436962</v>
      </c>
      <c r="F20" s="11">
        <v>-4692</v>
      </c>
      <c r="G20" s="11">
        <v>1309</v>
      </c>
      <c r="H20" s="8">
        <f t="shared" si="11"/>
        <v>-3000.5</v>
      </c>
      <c r="I20" s="8">
        <f t="shared" si="1"/>
        <v>-79.594743700032922</v>
      </c>
      <c r="J20" s="16">
        <f t="shared" si="4"/>
        <v>111.64562517368765</v>
      </c>
      <c r="K20" s="16">
        <f t="shared" si="2"/>
        <v>45.473246122785248</v>
      </c>
      <c r="L20" s="16">
        <f t="shared" si="5"/>
        <v>225.47324612278524</v>
      </c>
      <c r="M20" s="16">
        <f t="shared" si="6"/>
        <v>-78.290627764436962</v>
      </c>
      <c r="N20" s="16">
        <f t="shared" si="7"/>
        <v>-79.594743700032907</v>
      </c>
      <c r="O20" s="16">
        <f>M20-'"0" цикл 24.06'!M19</f>
        <v>648.76258153900278</v>
      </c>
      <c r="P20" s="16">
        <f>N20-'"0" цикл 24.06'!N19</f>
        <v>-697.36094127167758</v>
      </c>
      <c r="Q20" s="16">
        <f t="shared" si="8"/>
        <v>952.47318577294936</v>
      </c>
      <c r="R20" s="16">
        <f t="shared" si="9"/>
        <v>-47.067620132819023</v>
      </c>
      <c r="S20" s="16">
        <f t="shared" si="10"/>
        <v>312.932379867181</v>
      </c>
    </row>
    <row r="21" spans="1:19" x14ac:dyDescent="0.45">
      <c r="A21" s="7">
        <v>8.5</v>
      </c>
      <c r="B21" s="11" t="s">
        <v>139</v>
      </c>
      <c r="C21" s="11" t="s">
        <v>140</v>
      </c>
      <c r="D21" s="8">
        <f t="shared" si="3"/>
        <v>-3498.5</v>
      </c>
      <c r="E21" s="8">
        <f t="shared" si="0"/>
        <v>-71.011407503365533</v>
      </c>
      <c r="F21" s="11">
        <v>-5273</v>
      </c>
      <c r="G21" s="11">
        <v>1785</v>
      </c>
      <c r="H21" s="8">
        <f t="shared" si="11"/>
        <v>-3529</v>
      </c>
      <c r="I21" s="8">
        <f t="shared" si="1"/>
        <v>-72.321582968254702</v>
      </c>
      <c r="J21" s="16">
        <f t="shared" si="4"/>
        <v>101.35596360670243</v>
      </c>
      <c r="K21" s="16">
        <f t="shared" si="2"/>
        <v>45.523713582546556</v>
      </c>
      <c r="L21" s="16">
        <f t="shared" si="5"/>
        <v>225.52371358254655</v>
      </c>
      <c r="M21" s="16">
        <f t="shared" si="6"/>
        <v>-71.011407503365561</v>
      </c>
      <c r="N21" s="16">
        <f t="shared" si="7"/>
        <v>-72.321582968254674</v>
      </c>
      <c r="O21" s="16">
        <f>M21-'"0" цикл 24.06'!M20</f>
        <v>657.77088634739846</v>
      </c>
      <c r="P21" s="16">
        <f>N21-'"0" цикл 24.06'!N20</f>
        <v>-693.02864337286917</v>
      </c>
      <c r="Q21" s="16">
        <f t="shared" si="8"/>
        <v>955.48481906385177</v>
      </c>
      <c r="R21" s="16">
        <f t="shared" si="9"/>
        <v>-46.495160501384973</v>
      </c>
      <c r="S21" s="16">
        <f t="shared" si="10"/>
        <v>313.50483949861501</v>
      </c>
    </row>
    <row r="22" spans="1:19" x14ac:dyDescent="0.45">
      <c r="A22" s="7">
        <v>9</v>
      </c>
      <c r="B22" s="11" t="s">
        <v>141</v>
      </c>
      <c r="C22" s="11" t="s">
        <v>142</v>
      </c>
      <c r="D22" s="8">
        <f t="shared" si="3"/>
        <v>-3913</v>
      </c>
      <c r="E22" s="8">
        <f t="shared" si="0"/>
        <v>-62.531210800945146</v>
      </c>
      <c r="F22" s="11">
        <v>-5626</v>
      </c>
      <c r="G22" s="11">
        <v>2201</v>
      </c>
      <c r="H22" s="8">
        <f t="shared" si="11"/>
        <v>-3913.5</v>
      </c>
      <c r="I22" s="8">
        <f t="shared" si="1"/>
        <v>-63.767462906961811</v>
      </c>
      <c r="J22" s="16">
        <f t="shared" si="4"/>
        <v>89.310926822102729</v>
      </c>
      <c r="K22" s="16">
        <f t="shared" si="2"/>
        <v>45.56081163777192</v>
      </c>
      <c r="L22" s="16">
        <f t="shared" si="5"/>
        <v>225.56081163777191</v>
      </c>
      <c r="M22" s="16">
        <f t="shared" si="6"/>
        <v>-62.531210800945161</v>
      </c>
      <c r="N22" s="16">
        <f t="shared" si="7"/>
        <v>-63.767462906961804</v>
      </c>
      <c r="O22" s="16">
        <f>M22-'"0" цикл 24.06'!M21</f>
        <v>668.19239335490977</v>
      </c>
      <c r="P22" s="16">
        <f>N22-'"0" цикл 24.06'!N21</f>
        <v>-687.38169216988854</v>
      </c>
      <c r="Q22" s="16">
        <f t="shared" si="8"/>
        <v>958.6316629799486</v>
      </c>
      <c r="R22" s="16">
        <f t="shared" si="9"/>
        <v>-45.811016096106158</v>
      </c>
      <c r="S22" s="16">
        <f t="shared" si="10"/>
        <v>314.18898390389381</v>
      </c>
    </row>
    <row r="23" spans="1:19" x14ac:dyDescent="0.45">
      <c r="A23" s="7">
        <v>9.5</v>
      </c>
      <c r="B23" s="11" t="s">
        <v>143</v>
      </c>
      <c r="C23" s="11" t="s">
        <v>144</v>
      </c>
      <c r="D23" s="8">
        <f t="shared" si="3"/>
        <v>-3790.5</v>
      </c>
      <c r="E23" s="8">
        <f t="shared" si="0"/>
        <v>-53.046400068222404</v>
      </c>
      <c r="F23" s="11">
        <v>-5529</v>
      </c>
      <c r="G23" s="11">
        <v>2057</v>
      </c>
      <c r="H23" s="8">
        <f t="shared" si="11"/>
        <v>-3793</v>
      </c>
      <c r="I23" s="8">
        <f t="shared" si="1"/>
        <v>-54.281440358156942</v>
      </c>
      <c r="J23" s="16">
        <f t="shared" si="4"/>
        <v>75.897268248297678</v>
      </c>
      <c r="K23" s="16">
        <f t="shared" si="2"/>
        <v>45.659283488457241</v>
      </c>
      <c r="L23" s="16">
        <f t="shared" si="5"/>
        <v>225.65928348845725</v>
      </c>
      <c r="M23" s="16">
        <f t="shared" si="6"/>
        <v>-53.046400068222397</v>
      </c>
      <c r="N23" s="16">
        <f t="shared" si="7"/>
        <v>-54.281440358156942</v>
      </c>
      <c r="O23" s="16">
        <f>M23-'"0" цикл 24.06'!M22</f>
        <v>679.5683365452503</v>
      </c>
      <c r="P23" s="16">
        <f>N23-'"0" цикл 24.06'!N22</f>
        <v>-680.91919171629388</v>
      </c>
      <c r="Q23" s="16">
        <f t="shared" si="8"/>
        <v>962.01043117133065</v>
      </c>
      <c r="R23" s="16">
        <f t="shared" si="9"/>
        <v>-45.056890102254549</v>
      </c>
      <c r="S23" s="16">
        <f t="shared" si="10"/>
        <v>314.94310989774544</v>
      </c>
    </row>
    <row r="24" spans="1:19" x14ac:dyDescent="0.45">
      <c r="A24" s="7">
        <v>10</v>
      </c>
      <c r="B24" s="11" t="s">
        <v>145</v>
      </c>
      <c r="C24" s="11" t="s">
        <v>146</v>
      </c>
      <c r="D24" s="8">
        <f t="shared" si="3"/>
        <v>-3258.5</v>
      </c>
      <c r="E24" s="8">
        <f t="shared" si="0"/>
        <v>-43.858485937705197</v>
      </c>
      <c r="F24" s="11">
        <v>-4984</v>
      </c>
      <c r="G24" s="11">
        <v>1527</v>
      </c>
      <c r="H24" s="8">
        <f t="shared" si="11"/>
        <v>-3255.5</v>
      </c>
      <c r="I24" s="8">
        <f t="shared" si="1"/>
        <v>-45.087467080559463</v>
      </c>
      <c r="J24" s="16">
        <f t="shared" si="4"/>
        <v>62.900289955519426</v>
      </c>
      <c r="K24" s="16">
        <f t="shared" si="2"/>
        <v>45.791615015753926</v>
      </c>
      <c r="L24" s="16">
        <f t="shared" si="5"/>
        <v>225.79161501575393</v>
      </c>
      <c r="M24" s="16">
        <f t="shared" si="6"/>
        <v>-43.858485937705183</v>
      </c>
      <c r="N24" s="16">
        <f t="shared" si="7"/>
        <v>-45.087467080559485</v>
      </c>
      <c r="O24" s="16">
        <f>M24-'"0" цикл 24.06'!M23</f>
        <v>690.33528621040045</v>
      </c>
      <c r="P24" s="16">
        <f>N24-'"0" цикл 24.06'!N23</f>
        <v>-674.14067200613215</v>
      </c>
      <c r="Q24" s="16">
        <f t="shared" si="8"/>
        <v>964.89815682281983</v>
      </c>
      <c r="R24" s="16">
        <f t="shared" si="9"/>
        <v>-44.320003057981403</v>
      </c>
      <c r="S24" s="16">
        <f t="shared" si="10"/>
        <v>315.67999694201859</v>
      </c>
    </row>
    <row r="25" spans="1:19" x14ac:dyDescent="0.45">
      <c r="A25" s="7">
        <v>10.5</v>
      </c>
      <c r="B25" s="11" t="s">
        <v>147</v>
      </c>
      <c r="C25" s="11" t="s">
        <v>148</v>
      </c>
      <c r="D25" s="8">
        <f t="shared" si="3"/>
        <v>-2736.5</v>
      </c>
      <c r="E25" s="8">
        <f t="shared" si="0"/>
        <v>-35.959987580390411</v>
      </c>
      <c r="F25" s="11">
        <v>-4436</v>
      </c>
      <c r="G25" s="11">
        <v>1003</v>
      </c>
      <c r="H25" s="8">
        <f t="shared" si="11"/>
        <v>-2719.5</v>
      </c>
      <c r="I25" s="8">
        <f t="shared" si="1"/>
        <v>-37.196240021868263</v>
      </c>
      <c r="J25" s="16">
        <f t="shared" si="4"/>
        <v>51.736650244737213</v>
      </c>
      <c r="K25" s="16">
        <f t="shared" si="2"/>
        <v>45.968137755275222</v>
      </c>
      <c r="L25" s="16">
        <f t="shared" si="5"/>
        <v>225.96813775527522</v>
      </c>
      <c r="M25" s="16">
        <f t="shared" si="6"/>
        <v>-35.959987580390418</v>
      </c>
      <c r="N25" s="16">
        <f t="shared" si="7"/>
        <v>-37.196240021868263</v>
      </c>
      <c r="O25" s="16">
        <f>M25-'"0" цикл 24.06'!M24</f>
        <v>697.81902651109135</v>
      </c>
      <c r="P25" s="16">
        <f>N25-'"0" цикл 24.06'!N24</f>
        <v>-667.04078174806762</v>
      </c>
      <c r="Q25" s="16">
        <f t="shared" si="8"/>
        <v>965.34698335674125</v>
      </c>
      <c r="R25" s="16">
        <f t="shared" si="9"/>
        <v>-43.70817157559803</v>
      </c>
      <c r="S25" s="16">
        <f t="shared" si="10"/>
        <v>316.29182842440196</v>
      </c>
    </row>
    <row r="26" spans="1:19" x14ac:dyDescent="0.45">
      <c r="A26" s="7">
        <v>11</v>
      </c>
      <c r="B26" s="11" t="s">
        <v>149</v>
      </c>
      <c r="C26" s="11" t="s">
        <v>150</v>
      </c>
      <c r="D26" s="8">
        <f t="shared" si="3"/>
        <v>-2344.5</v>
      </c>
      <c r="E26" s="8">
        <f t="shared" si="0"/>
        <v>-29.326718981016064</v>
      </c>
      <c r="F26" s="11">
        <v>-4117</v>
      </c>
      <c r="G26" s="11">
        <v>601</v>
      </c>
      <c r="H26" s="8">
        <f t="shared" si="11"/>
        <v>-2359</v>
      </c>
      <c r="I26" s="8">
        <f t="shared" si="1"/>
        <v>-30.604176981284045</v>
      </c>
      <c r="J26" s="16">
        <f t="shared" si="4"/>
        <v>42.387168988896207</v>
      </c>
      <c r="K26" s="16">
        <f t="shared" si="2"/>
        <v>46.221104217842246</v>
      </c>
      <c r="L26" s="16">
        <f t="shared" si="5"/>
        <v>226.22110421784225</v>
      </c>
      <c r="M26" s="16">
        <f t="shared" si="6"/>
        <v>-29.326718981016064</v>
      </c>
      <c r="N26" s="16">
        <f t="shared" si="7"/>
        <v>-30.604176981284049</v>
      </c>
      <c r="O26" s="16">
        <f>M26-'"0" цикл 24.06'!M25</f>
        <v>704.79214947475486</v>
      </c>
      <c r="P26" s="16">
        <f>N26-'"0" цикл 24.06'!N25</f>
        <v>-661.94739675514745</v>
      </c>
      <c r="Q26" s="16">
        <f t="shared" si="8"/>
        <v>966.90554349024274</v>
      </c>
      <c r="R26" s="16">
        <f t="shared" si="9"/>
        <v>-43.204471464853398</v>
      </c>
      <c r="S26" s="16">
        <f t="shared" si="10"/>
        <v>316.79552853514662</v>
      </c>
    </row>
    <row r="27" spans="1:19" x14ac:dyDescent="0.45">
      <c r="A27" s="7">
        <v>11.5</v>
      </c>
      <c r="B27" s="11" t="s">
        <v>151</v>
      </c>
      <c r="C27" s="11" t="s">
        <v>152</v>
      </c>
      <c r="D27" s="8">
        <f t="shared" si="3"/>
        <v>-2394.5</v>
      </c>
      <c r="E27" s="8">
        <f t="shared" si="0"/>
        <v>-23.643612978802462</v>
      </c>
      <c r="F27" s="11">
        <v>-4106</v>
      </c>
      <c r="G27" s="11">
        <v>670</v>
      </c>
      <c r="H27" s="8">
        <f t="shared" si="11"/>
        <v>-2388</v>
      </c>
      <c r="I27" s="8">
        <f t="shared" si="1"/>
        <v>-24.88592427179745</v>
      </c>
      <c r="J27" s="16">
        <f t="shared" si="4"/>
        <v>34.326806748560713</v>
      </c>
      <c r="K27" s="16">
        <f t="shared" si="2"/>
        <v>46.466398730814802</v>
      </c>
      <c r="L27" s="16">
        <f t="shared" si="5"/>
        <v>226.4663987308148</v>
      </c>
      <c r="M27" s="16">
        <f t="shared" si="6"/>
        <v>-23.643612978802452</v>
      </c>
      <c r="N27" s="16">
        <f t="shared" si="7"/>
        <v>-24.885924271797453</v>
      </c>
      <c r="O27" s="16">
        <f>M27-'"0" цикл 24.06'!M26</f>
        <v>711.88036487880231</v>
      </c>
      <c r="P27" s="16">
        <f>N27-'"0" цикл 24.06'!N26</f>
        <v>-658.63162899764666</v>
      </c>
      <c r="Q27" s="16">
        <f t="shared" si="8"/>
        <v>969.82950904582731</v>
      </c>
      <c r="R27" s="16">
        <f t="shared" si="9"/>
        <v>-42.774996470065702</v>
      </c>
      <c r="S27" s="16">
        <f t="shared" si="10"/>
        <v>317.22500352993427</v>
      </c>
    </row>
    <row r="28" spans="1:19" x14ac:dyDescent="0.45">
      <c r="A28" s="7">
        <v>12</v>
      </c>
      <c r="B28" s="11" t="s">
        <v>153</v>
      </c>
      <c r="C28" s="11" t="s">
        <v>154</v>
      </c>
      <c r="D28" s="8">
        <f t="shared" si="3"/>
        <v>-2150</v>
      </c>
      <c r="E28" s="8">
        <f t="shared" si="0"/>
        <v>-17.839311553905922</v>
      </c>
      <c r="F28" s="11">
        <v>-3862</v>
      </c>
      <c r="G28" s="11">
        <v>414</v>
      </c>
      <c r="H28" s="8">
        <f t="shared" si="11"/>
        <v>-2138</v>
      </c>
      <c r="I28" s="8">
        <f t="shared" si="1"/>
        <v>-19.097378232714043</v>
      </c>
      <c r="J28" s="16">
        <f t="shared" si="4"/>
        <v>26.133329142699395</v>
      </c>
      <c r="K28" s="16">
        <f t="shared" si="2"/>
        <v>46.950744829290834</v>
      </c>
      <c r="L28" s="16">
        <f t="shared" si="5"/>
        <v>226.95074482929084</v>
      </c>
      <c r="M28" s="16">
        <f t="shared" si="6"/>
        <v>-17.839311553905919</v>
      </c>
      <c r="N28" s="16">
        <f t="shared" si="7"/>
        <v>-19.097378232714046</v>
      </c>
      <c r="O28" s="16">
        <f>M28-'"0" цикл 24.06'!M27</f>
        <v>720.05115424921905</v>
      </c>
      <c r="P28" s="16">
        <f>N28-'"0" цикл 24.06'!N27</f>
        <v>-656.22220859235961</v>
      </c>
      <c r="Q28" s="16">
        <f t="shared" si="8"/>
        <v>974.21827727951552</v>
      </c>
      <c r="R28" s="16">
        <f t="shared" si="9"/>
        <v>-42.344633268287815</v>
      </c>
      <c r="S28" s="16">
        <f t="shared" si="10"/>
        <v>317.65536673171221</v>
      </c>
    </row>
    <row r="29" spans="1:19" x14ac:dyDescent="0.45">
      <c r="A29" s="7">
        <v>12.5</v>
      </c>
      <c r="B29" s="11" t="s">
        <v>155</v>
      </c>
      <c r="C29" s="11" t="s">
        <v>156</v>
      </c>
      <c r="D29" s="8">
        <f t="shared" si="3"/>
        <v>-2247</v>
      </c>
      <c r="E29" s="8">
        <f t="shared" si="0"/>
        <v>-12.627658856850251</v>
      </c>
      <c r="F29" s="11">
        <v>-3978</v>
      </c>
      <c r="G29" s="11">
        <v>515</v>
      </c>
      <c r="H29" s="8">
        <f t="shared" si="11"/>
        <v>-2246.5</v>
      </c>
      <c r="I29" s="8">
        <f t="shared" si="1"/>
        <v>-13.914812785103628</v>
      </c>
      <c r="J29" s="16">
        <f t="shared" si="4"/>
        <v>18.790417319726348</v>
      </c>
      <c r="K29" s="16">
        <f t="shared" si="2"/>
        <v>47.776333687031688</v>
      </c>
      <c r="L29" s="16">
        <f t="shared" si="5"/>
        <v>227.77633368703169</v>
      </c>
      <c r="M29" s="16">
        <f t="shared" si="6"/>
        <v>-12.627658856850246</v>
      </c>
      <c r="N29" s="16">
        <f t="shared" si="7"/>
        <v>-13.914812785103631</v>
      </c>
      <c r="O29" s="16">
        <f>M29-'"0" цикл 24.06'!M28</f>
        <v>728.74349865630256</v>
      </c>
      <c r="P29" s="16">
        <f>N29-'"0" цикл 24.06'!N28</f>
        <v>-655.5311390849588</v>
      </c>
      <c r="Q29" s="16">
        <f t="shared" si="8"/>
        <v>980.19802139356113</v>
      </c>
      <c r="R29" s="16">
        <f t="shared" si="9"/>
        <v>-41.972526658968064</v>
      </c>
      <c r="S29" s="16">
        <f t="shared" si="10"/>
        <v>318.02747334103196</v>
      </c>
    </row>
    <row r="30" spans="1:19" x14ac:dyDescent="0.45">
      <c r="A30" s="7">
        <v>13</v>
      </c>
      <c r="B30" s="11" t="s">
        <v>157</v>
      </c>
      <c r="C30" s="11" t="s">
        <v>158</v>
      </c>
      <c r="D30" s="8">
        <f t="shared" si="3"/>
        <v>-1825.5</v>
      </c>
      <c r="E30" s="8">
        <f t="shared" si="0"/>
        <v>-7.1808848828924772</v>
      </c>
      <c r="F30" s="11">
        <v>-3529</v>
      </c>
      <c r="G30" s="11">
        <v>85</v>
      </c>
      <c r="H30" s="8">
        <f t="shared" si="11"/>
        <v>-1807</v>
      </c>
      <c r="I30" s="8">
        <f t="shared" si="1"/>
        <v>-8.4692507734468183</v>
      </c>
      <c r="J30" s="16">
        <f t="shared" si="4"/>
        <v>11.103752355167293</v>
      </c>
      <c r="K30" s="16">
        <f t="shared" si="2"/>
        <v>49.706147467571661</v>
      </c>
      <c r="L30" s="16">
        <f t="shared" si="5"/>
        <v>229.70614746757167</v>
      </c>
      <c r="M30" s="16">
        <f t="shared" si="6"/>
        <v>-7.1808848828924727</v>
      </c>
      <c r="N30" s="16">
        <f t="shared" si="7"/>
        <v>-8.4692507734468201</v>
      </c>
      <c r="O30" s="16">
        <f>M30-'"0" цикл 24.06'!M29</f>
        <v>738.53148219265722</v>
      </c>
      <c r="P30" s="16">
        <f>N30-'"0" цикл 24.06'!N29</f>
        <v>-655.6543954858663</v>
      </c>
      <c r="Q30" s="16">
        <f t="shared" si="8"/>
        <v>987.57857232203048</v>
      </c>
      <c r="R30" s="16">
        <f t="shared" si="9"/>
        <v>-41.598067767252637</v>
      </c>
      <c r="S30" s="16">
        <f t="shared" si="10"/>
        <v>318.40193223274736</v>
      </c>
    </row>
    <row r="31" spans="1:19" x14ac:dyDescent="0.45">
      <c r="A31" s="7">
        <v>13.5</v>
      </c>
      <c r="B31" s="11" t="s">
        <v>159</v>
      </c>
      <c r="C31" s="11" t="s">
        <v>160</v>
      </c>
      <c r="D31" s="8">
        <f t="shared" si="3"/>
        <v>-1092</v>
      </c>
      <c r="E31" s="8">
        <f t="shared" si="0"/>
        <v>-2.755805776543033</v>
      </c>
      <c r="F31" s="11">
        <v>-2796</v>
      </c>
      <c r="G31" s="11">
        <v>-647</v>
      </c>
      <c r="H31" s="8">
        <f t="shared" si="11"/>
        <v>-1074.5</v>
      </c>
      <c r="I31" s="8">
        <f t="shared" si="1"/>
        <v>-4.0890151940445794</v>
      </c>
      <c r="J31" s="16">
        <f t="shared" si="4"/>
        <v>4.930974623252018</v>
      </c>
      <c r="K31" s="16">
        <f t="shared" si="2"/>
        <v>56.021865085068292</v>
      </c>
      <c r="L31" s="16">
        <f t="shared" si="5"/>
        <v>236.0218650850683</v>
      </c>
      <c r="M31" s="16">
        <f t="shared" si="6"/>
        <v>-2.7558057765430344</v>
      </c>
      <c r="N31" s="16">
        <f t="shared" si="7"/>
        <v>-4.0890151940445785</v>
      </c>
      <c r="O31" s="16">
        <f>M31-'"0" цикл 24.06'!M30</f>
        <v>745.6339320579458</v>
      </c>
      <c r="P31" s="16">
        <f>N31-'"0" цикл 24.06'!N30</f>
        <v>-655.00525136829094</v>
      </c>
      <c r="Q31" s="16">
        <f t="shared" si="8"/>
        <v>992.47258902008537</v>
      </c>
      <c r="R31" s="16">
        <f t="shared" si="9"/>
        <v>-41.297824360738929</v>
      </c>
      <c r="S31" s="16">
        <f t="shared" si="10"/>
        <v>318.7021756392611</v>
      </c>
    </row>
    <row r="32" spans="1:19" x14ac:dyDescent="0.45">
      <c r="A32" s="7">
        <v>14</v>
      </c>
      <c r="B32" s="11" t="s">
        <v>161</v>
      </c>
      <c r="C32" s="11" t="s">
        <v>162</v>
      </c>
      <c r="D32" s="8">
        <f t="shared" si="3"/>
        <v>-441.5</v>
      </c>
      <c r="E32" s="8">
        <f t="shared" si="0"/>
        <v>-0.10873544315589911</v>
      </c>
      <c r="F32" s="11">
        <v>-2167</v>
      </c>
      <c r="G32" s="11">
        <v>-1278</v>
      </c>
      <c r="H32" s="8">
        <f t="shared" si="11"/>
        <v>-444.5</v>
      </c>
      <c r="I32" s="8">
        <f t="shared" si="1"/>
        <v>-1.4843654727375122</v>
      </c>
      <c r="J32" s="16">
        <f t="shared" si="4"/>
        <v>1.4883427875504918</v>
      </c>
      <c r="K32" s="16">
        <f t="shared" si="2"/>
        <v>85.810348570527722</v>
      </c>
      <c r="L32" s="16">
        <f t="shared" si="5"/>
        <v>265.81034857052771</v>
      </c>
      <c r="M32" s="16">
        <f t="shared" si="6"/>
        <v>-0.1087354431559022</v>
      </c>
      <c r="N32" s="16">
        <f t="shared" si="7"/>
        <v>-1.4843654727375122</v>
      </c>
      <c r="O32" s="16">
        <f>M32-'"0" цикл 24.06'!M31</f>
        <v>750.26327913713294</v>
      </c>
      <c r="P32" s="16">
        <f>N32-'"0" цикл 24.06'!N31</f>
        <v>-655.31637580224344</v>
      </c>
      <c r="Q32" s="16">
        <f t="shared" si="8"/>
        <v>996.15989701261844</v>
      </c>
      <c r="R32" s="16">
        <f t="shared" si="9"/>
        <v>-41.135540900038315</v>
      </c>
      <c r="S32" s="16">
        <f t="shared" si="10"/>
        <v>318.86445909996166</v>
      </c>
    </row>
    <row r="33" spans="1:19" x14ac:dyDescent="0.45">
      <c r="A33" s="7">
        <v>14.5</v>
      </c>
      <c r="B33" s="11" t="s">
        <v>163</v>
      </c>
      <c r="C33" s="11" t="s">
        <v>164</v>
      </c>
      <c r="D33" s="8">
        <f t="shared" si="3"/>
        <v>-644.5</v>
      </c>
      <c r="E33" s="8">
        <f t="shared" si="0"/>
        <v>0.96148994068019089</v>
      </c>
      <c r="F33" s="11">
        <v>-2401</v>
      </c>
      <c r="G33" s="11">
        <v>-1116</v>
      </c>
      <c r="H33" s="8">
        <f t="shared" si="11"/>
        <v>-642.5</v>
      </c>
      <c r="I33" s="8">
        <f t="shared" si="1"/>
        <v>-0.40686790045716359</v>
      </c>
      <c r="J33" s="16">
        <f t="shared" si="4"/>
        <v>1.0440327554495679</v>
      </c>
      <c r="K33" s="16">
        <f t="shared" si="2"/>
        <v>157.06366945794642</v>
      </c>
      <c r="L33" s="16">
        <f t="shared" si="5"/>
        <v>337.06366945794639</v>
      </c>
      <c r="M33" s="16">
        <f t="shared" si="6"/>
        <v>0.96148994068019078</v>
      </c>
      <c r="N33" s="16">
        <f t="shared" si="7"/>
        <v>-0.4068679004571637</v>
      </c>
      <c r="O33" s="16">
        <f>M33-'"0" цикл 24.06'!M32</f>
        <v>752.22277354672099</v>
      </c>
      <c r="P33" s="16">
        <f>N33-'"0" цикл 24.06'!N32</f>
        <v>-656.22515465713548</v>
      </c>
      <c r="Q33" s="16">
        <f t="shared" si="8"/>
        <v>998.23371744652206</v>
      </c>
      <c r="R33" s="16">
        <f t="shared" si="9"/>
        <v>-41.100839318939336</v>
      </c>
      <c r="S33" s="16">
        <f t="shared" si="10"/>
        <v>318.89916068106066</v>
      </c>
    </row>
    <row r="34" spans="1:19" x14ac:dyDescent="0.45">
      <c r="A34" s="7">
        <v>15</v>
      </c>
      <c r="B34" s="11" t="s">
        <v>165</v>
      </c>
      <c r="C34" s="11" t="s">
        <v>166</v>
      </c>
      <c r="D34" s="8">
        <f t="shared" si="3"/>
        <v>-879</v>
      </c>
      <c r="E34" s="8">
        <f t="shared" si="0"/>
        <v>2.523799485842833</v>
      </c>
      <c r="F34" s="11">
        <v>-2618</v>
      </c>
      <c r="G34" s="11">
        <v>-851</v>
      </c>
      <c r="H34" s="8">
        <f t="shared" si="11"/>
        <v>-883.5</v>
      </c>
      <c r="I34" s="8">
        <f t="shared" si="1"/>
        <v>1.1505935314878468</v>
      </c>
      <c r="J34" s="16">
        <f t="shared" si="4"/>
        <v>2.7737031779630321</v>
      </c>
      <c r="K34" s="16">
        <f t="shared" si="2"/>
        <v>204.50811728000249</v>
      </c>
      <c r="L34" s="16">
        <f t="shared" si="5"/>
        <v>24.508117280002466</v>
      </c>
      <c r="M34" s="16">
        <f t="shared" si="6"/>
        <v>2.5237994858428339</v>
      </c>
      <c r="N34" s="16">
        <f t="shared" si="7"/>
        <v>1.1505935314878453</v>
      </c>
      <c r="O34" s="16">
        <f>M34-'"0" цикл 24.06'!M33</f>
        <v>753.96058564084126</v>
      </c>
      <c r="P34" s="16">
        <f>N34-'"0" цикл 24.06'!N33</f>
        <v>-655.78264256431567</v>
      </c>
      <c r="Q34" s="16">
        <f t="shared" si="8"/>
        <v>999.25344081895321</v>
      </c>
      <c r="R34" s="16">
        <f t="shared" si="9"/>
        <v>-41.016214961015407</v>
      </c>
      <c r="S34" s="16">
        <f t="shared" si="10"/>
        <v>318.98378503898459</v>
      </c>
    </row>
    <row r="35" spans="1:19" x14ac:dyDescent="0.45">
      <c r="A35" s="7">
        <v>15.5</v>
      </c>
      <c r="B35" s="11" t="s">
        <v>167</v>
      </c>
      <c r="C35" s="11" t="s">
        <v>168</v>
      </c>
      <c r="D35" s="8">
        <f t="shared" si="3"/>
        <v>-1253.5</v>
      </c>
      <c r="E35" s="8">
        <f t="shared" si="0"/>
        <v>4.6545491650637052</v>
      </c>
      <c r="F35" s="11">
        <v>-2997</v>
      </c>
      <c r="G35" s="11">
        <v>-480</v>
      </c>
      <c r="H35" s="8">
        <f t="shared" si="11"/>
        <v>-1258.5</v>
      </c>
      <c r="I35" s="8">
        <f t="shared" si="1"/>
        <v>3.2922514189757979</v>
      </c>
      <c r="J35" s="16">
        <f t="shared" si="4"/>
        <v>5.7012057791087827</v>
      </c>
      <c r="K35" s="16">
        <f t="shared" si="2"/>
        <v>215.27249797146291</v>
      </c>
      <c r="L35" s="16">
        <f t="shared" si="5"/>
        <v>35.27249797146294</v>
      </c>
      <c r="M35" s="16">
        <f t="shared" si="6"/>
        <v>4.6545491650637025</v>
      </c>
      <c r="N35" s="16">
        <f t="shared" si="7"/>
        <v>3.292251418975801</v>
      </c>
      <c r="O35" s="16">
        <f>M35-'"0" цикл 24.06'!M34</f>
        <v>755.38156832929087</v>
      </c>
      <c r="P35" s="16">
        <f>N35-'"0" цикл 24.06'!N34</f>
        <v>-653.90157201862701</v>
      </c>
      <c r="Q35" s="16">
        <f t="shared" si="8"/>
        <v>999.09387930266632</v>
      </c>
      <c r="R35" s="16">
        <f t="shared" si="9"/>
        <v>-40.881340706418065</v>
      </c>
      <c r="S35" s="16">
        <f t="shared" si="10"/>
        <v>319.11865929358191</v>
      </c>
    </row>
    <row r="36" spans="1:19" x14ac:dyDescent="0.45">
      <c r="A36" s="7">
        <v>16</v>
      </c>
      <c r="B36" s="11" t="s">
        <v>169</v>
      </c>
      <c r="C36" s="11" t="s">
        <v>170</v>
      </c>
      <c r="D36" s="8">
        <f t="shared" si="3"/>
        <v>-1546.5</v>
      </c>
      <c r="E36" s="8">
        <f t="shared" si="0"/>
        <v>7.6931002082328206</v>
      </c>
      <c r="F36" s="11">
        <v>-3257</v>
      </c>
      <c r="G36" s="11">
        <v>-195</v>
      </c>
      <c r="H36" s="8">
        <f t="shared" si="11"/>
        <v>-1531</v>
      </c>
      <c r="I36" s="8">
        <f t="shared" si="1"/>
        <v>6.3429225794674515</v>
      </c>
      <c r="J36" s="16">
        <f t="shared" si="4"/>
        <v>9.9707801932963047</v>
      </c>
      <c r="K36" s="16">
        <f t="shared" si="2"/>
        <v>219.50541022898531</v>
      </c>
      <c r="L36" s="16">
        <f t="shared" si="5"/>
        <v>39.505410228985284</v>
      </c>
      <c r="M36" s="16">
        <f t="shared" si="6"/>
        <v>7.6931002082328233</v>
      </c>
      <c r="N36" s="16">
        <f t="shared" si="7"/>
        <v>6.3429225794674471</v>
      </c>
      <c r="O36" s="16">
        <f>M36-'"0" цикл 24.06'!M35</f>
        <v>757.95966764390812</v>
      </c>
      <c r="P36" s="16">
        <f>N36-'"0" цикл 24.06'!N35</f>
        <v>-651.25559903425392</v>
      </c>
      <c r="Q36" s="16">
        <f t="shared" si="8"/>
        <v>999.31812404675645</v>
      </c>
      <c r="R36" s="16">
        <f t="shared" si="9"/>
        <v>-40.669895854207589</v>
      </c>
      <c r="S36" s="16">
        <f t="shared" si="10"/>
        <v>319.3301041457924</v>
      </c>
    </row>
    <row r="37" spans="1:19" x14ac:dyDescent="0.45">
      <c r="A37" s="7">
        <v>16.5</v>
      </c>
      <c r="B37" s="11" t="s">
        <v>171</v>
      </c>
      <c r="C37" s="11" t="s">
        <v>172</v>
      </c>
      <c r="D37" s="8">
        <f t="shared" si="3"/>
        <v>-2229</v>
      </c>
      <c r="E37" s="8">
        <f t="shared" si="0"/>
        <v>11.441886874387798</v>
      </c>
      <c r="F37" s="11">
        <v>-3964</v>
      </c>
      <c r="G37" s="11">
        <v>513</v>
      </c>
      <c r="H37" s="8">
        <f t="shared" si="11"/>
        <v>-2238.5</v>
      </c>
      <c r="I37" s="8">
        <f t="shared" si="1"/>
        <v>10.054137230860658</v>
      </c>
      <c r="J37" s="16">
        <f t="shared" si="4"/>
        <v>15.231626659791337</v>
      </c>
      <c r="K37" s="16">
        <f t="shared" si="2"/>
        <v>221.30620019761295</v>
      </c>
      <c r="L37" s="16">
        <f t="shared" si="5"/>
        <v>41.306200197612952</v>
      </c>
      <c r="M37" s="16">
        <f t="shared" si="6"/>
        <v>11.441886874387796</v>
      </c>
      <c r="N37" s="16">
        <f t="shared" si="7"/>
        <v>10.054137230860659</v>
      </c>
      <c r="O37" s="16">
        <f>M37-'"0" цикл 24.06'!M36</f>
        <v>761.95001271727949</v>
      </c>
      <c r="P37" s="16">
        <f>N37-'"0" цикл 24.06'!N36</f>
        <v>-649.11942022451933</v>
      </c>
      <c r="Q37" s="16">
        <f t="shared" si="8"/>
        <v>1000.9614595939638</v>
      </c>
      <c r="R37" s="16">
        <f t="shared" si="9"/>
        <v>-40.428296265581096</v>
      </c>
      <c r="S37" s="16">
        <f t="shared" si="10"/>
        <v>319.57170373441892</v>
      </c>
    </row>
    <row r="38" spans="1:19" x14ac:dyDescent="0.45">
      <c r="A38" s="7">
        <v>17</v>
      </c>
      <c r="B38" s="11" t="s">
        <v>173</v>
      </c>
      <c r="C38" s="11" t="s">
        <v>174</v>
      </c>
      <c r="D38" s="8">
        <f t="shared" si="3"/>
        <v>-2590.5</v>
      </c>
      <c r="E38" s="8">
        <f t="shared" si="0"/>
        <v>16.845030185402528</v>
      </c>
      <c r="F38" s="11">
        <v>-3977</v>
      </c>
      <c r="G38" s="11">
        <v>1114</v>
      </c>
      <c r="H38" s="8">
        <f t="shared" si="11"/>
        <v>-2545.5</v>
      </c>
      <c r="I38" s="8">
        <f t="shared" si="1"/>
        <v>15.480307841355062</v>
      </c>
      <c r="J38" s="16">
        <f t="shared" si="4"/>
        <v>22.877827099841483</v>
      </c>
      <c r="K38" s="16">
        <f t="shared" si="2"/>
        <v>222.58250251244323</v>
      </c>
      <c r="L38" s="16">
        <f t="shared" si="5"/>
        <v>42.582502512443227</v>
      </c>
      <c r="M38" s="16">
        <f t="shared" si="6"/>
        <v>16.845030185402525</v>
      </c>
      <c r="N38" s="16">
        <f t="shared" si="7"/>
        <v>15.480307841355064</v>
      </c>
      <c r="O38" s="16">
        <f>M38-'"0" цикл 24.06'!M37</f>
        <v>768.08558803508492</v>
      </c>
      <c r="P38" s="16">
        <f>N38-'"0" цикл 24.06'!N37</f>
        <v>-645.46027060004053</v>
      </c>
      <c r="Q38" s="16">
        <f t="shared" si="8"/>
        <v>1003.2818305293282</v>
      </c>
      <c r="R38" s="16">
        <f t="shared" si="9"/>
        <v>-40.041994886063925</v>
      </c>
      <c r="S38" s="16">
        <f t="shared" si="10"/>
        <v>319.95800511393605</v>
      </c>
    </row>
    <row r="39" spans="1:19" x14ac:dyDescent="0.45">
      <c r="A39" s="7">
        <v>17.5</v>
      </c>
      <c r="B39" s="11" t="s">
        <v>175</v>
      </c>
      <c r="C39" s="11" t="s">
        <v>176</v>
      </c>
      <c r="D39" s="8">
        <f t="shared" si="3"/>
        <v>-2458</v>
      </c>
      <c r="E39" s="8">
        <f t="shared" si="0"/>
        <v>23.124414311395782</v>
      </c>
      <c r="F39" s="11">
        <v>-4542</v>
      </c>
      <c r="G39" s="11">
        <v>532</v>
      </c>
      <c r="H39" s="8">
        <f t="shared" si="11"/>
        <v>-2537</v>
      </c>
      <c r="I39" s="8">
        <f t="shared" si="1"/>
        <v>21.650617343301523</v>
      </c>
      <c r="J39" s="16">
        <f t="shared" si="4"/>
        <v>31.677875064327701</v>
      </c>
      <c r="K39" s="16">
        <f t="shared" si="2"/>
        <v>223.11475577250411</v>
      </c>
      <c r="L39" s="16">
        <f t="shared" si="5"/>
        <v>43.114755772504111</v>
      </c>
      <c r="M39" s="16">
        <f t="shared" si="6"/>
        <v>23.124414311395775</v>
      </c>
      <c r="N39" s="16">
        <f t="shared" si="7"/>
        <v>21.65061734330153</v>
      </c>
      <c r="O39" s="16">
        <f>M39-'"0" цикл 24.06'!M38</f>
        <v>774.30764294341225</v>
      </c>
      <c r="P39" s="16">
        <f>N39-'"0" цикл 24.06'!N38</f>
        <v>-640.19813782686515</v>
      </c>
      <c r="Q39" s="16">
        <f t="shared" si="8"/>
        <v>1004.6919834444627</v>
      </c>
      <c r="R39" s="16">
        <f t="shared" si="9"/>
        <v>-39.583968010810729</v>
      </c>
      <c r="S39" s="16">
        <f t="shared" si="10"/>
        <v>320.41603198918926</v>
      </c>
    </row>
    <row r="40" spans="1:19" x14ac:dyDescent="0.45">
      <c r="A40" s="7">
        <v>18</v>
      </c>
      <c r="B40" s="11" t="s">
        <v>167</v>
      </c>
      <c r="C40" s="11" t="s">
        <v>177</v>
      </c>
      <c r="D40" s="8">
        <f t="shared" si="3"/>
        <v>-1256.5</v>
      </c>
      <c r="E40" s="8">
        <f t="shared" si="0"/>
        <v>29.082633430544753</v>
      </c>
      <c r="F40" s="11">
        <v>-3074</v>
      </c>
      <c r="G40" s="11">
        <v>-370</v>
      </c>
      <c r="H40" s="8">
        <f t="shared" si="11"/>
        <v>-1352</v>
      </c>
      <c r="I40" s="8">
        <f t="shared" si="1"/>
        <v>27.800323827572097</v>
      </c>
      <c r="J40" s="16">
        <f t="shared" si="4"/>
        <v>40.232543695040114</v>
      </c>
      <c r="K40" s="16">
        <f t="shared" si="2"/>
        <v>223.70860289237987</v>
      </c>
      <c r="L40" s="16">
        <f t="shared" si="5"/>
        <v>43.708602892379872</v>
      </c>
      <c r="M40" s="16">
        <f t="shared" si="6"/>
        <v>29.082633430544757</v>
      </c>
      <c r="N40" s="16">
        <f t="shared" si="7"/>
        <v>27.800323827572093</v>
      </c>
      <c r="O40" s="16">
        <f>M40-'"0" цикл 24.06'!M39</f>
        <v>778.96753248358243</v>
      </c>
      <c r="P40" s="16">
        <f>N40-'"0" цикл 24.06'!N39</f>
        <v>-633.74930131919359</v>
      </c>
      <c r="Q40" s="16">
        <f t="shared" si="8"/>
        <v>1004.2054538719291</v>
      </c>
      <c r="R40" s="16">
        <f t="shared" si="9"/>
        <v>-39.13097508637992</v>
      </c>
      <c r="S40" s="16">
        <f t="shared" si="10"/>
        <v>320.86902491362008</v>
      </c>
    </row>
    <row r="41" spans="1:19" x14ac:dyDescent="0.45">
      <c r="A41" s="7">
        <v>18.5</v>
      </c>
      <c r="B41" s="11" t="s">
        <v>178</v>
      </c>
      <c r="C41" s="11" t="s">
        <v>179</v>
      </c>
      <c r="D41" s="8">
        <f t="shared" si="3"/>
        <v>-46</v>
      </c>
      <c r="E41" s="8">
        <f t="shared" si="0"/>
        <v>32.128456544322106</v>
      </c>
      <c r="F41" s="11">
        <v>-1529</v>
      </c>
      <c r="G41" s="11">
        <v>-1464</v>
      </c>
      <c r="H41" s="8">
        <f t="shared" si="11"/>
        <v>-32.5</v>
      </c>
      <c r="I41" s="8">
        <f t="shared" si="1"/>
        <v>31.077640844066188</v>
      </c>
      <c r="J41" s="16">
        <f t="shared" si="4"/>
        <v>44.699636244081056</v>
      </c>
      <c r="K41" s="16">
        <f t="shared" si="2"/>
        <v>224.04753242147299</v>
      </c>
      <c r="L41" s="16">
        <f t="shared" si="5"/>
        <v>44.047532421472965</v>
      </c>
      <c r="M41" s="16">
        <f t="shared" si="6"/>
        <v>32.128456544322113</v>
      </c>
      <c r="N41" s="16">
        <f t="shared" si="7"/>
        <v>31.077640844066174</v>
      </c>
      <c r="O41" s="16">
        <f>M41-'"0" цикл 24.06'!M40</f>
        <v>778.78985176231606</v>
      </c>
      <c r="P41" s="16">
        <f>N41-'"0" цикл 24.06'!N40</f>
        <v>-628.13761490866273</v>
      </c>
      <c r="Q41" s="16">
        <f t="shared" si="8"/>
        <v>1000.5351050668405</v>
      </c>
      <c r="R41" s="16">
        <f t="shared" si="9"/>
        <v>-38.88811969192939</v>
      </c>
      <c r="S41" s="16">
        <f t="shared" si="10"/>
        <v>321.11188030807062</v>
      </c>
    </row>
    <row r="42" spans="1:19" x14ac:dyDescent="0.45">
      <c r="A42" s="7">
        <v>19</v>
      </c>
      <c r="B42" s="11" t="s">
        <v>180</v>
      </c>
      <c r="C42" s="11" t="s">
        <v>181</v>
      </c>
      <c r="D42" s="8">
        <f t="shared" si="3"/>
        <v>391</v>
      </c>
      <c r="E42" s="8">
        <f t="shared" si="0"/>
        <v>32.239963690052988</v>
      </c>
      <c r="F42" s="11">
        <v>-803</v>
      </c>
      <c r="G42" s="11">
        <v>-1810</v>
      </c>
      <c r="H42" s="8">
        <f t="shared" si="11"/>
        <v>503.5</v>
      </c>
      <c r="I42" s="8">
        <f t="shared" si="1"/>
        <v>31.156423066920507</v>
      </c>
      <c r="J42" s="16">
        <f t="shared" si="4"/>
        <v>44.834562081734127</v>
      </c>
      <c r="K42" s="16">
        <f t="shared" si="2"/>
        <v>224.02082336692882</v>
      </c>
      <c r="L42" s="16">
        <f t="shared" si="5"/>
        <v>44.020823366928823</v>
      </c>
      <c r="M42" s="16">
        <f t="shared" si="6"/>
        <v>32.239963690052996</v>
      </c>
      <c r="N42" s="16">
        <f t="shared" si="7"/>
        <v>31.156423066920503</v>
      </c>
      <c r="O42" s="16">
        <f>M42-'"0" цикл 24.06'!M41</f>
        <v>774.33544712045625</v>
      </c>
      <c r="P42" s="16">
        <f>N42-'"0" цикл 24.06'!N41</f>
        <v>-624.52408558061791</v>
      </c>
      <c r="Q42" s="16">
        <f t="shared" si="8"/>
        <v>994.79933561374264</v>
      </c>
      <c r="R42" s="16">
        <f t="shared" si="9"/>
        <v>-38.887187097232434</v>
      </c>
      <c r="S42" s="16">
        <f t="shared" si="10"/>
        <v>321.11281290276759</v>
      </c>
    </row>
    <row r="43" spans="1:19" x14ac:dyDescent="0.45">
      <c r="A43" s="7">
        <v>19.5</v>
      </c>
      <c r="B43" s="11" t="s">
        <v>182</v>
      </c>
      <c r="C43" s="11" t="s">
        <v>183</v>
      </c>
      <c r="D43" s="8">
        <f t="shared" si="3"/>
        <v>726.5</v>
      </c>
      <c r="E43" s="8">
        <f t="shared" si="0"/>
        <v>31.292153511124571</v>
      </c>
      <c r="F43" s="11">
        <v>-900</v>
      </c>
      <c r="G43" s="11">
        <v>-2345</v>
      </c>
      <c r="H43" s="8">
        <f t="shared" si="11"/>
        <v>722.5</v>
      </c>
      <c r="I43" s="8">
        <f t="shared" si="1"/>
        <v>29.935905836836177</v>
      </c>
      <c r="J43" s="16">
        <f t="shared" si="4"/>
        <v>43.305396079884872</v>
      </c>
      <c r="K43" s="16">
        <f t="shared" si="2"/>
        <v>223.73106279861994</v>
      </c>
      <c r="L43" s="16">
        <f t="shared" si="5"/>
        <v>43.731062798619973</v>
      </c>
      <c r="M43" s="16">
        <f t="shared" si="6"/>
        <v>31.292153511124553</v>
      </c>
      <c r="N43" s="16">
        <f t="shared" si="7"/>
        <v>29.935905836836195</v>
      </c>
      <c r="O43" s="16">
        <f>M43-'"0" цикл 24.06'!M42</f>
        <v>771.53565291439395</v>
      </c>
      <c r="P43" s="16">
        <f>N43-'"0" цикл 24.06'!N42</f>
        <v>-625.0754389271101</v>
      </c>
      <c r="Q43" s="16">
        <f t="shared" si="8"/>
        <v>992.96856348424217</v>
      </c>
      <c r="R43" s="16">
        <f t="shared" si="9"/>
        <v>-39.013371410089462</v>
      </c>
      <c r="S43" s="16">
        <f t="shared" si="10"/>
        <v>320.98662858991054</v>
      </c>
    </row>
    <row r="44" spans="1:19" x14ac:dyDescent="0.45">
      <c r="A44" s="7">
        <v>20</v>
      </c>
      <c r="B44" s="11" t="s">
        <v>184</v>
      </c>
      <c r="C44" s="11" t="s">
        <v>185</v>
      </c>
      <c r="D44" s="8">
        <f t="shared" si="3"/>
        <v>1107.5</v>
      </c>
      <c r="E44" s="8">
        <f t="shared" si="0"/>
        <v>29.531071455739514</v>
      </c>
      <c r="F44" s="11">
        <v>-548</v>
      </c>
      <c r="G44" s="11">
        <v>-2662</v>
      </c>
      <c r="H44" s="8">
        <f t="shared" si="11"/>
        <v>1057</v>
      </c>
      <c r="I44" s="8">
        <f t="shared" si="1"/>
        <v>28.184519995259421</v>
      </c>
      <c r="J44" s="16">
        <f t="shared" si="4"/>
        <v>40.822191865297619</v>
      </c>
      <c r="K44" s="16">
        <f t="shared" si="2"/>
        <v>223.66348555676493</v>
      </c>
      <c r="L44" s="16">
        <f t="shared" si="5"/>
        <v>43.663485556764954</v>
      </c>
      <c r="M44" s="16">
        <f t="shared" si="6"/>
        <v>29.531071455739504</v>
      </c>
      <c r="N44" s="16">
        <f t="shared" si="7"/>
        <v>28.184519995259432</v>
      </c>
      <c r="O44" s="16">
        <f>M44-'"0" цикл 24.06'!M43</f>
        <v>768.03009357017277</v>
      </c>
      <c r="P44" s="16">
        <f>N44-'"0" цикл 24.06'!N43</f>
        <v>-626.25171466628308</v>
      </c>
      <c r="Q44" s="16">
        <f t="shared" si="8"/>
        <v>990.99012848356267</v>
      </c>
      <c r="R44" s="16">
        <f t="shared" si="9"/>
        <v>-39.193801492185038</v>
      </c>
      <c r="S44" s="16">
        <f t="shared" si="10"/>
        <v>320.80619850781494</v>
      </c>
    </row>
    <row r="45" spans="1:19" x14ac:dyDescent="0.45">
      <c r="A45" s="7">
        <v>20.5</v>
      </c>
      <c r="B45" s="11" t="s">
        <v>184</v>
      </c>
      <c r="C45" s="11" t="s">
        <v>185</v>
      </c>
      <c r="D45" s="8">
        <f t="shared" si="3"/>
        <v>1107.5</v>
      </c>
      <c r="E45" s="8">
        <f t="shared" si="0"/>
        <v>26.846428596126831</v>
      </c>
      <c r="F45" s="11">
        <v>-548</v>
      </c>
      <c r="G45" s="11">
        <v>-2662</v>
      </c>
      <c r="H45" s="8">
        <f t="shared" si="11"/>
        <v>1057</v>
      </c>
      <c r="I45" s="8">
        <f t="shared" si="1"/>
        <v>25.622290904781291</v>
      </c>
      <c r="J45" s="16">
        <f t="shared" si="4"/>
        <v>37.111083513906927</v>
      </c>
      <c r="K45" s="16">
        <f t="shared" si="2"/>
        <v>223.66348555676493</v>
      </c>
      <c r="L45" s="16">
        <f t="shared" si="5"/>
        <v>43.663485556764954</v>
      </c>
      <c r="M45" s="16">
        <f t="shared" si="6"/>
        <v>26.846428596126824</v>
      </c>
      <c r="N45" s="16">
        <f t="shared" si="7"/>
        <v>25.622290904781302</v>
      </c>
      <c r="O45" s="16">
        <f>M45-'"0" цикл 24.06'!M44</f>
        <v>763.12719298958018</v>
      </c>
      <c r="P45" s="16">
        <f>N45-'"0" цикл 24.06'!N44</f>
        <v>-627.63621121098072</v>
      </c>
      <c r="Q45" s="16">
        <f t="shared" si="8"/>
        <v>988.07404899806511</v>
      </c>
      <c r="R45" s="16">
        <f t="shared" si="9"/>
        <v>-39.435688741714593</v>
      </c>
      <c r="S45" s="16">
        <f t="shared" si="10"/>
        <v>320.56431125828539</v>
      </c>
    </row>
    <row r="46" spans="1:19" x14ac:dyDescent="0.45">
      <c r="A46" s="7">
        <v>21</v>
      </c>
      <c r="B46" s="11" t="s">
        <v>184</v>
      </c>
      <c r="C46" s="11" t="s">
        <v>185</v>
      </c>
      <c r="D46" s="8">
        <f t="shared" si="3"/>
        <v>1107.5</v>
      </c>
      <c r="E46" s="8">
        <f t="shared" si="0"/>
        <v>24.161785736514148</v>
      </c>
      <c r="F46" s="11">
        <v>-548</v>
      </c>
      <c r="G46" s="11">
        <v>-2662</v>
      </c>
      <c r="H46" s="8">
        <f t="shared" si="11"/>
        <v>1057</v>
      </c>
      <c r="I46" s="8">
        <f t="shared" si="1"/>
        <v>23.060061814303161</v>
      </c>
      <c r="J46" s="16">
        <f t="shared" si="4"/>
        <v>33.399975162516235</v>
      </c>
      <c r="K46" s="16">
        <f t="shared" si="2"/>
        <v>223.66348555676493</v>
      </c>
      <c r="L46" s="16">
        <f t="shared" si="5"/>
        <v>43.663485556764954</v>
      </c>
      <c r="M46" s="16">
        <f t="shared" si="6"/>
        <v>24.16178573651414</v>
      </c>
      <c r="N46" s="16">
        <f t="shared" si="7"/>
        <v>23.060061814303172</v>
      </c>
      <c r="O46" s="16">
        <f>M46-'"0" цикл 24.06'!M45</f>
        <v>757.42775452192336</v>
      </c>
      <c r="P46" s="16">
        <f>N46-'"0" цикл 24.06'!N45</f>
        <v>-628.01836128856098</v>
      </c>
      <c r="Q46" s="16">
        <f t="shared" si="8"/>
        <v>983.92269281468066</v>
      </c>
      <c r="R46" s="16">
        <f t="shared" si="9"/>
        <v>-39.663696662208423</v>
      </c>
      <c r="S46" s="16">
        <f t="shared" si="10"/>
        <v>320.33630333779161</v>
      </c>
    </row>
    <row r="47" spans="1:19" x14ac:dyDescent="0.45">
      <c r="A47" s="7">
        <v>21.5</v>
      </c>
      <c r="B47" s="11" t="s">
        <v>184</v>
      </c>
      <c r="C47" s="11" t="s">
        <v>185</v>
      </c>
      <c r="D47" s="8">
        <f t="shared" si="3"/>
        <v>1107.5</v>
      </c>
      <c r="E47" s="8">
        <f t="shared" si="0"/>
        <v>21.477142876901464</v>
      </c>
      <c r="F47" s="11">
        <v>-548</v>
      </c>
      <c r="G47" s="11">
        <v>-2662</v>
      </c>
      <c r="H47" s="8">
        <f t="shared" si="11"/>
        <v>1057</v>
      </c>
      <c r="I47" s="8">
        <f t="shared" si="1"/>
        <v>20.497832723825031</v>
      </c>
      <c r="J47" s="16">
        <f t="shared" si="4"/>
        <v>29.688866811125539</v>
      </c>
      <c r="K47" s="16">
        <f t="shared" si="2"/>
        <v>223.66348555676493</v>
      </c>
      <c r="L47" s="16">
        <f t="shared" si="5"/>
        <v>43.663485556764954</v>
      </c>
      <c r="M47" s="16">
        <f t="shared" si="6"/>
        <v>21.477142876901457</v>
      </c>
      <c r="N47" s="16">
        <f t="shared" si="7"/>
        <v>20.497832723825038</v>
      </c>
      <c r="O47" s="16">
        <f>M47-'"0" цикл 24.06'!M46</f>
        <v>750.90294024903551</v>
      </c>
      <c r="P47" s="16">
        <f>N47-'"0" цикл 24.06'!N46</f>
        <v>-627.93485326460063</v>
      </c>
      <c r="Q47" s="16">
        <f t="shared" si="8"/>
        <v>978.85515047890613</v>
      </c>
      <c r="R47" s="16">
        <f t="shared" si="9"/>
        <v>-39.903706494898394</v>
      </c>
      <c r="S47" s="16">
        <f t="shared" si="10"/>
        <v>320.09629350510158</v>
      </c>
    </row>
    <row r="48" spans="1:19" x14ac:dyDescent="0.45">
      <c r="A48" s="7">
        <v>22</v>
      </c>
      <c r="B48" s="11" t="s">
        <v>184</v>
      </c>
      <c r="C48" s="11" t="s">
        <v>185</v>
      </c>
      <c r="D48" s="8">
        <f t="shared" si="3"/>
        <v>1107.5</v>
      </c>
      <c r="E48" s="8">
        <f t="shared" si="0"/>
        <v>18.792500017288781</v>
      </c>
      <c r="F48" s="11">
        <v>-548</v>
      </c>
      <c r="G48" s="11">
        <v>-2662</v>
      </c>
      <c r="H48" s="8">
        <f t="shared" si="11"/>
        <v>1057</v>
      </c>
      <c r="I48" s="8">
        <f t="shared" si="1"/>
        <v>17.935603633346901</v>
      </c>
      <c r="J48" s="16">
        <f t="shared" si="4"/>
        <v>25.977758459734847</v>
      </c>
      <c r="K48" s="16">
        <f t="shared" si="2"/>
        <v>223.66348555676493</v>
      </c>
      <c r="L48" s="16">
        <f t="shared" si="5"/>
        <v>43.663485556764954</v>
      </c>
      <c r="M48" s="16">
        <f t="shared" si="6"/>
        <v>18.792500017288774</v>
      </c>
      <c r="N48" s="16">
        <f t="shared" si="7"/>
        <v>17.935603633346911</v>
      </c>
      <c r="O48" s="16">
        <f>M48-'"0" цикл 24.06'!M47</f>
        <v>745.34894336730531</v>
      </c>
      <c r="P48" s="16">
        <f>N48-'"0" цикл 24.06'!N47</f>
        <v>-628.59988976993338</v>
      </c>
      <c r="Q48" s="16">
        <f t="shared" si="8"/>
        <v>975.02967585480746</v>
      </c>
      <c r="R48" s="16">
        <f t="shared" si="9"/>
        <v>-40.143052297290083</v>
      </c>
      <c r="S48" s="16">
        <f t="shared" si="10"/>
        <v>319.85694770270993</v>
      </c>
    </row>
    <row r="49" spans="1:19" x14ac:dyDescent="0.45">
      <c r="A49" s="7">
        <v>22.5</v>
      </c>
      <c r="B49" s="11" t="s">
        <v>184</v>
      </c>
      <c r="C49" s="11" t="s">
        <v>185</v>
      </c>
      <c r="D49" s="8">
        <f t="shared" si="3"/>
        <v>1107.5</v>
      </c>
      <c r="E49" s="8">
        <f t="shared" si="0"/>
        <v>16.107857157676097</v>
      </c>
      <c r="F49" s="11">
        <v>-548</v>
      </c>
      <c r="G49" s="11">
        <v>-2662</v>
      </c>
      <c r="H49" s="8">
        <f t="shared" si="11"/>
        <v>1057</v>
      </c>
      <c r="I49" s="8">
        <f t="shared" si="1"/>
        <v>15.373374542868772</v>
      </c>
      <c r="J49" s="16">
        <f t="shared" si="4"/>
        <v>22.266650108344155</v>
      </c>
      <c r="K49" s="16">
        <f t="shared" si="2"/>
        <v>223.66348555676493</v>
      </c>
      <c r="L49" s="16">
        <f t="shared" si="5"/>
        <v>43.663485556764954</v>
      </c>
      <c r="M49" s="16">
        <f t="shared" si="6"/>
        <v>16.107857157676094</v>
      </c>
      <c r="N49" s="16">
        <f t="shared" si="7"/>
        <v>15.373374542868779</v>
      </c>
      <c r="O49" s="16">
        <f>M49-'"0" цикл 24.06'!M48</f>
        <v>742.26857138180162</v>
      </c>
      <c r="P49" s="16">
        <f>N49-'"0" цикл 24.06'!N48</f>
        <v>-631.92012476047285</v>
      </c>
      <c r="Q49" s="16">
        <f t="shared" si="8"/>
        <v>974.82597223220944</v>
      </c>
      <c r="R49" s="16">
        <f t="shared" si="9"/>
        <v>-40.408954387780987</v>
      </c>
      <c r="S49" s="16">
        <f t="shared" si="10"/>
        <v>319.59104561221903</v>
      </c>
    </row>
    <row r="50" spans="1:19" x14ac:dyDescent="0.45">
      <c r="A50" s="7">
        <v>23</v>
      </c>
      <c r="B50" s="11" t="s">
        <v>184</v>
      </c>
      <c r="C50" s="11" t="s">
        <v>185</v>
      </c>
      <c r="D50" s="8">
        <f t="shared" si="3"/>
        <v>1107.5</v>
      </c>
      <c r="E50" s="8">
        <f t="shared" si="0"/>
        <v>13.423214298063415</v>
      </c>
      <c r="F50" s="11">
        <v>-548</v>
      </c>
      <c r="G50" s="11">
        <v>-2662</v>
      </c>
      <c r="H50" s="8">
        <f t="shared" si="11"/>
        <v>1057</v>
      </c>
      <c r="I50" s="8">
        <f t="shared" si="1"/>
        <v>12.811145452390644</v>
      </c>
      <c r="J50" s="16">
        <f t="shared" si="4"/>
        <v>18.555541756953463</v>
      </c>
      <c r="K50" s="16">
        <f t="shared" si="2"/>
        <v>223.66348555676493</v>
      </c>
      <c r="L50" s="16">
        <f t="shared" si="5"/>
        <v>43.663485556764954</v>
      </c>
      <c r="M50" s="16">
        <f t="shared" si="6"/>
        <v>13.423214298063412</v>
      </c>
      <c r="N50" s="16">
        <f t="shared" si="7"/>
        <v>12.811145452390651</v>
      </c>
      <c r="O50" s="16">
        <f>M50-'"0" цикл 24.06'!M49</f>
        <v>738.19009099428786</v>
      </c>
      <c r="P50" s="16">
        <f>N50-'"0" цикл 24.06'!N49</f>
        <v>-634.04650640683019</v>
      </c>
      <c r="Q50" s="16">
        <f t="shared" si="8"/>
        <v>973.10820710179075</v>
      </c>
      <c r="R50" s="16">
        <f t="shared" si="9"/>
        <v>-40.659953180758016</v>
      </c>
      <c r="S50" s="16">
        <f t="shared" si="10"/>
        <v>319.34004681924199</v>
      </c>
    </row>
    <row r="51" spans="1:19" x14ac:dyDescent="0.45">
      <c r="A51" s="7">
        <v>23.5</v>
      </c>
      <c r="B51" s="11" t="s">
        <v>184</v>
      </c>
      <c r="C51" s="11" t="s">
        <v>185</v>
      </c>
      <c r="D51" s="8">
        <f t="shared" si="3"/>
        <v>1107.5</v>
      </c>
      <c r="E51" s="8">
        <f t="shared" si="0"/>
        <v>10.738571438450732</v>
      </c>
      <c r="F51" s="11">
        <v>-548</v>
      </c>
      <c r="G51" s="11">
        <v>-2662</v>
      </c>
      <c r="H51" s="8">
        <f t="shared" si="11"/>
        <v>1057</v>
      </c>
      <c r="I51" s="8">
        <f t="shared" si="1"/>
        <v>10.248916361912515</v>
      </c>
      <c r="J51" s="16">
        <f t="shared" si="4"/>
        <v>14.84443340556277</v>
      </c>
      <c r="K51" s="16">
        <f t="shared" si="2"/>
        <v>223.66348555676493</v>
      </c>
      <c r="L51" s="16">
        <f t="shared" si="5"/>
        <v>43.663485556764954</v>
      </c>
      <c r="M51" s="16">
        <f t="shared" si="6"/>
        <v>10.738571438450728</v>
      </c>
      <c r="N51" s="16">
        <f t="shared" si="7"/>
        <v>10.248916361912519</v>
      </c>
      <c r="O51" s="16">
        <f>M51-'"0" цикл 24.06'!M50</f>
        <v>730.84972843158835</v>
      </c>
      <c r="P51" s="16">
        <f>N51-'"0" цикл 24.06'!N50</f>
        <v>-633.05399033035246</v>
      </c>
      <c r="Q51" s="16">
        <f t="shared" si="8"/>
        <v>966.90158766117895</v>
      </c>
      <c r="R51" s="16">
        <f t="shared" si="9"/>
        <v>-40.898750200497979</v>
      </c>
      <c r="S51" s="16">
        <f t="shared" si="10"/>
        <v>319.101249799502</v>
      </c>
    </row>
    <row r="52" spans="1:19" x14ac:dyDescent="0.45">
      <c r="A52" s="7">
        <v>24</v>
      </c>
      <c r="B52" s="11" t="s">
        <v>184</v>
      </c>
      <c r="C52" s="11" t="s">
        <v>185</v>
      </c>
      <c r="D52" s="8">
        <f t="shared" si="3"/>
        <v>1107.5</v>
      </c>
      <c r="E52" s="8">
        <f t="shared" si="0"/>
        <v>8.0539285788380486</v>
      </c>
      <c r="F52" s="11">
        <v>-548</v>
      </c>
      <c r="G52" s="11">
        <v>-2662</v>
      </c>
      <c r="H52" s="8">
        <f t="shared" si="11"/>
        <v>1057</v>
      </c>
      <c r="I52" s="8">
        <f t="shared" si="1"/>
        <v>7.686687271434387</v>
      </c>
      <c r="J52" s="16">
        <f t="shared" si="4"/>
        <v>11.133325054172078</v>
      </c>
      <c r="K52" s="16">
        <f t="shared" si="2"/>
        <v>223.66348555676493</v>
      </c>
      <c r="L52" s="16">
        <f t="shared" si="5"/>
        <v>43.663485556764954</v>
      </c>
      <c r="M52" s="16">
        <f t="shared" si="6"/>
        <v>8.0539285788380468</v>
      </c>
      <c r="N52" s="16">
        <f t="shared" si="7"/>
        <v>7.6866872714343897</v>
      </c>
      <c r="O52" s="16">
        <f>M52-'"0" цикл 24.06'!M51</f>
        <v>719.14803994150998</v>
      </c>
      <c r="P52" s="16">
        <f>N52-'"0" цикл 24.06'!N51</f>
        <v>-627.53581795735852</v>
      </c>
      <c r="Q52" s="16">
        <f t="shared" si="8"/>
        <v>954.4501590817232</v>
      </c>
      <c r="R52" s="16">
        <f t="shared" si="9"/>
        <v>-41.108278171863041</v>
      </c>
      <c r="S52" s="16">
        <f t="shared" si="10"/>
        <v>318.89172182813695</v>
      </c>
    </row>
    <row r="53" spans="1:19" x14ac:dyDescent="0.45">
      <c r="A53" s="7">
        <v>24.5</v>
      </c>
      <c r="B53" s="11" t="s">
        <v>184</v>
      </c>
      <c r="C53" s="11" t="s">
        <v>185</v>
      </c>
      <c r="D53" s="8">
        <f t="shared" si="3"/>
        <v>1107.5</v>
      </c>
      <c r="E53" s="8">
        <f t="shared" si="0"/>
        <v>5.369285719225366</v>
      </c>
      <c r="F53" s="11">
        <v>-548</v>
      </c>
      <c r="G53" s="11">
        <v>-2662</v>
      </c>
      <c r="H53" s="8">
        <f t="shared" si="11"/>
        <v>1057</v>
      </c>
      <c r="I53" s="8">
        <f t="shared" si="1"/>
        <v>5.1244581809562577</v>
      </c>
      <c r="J53" s="16">
        <f t="shared" si="4"/>
        <v>7.4222167027813848</v>
      </c>
      <c r="K53" s="16">
        <f t="shared" si="2"/>
        <v>223.66348555676493</v>
      </c>
      <c r="L53" s="16">
        <f t="shared" si="5"/>
        <v>43.663485556764954</v>
      </c>
      <c r="M53" s="16">
        <f t="shared" si="6"/>
        <v>5.3692857192253642</v>
      </c>
      <c r="N53" s="16">
        <f t="shared" si="7"/>
        <v>5.1244581809562595</v>
      </c>
      <c r="O53" s="16">
        <f>M53-'"0" цикл 24.06'!M52</f>
        <v>703.71030195204014</v>
      </c>
      <c r="P53" s="16">
        <f>N53-'"0" цикл 24.06'!N52</f>
        <v>-618.16730879633565</v>
      </c>
      <c r="Q53" s="16">
        <f t="shared" si="8"/>
        <v>936.66376610709983</v>
      </c>
      <c r="R53" s="16">
        <f t="shared" si="9"/>
        <v>-41.29736690741597</v>
      </c>
      <c r="S53" s="16">
        <f t="shared" si="10"/>
        <v>318.70263309258405</v>
      </c>
    </row>
    <row r="54" spans="1:19" x14ac:dyDescent="0.45">
      <c r="A54" s="7">
        <v>25</v>
      </c>
      <c r="B54" s="11" t="s">
        <v>184</v>
      </c>
      <c r="C54" s="11" t="s">
        <v>185</v>
      </c>
      <c r="D54" s="8">
        <f t="shared" si="3"/>
        <v>1107.5</v>
      </c>
      <c r="E54" s="8">
        <f t="shared" si="0"/>
        <v>2.684642859612683</v>
      </c>
      <c r="F54" s="11">
        <v>-548</v>
      </c>
      <c r="G54" s="11">
        <v>-2662</v>
      </c>
      <c r="H54" s="8">
        <f t="shared" si="11"/>
        <v>1057</v>
      </c>
      <c r="I54" s="8">
        <f t="shared" si="1"/>
        <v>2.5622290904781289</v>
      </c>
      <c r="J54" s="16">
        <f t="shared" si="4"/>
        <v>3.7111083513906924</v>
      </c>
      <c r="K54" s="16">
        <f t="shared" si="2"/>
        <v>223.66348555676493</v>
      </c>
      <c r="L54" s="16">
        <v>0</v>
      </c>
      <c r="M54" s="16">
        <f t="shared" si="6"/>
        <v>3.7111083513906924</v>
      </c>
      <c r="N54" s="16">
        <f t="shared" si="7"/>
        <v>0</v>
      </c>
      <c r="O54" s="16">
        <f>M54-'"0" цикл 24.06'!M53</f>
        <v>687.02370976008342</v>
      </c>
      <c r="P54" s="16">
        <f>N54-'"0" цикл 24.06'!N53</f>
        <v>-609.23571912388809</v>
      </c>
      <c r="Q54" s="16">
        <f t="shared" si="8"/>
        <v>918.24274526342344</v>
      </c>
      <c r="R54" s="16">
        <f t="shared" si="9"/>
        <v>-41.565822416474546</v>
      </c>
      <c r="S54" s="16">
        <f t="shared" si="10"/>
        <v>318.43417758352547</v>
      </c>
    </row>
  </sheetData>
  <mergeCells count="2">
    <mergeCell ref="B1:I1"/>
    <mergeCell ref="M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4"/>
  <sheetViews>
    <sheetView zoomScale="85" zoomScaleNormal="85" workbookViewId="0">
      <selection sqref="A1:XFD1048576"/>
    </sheetView>
  </sheetViews>
  <sheetFormatPr defaultRowHeight="14.25" x14ac:dyDescent="0.45"/>
  <cols>
    <col min="1" max="1" width="9.1328125" style="7"/>
    <col min="2" max="3" width="9.3984375" style="12" customWidth="1"/>
    <col min="4" max="5" width="9.3984375" style="13" customWidth="1"/>
    <col min="6" max="7" width="9.3984375" style="12" customWidth="1"/>
    <col min="8" max="9" width="9.3984375" style="13" customWidth="1"/>
    <col min="10" max="19" width="9.1328125" style="16"/>
  </cols>
  <sheetData>
    <row r="1" spans="1:19" x14ac:dyDescent="0.45">
      <c r="B1" s="53" t="s">
        <v>195</v>
      </c>
      <c r="C1" s="53"/>
      <c r="D1" s="53"/>
      <c r="E1" s="53"/>
      <c r="F1" s="53"/>
      <c r="G1" s="53"/>
      <c r="H1" s="53"/>
      <c r="I1" s="53"/>
      <c r="K1" s="16" t="s">
        <v>1</v>
      </c>
      <c r="L1" s="18">
        <v>180</v>
      </c>
      <c r="M1" s="54"/>
      <c r="N1" s="55"/>
      <c r="O1" s="55"/>
      <c r="P1" s="55"/>
      <c r="Q1" s="55"/>
      <c r="R1" s="55"/>
      <c r="S1" s="56"/>
    </row>
    <row r="2" spans="1:19" ht="99.75" x14ac:dyDescent="0.45">
      <c r="A2" s="7" t="s">
        <v>2</v>
      </c>
      <c r="B2" s="9" t="s">
        <v>99</v>
      </c>
      <c r="C2" s="9" t="s">
        <v>100</v>
      </c>
      <c r="D2" s="10" t="s">
        <v>101</v>
      </c>
      <c r="E2" s="10" t="s">
        <v>102</v>
      </c>
      <c r="F2" s="9" t="s">
        <v>187</v>
      </c>
      <c r="G2" s="9" t="s">
        <v>188</v>
      </c>
      <c r="H2" s="10" t="s">
        <v>189</v>
      </c>
      <c r="I2" s="10" t="s">
        <v>186</v>
      </c>
      <c r="J2" s="10" t="s">
        <v>191</v>
      </c>
      <c r="K2" s="10" t="s">
        <v>192</v>
      </c>
      <c r="L2" s="10" t="s">
        <v>193</v>
      </c>
      <c r="M2" s="15" t="s">
        <v>17</v>
      </c>
      <c r="N2" s="15" t="s">
        <v>18</v>
      </c>
      <c r="O2" s="14" t="s">
        <v>19</v>
      </c>
      <c r="P2" s="14" t="s">
        <v>20</v>
      </c>
      <c r="Q2" s="14" t="s">
        <v>21</v>
      </c>
      <c r="R2" s="14"/>
      <c r="S2" s="14" t="s">
        <v>22</v>
      </c>
    </row>
    <row r="3" spans="1:19" x14ac:dyDescent="0.45">
      <c r="A3" s="7">
        <v>-0.5</v>
      </c>
      <c r="B3" s="11" t="s">
        <v>103</v>
      </c>
      <c r="C3" s="11" t="s">
        <v>104</v>
      </c>
      <c r="D3" s="8">
        <f>(B3-C3)/2</f>
        <v>-1963.5</v>
      </c>
      <c r="E3" s="8">
        <f t="shared" ref="E3:E54" si="0">0.5*SIN(D3/3600*PI()/180)*1000+E4</f>
        <v>-200.38155580556699</v>
      </c>
      <c r="F3" s="11">
        <v>-3702</v>
      </c>
      <c r="G3" s="11">
        <v>228</v>
      </c>
      <c r="H3" s="8">
        <f>(F3-G3)/2</f>
        <v>-1965</v>
      </c>
      <c r="I3" s="8">
        <f t="shared" ref="I3:I54" si="1">0.5*SIN(H3/3600*PI()/180)*1000+I4</f>
        <v>-202.18379614515277</v>
      </c>
      <c r="J3" s="16">
        <f>SQRT(E3^2+I3^2)</f>
        <v>284.65954284148677</v>
      </c>
      <c r="K3" s="16">
        <f t="shared" ref="K3:K54" si="2">IF(E3&gt;=0,180-DEGREES(ASIN(-I3/J3)),IF(E3&lt;0,DEGREES(ASIN(-I3/J3)),360-DEGREES(ASIN(I3/J3))))</f>
        <v>45.256505123367646</v>
      </c>
      <c r="L3" s="16">
        <f>IF((K3+$L$1)&lt;=360,K3+$L$1,K3+$L$1-360)</f>
        <v>225.25650512336765</v>
      </c>
      <c r="M3" s="16">
        <f>J3*COS(RADIANS(L3))</f>
        <v>-200.38155580556702</v>
      </c>
      <c r="N3" s="16">
        <f>J3*SIN(RADIANS(L3))</f>
        <v>-202.18379614515271</v>
      </c>
      <c r="O3" s="16" t="e">
        <f>M3-'"0" цикл 24.06'!#REF!</f>
        <v>#REF!</v>
      </c>
      <c r="P3" s="16" t="e">
        <f>N3-'"0" цикл 24.06'!#REF!</f>
        <v>#REF!</v>
      </c>
      <c r="Q3" s="16" t="e">
        <f>SQRT(O3^2+P3^2)</f>
        <v>#REF!</v>
      </c>
      <c r="R3" s="16" t="e">
        <f>IF(Q3=0,0,IF(O3&gt;=0,DEGREES(ASIN(P3/Q3)),(180-DEGREES(ASIN(P3/Q3)))))</f>
        <v>#REF!</v>
      </c>
      <c r="S3" s="16" t="e">
        <f>IF(R3&lt;0,360+R3,R3)</f>
        <v>#REF!</v>
      </c>
    </row>
    <row r="4" spans="1:19" x14ac:dyDescent="0.45">
      <c r="A4" s="7">
        <v>0</v>
      </c>
      <c r="B4" s="11" t="s">
        <v>105</v>
      </c>
      <c r="C4" s="11" t="s">
        <v>106</v>
      </c>
      <c r="D4" s="8">
        <f t="shared" ref="D4:D54" si="3">(B4-C4)/2</f>
        <v>-1325</v>
      </c>
      <c r="E4" s="8">
        <f t="shared" si="0"/>
        <v>-195.62196937558332</v>
      </c>
      <c r="F4" s="11">
        <v>-3010</v>
      </c>
      <c r="G4" s="11">
        <v>-428</v>
      </c>
      <c r="H4" s="8">
        <f>(F4-G4)/2</f>
        <v>-1291</v>
      </c>
      <c r="I4" s="8">
        <f t="shared" si="1"/>
        <v>-197.42057377743248</v>
      </c>
      <c r="J4" s="16">
        <f t="shared" ref="J4:J54" si="4">SQRT(E4^2+I4^2)</f>
        <v>277.92595750126026</v>
      </c>
      <c r="K4" s="16">
        <f t="shared" si="2"/>
        <v>45.262189739284302</v>
      </c>
      <c r="L4" s="16">
        <f t="shared" ref="L4:L53" si="5">IF((K4+$L$1)&lt;=360,K4+$L$1,K4+$L$1-360)</f>
        <v>225.26218973928431</v>
      </c>
      <c r="M4" s="16">
        <f t="shared" ref="M4:M54" si="6">J4*COS(RADIANS(L4))</f>
        <v>-195.62196937558326</v>
      </c>
      <c r="N4" s="16">
        <f t="shared" ref="N4:N54" si="7">J4*SIN(RADIANS(L4))</f>
        <v>-197.42057377743254</v>
      </c>
      <c r="O4" s="16">
        <f>M4-'"0" цикл 24.06'!M3</f>
        <v>516.9218412305147</v>
      </c>
      <c r="P4" s="16">
        <f>N4-'"0" цикл 24.06'!N3</f>
        <v>-784.12197418385415</v>
      </c>
      <c r="Q4" s="16">
        <f t="shared" ref="Q4:Q54" si="8">SQRT(O4^2+P4^2)</f>
        <v>939.17807701155925</v>
      </c>
      <c r="R4" s="16">
        <f t="shared" ref="R4:R54" si="9">IF(Q4=0,0,IF(O4&gt;=0,DEGREES(ASIN(P4/Q4)),(180-DEGREES(ASIN(P4/Q4)))))</f>
        <v>-56.605670538043313</v>
      </c>
      <c r="S4" s="16">
        <f t="shared" ref="S4:S54" si="10">IF(R4&lt;0,360+R4,R4)</f>
        <v>303.39432946195666</v>
      </c>
    </row>
    <row r="5" spans="1:19" x14ac:dyDescent="0.45">
      <c r="A5" s="7">
        <v>0.5</v>
      </c>
      <c r="B5" s="11" t="s">
        <v>107</v>
      </c>
      <c r="C5" s="11" t="s">
        <v>108</v>
      </c>
      <c r="D5" s="8">
        <f t="shared" si="3"/>
        <v>-587</v>
      </c>
      <c r="E5" s="8">
        <f t="shared" si="0"/>
        <v>-192.41010082794665</v>
      </c>
      <c r="F5" s="11">
        <v>-2302</v>
      </c>
      <c r="G5" s="11">
        <v>-1171</v>
      </c>
      <c r="H5" s="8">
        <f t="shared" ref="H5:H54" si="11">(F5-G5)/2</f>
        <v>-565.5</v>
      </c>
      <c r="I5" s="8">
        <f t="shared" si="1"/>
        <v>-194.2911218983574</v>
      </c>
      <c r="J5" s="16">
        <f t="shared" si="4"/>
        <v>273.44229180787482</v>
      </c>
      <c r="K5" s="16">
        <f t="shared" si="2"/>
        <v>45.27870022685164</v>
      </c>
      <c r="L5" s="16">
        <f t="shared" si="5"/>
        <v>225.27870022685164</v>
      </c>
      <c r="M5" s="16">
        <f t="shared" si="6"/>
        <v>-192.41010082794665</v>
      </c>
      <c r="N5" s="16">
        <f t="shared" si="7"/>
        <v>-194.2911218983574</v>
      </c>
      <c r="O5" s="16">
        <f>M5-'"0" цикл 24.06'!M4</f>
        <v>524.61381305537861</v>
      </c>
      <c r="P5" s="16">
        <f>N5-'"0" цикл 24.06'!N4</f>
        <v>-786.51213515400218</v>
      </c>
      <c r="Q5" s="16">
        <f t="shared" si="8"/>
        <v>945.42106576541391</v>
      </c>
      <c r="R5" s="16">
        <f t="shared" si="9"/>
        <v>-56.296197194784135</v>
      </c>
      <c r="S5" s="16">
        <f t="shared" si="10"/>
        <v>303.70380280521584</v>
      </c>
    </row>
    <row r="6" spans="1:19" x14ac:dyDescent="0.45">
      <c r="A6" s="7">
        <v>1</v>
      </c>
      <c r="B6" s="11" t="s">
        <v>109</v>
      </c>
      <c r="C6" s="11" t="s">
        <v>110</v>
      </c>
      <c r="D6" s="8">
        <f t="shared" si="3"/>
        <v>-1149.5</v>
      </c>
      <c r="E6" s="8">
        <f t="shared" si="0"/>
        <v>-190.98717459458109</v>
      </c>
      <c r="F6" s="11">
        <v>-2912</v>
      </c>
      <c r="G6" s="11">
        <v>-547</v>
      </c>
      <c r="H6" s="8">
        <f t="shared" si="11"/>
        <v>-1182.5</v>
      </c>
      <c r="I6" s="8">
        <f t="shared" si="1"/>
        <v>-192.92031293229982</v>
      </c>
      <c r="J6" s="16">
        <f t="shared" si="4"/>
        <v>271.4670293083812</v>
      </c>
      <c r="K6" s="16">
        <f t="shared" si="2"/>
        <v>45.288506308022626</v>
      </c>
      <c r="L6" s="16">
        <f t="shared" si="5"/>
        <v>225.28850630802262</v>
      </c>
      <c r="M6" s="16">
        <f t="shared" si="6"/>
        <v>-190.98717459458115</v>
      </c>
      <c r="N6" s="16">
        <f t="shared" si="7"/>
        <v>-192.92031293229979</v>
      </c>
      <c r="O6" s="16">
        <f>M6-'"0" цикл 24.06'!M5</f>
        <v>532.66297870773963</v>
      </c>
      <c r="P6" s="16">
        <f>N6-'"0" цикл 24.06'!N5</f>
        <v>-792.60717942324163</v>
      </c>
      <c r="Q6" s="16">
        <f t="shared" si="8"/>
        <v>954.9638683002978</v>
      </c>
      <c r="R6" s="16">
        <f t="shared" si="9"/>
        <v>-56.097357786009781</v>
      </c>
      <c r="S6" s="16">
        <f t="shared" si="10"/>
        <v>303.90264221399025</v>
      </c>
    </row>
    <row r="7" spans="1:19" x14ac:dyDescent="0.45">
      <c r="A7" s="7">
        <v>1.5</v>
      </c>
      <c r="B7" s="11" t="s">
        <v>111</v>
      </c>
      <c r="C7" s="11" t="s">
        <v>112</v>
      </c>
      <c r="D7" s="8">
        <f t="shared" si="3"/>
        <v>-1497</v>
      </c>
      <c r="E7" s="8">
        <f t="shared" si="0"/>
        <v>-188.20072238586908</v>
      </c>
      <c r="F7" s="11">
        <v>-3200</v>
      </c>
      <c r="G7" s="11">
        <v>-222</v>
      </c>
      <c r="H7" s="8">
        <f t="shared" si="11"/>
        <v>-1489</v>
      </c>
      <c r="I7" s="8">
        <f t="shared" si="1"/>
        <v>-190.05386774441848</v>
      </c>
      <c r="J7" s="16">
        <f t="shared" si="4"/>
        <v>267.46959556401151</v>
      </c>
      <c r="K7" s="16">
        <f t="shared" si="2"/>
        <v>45.280701308472246</v>
      </c>
      <c r="L7" s="16">
        <f t="shared" si="5"/>
        <v>225.28070130847226</v>
      </c>
      <c r="M7" s="16">
        <f t="shared" si="6"/>
        <v>-188.20072238586908</v>
      </c>
      <c r="N7" s="16">
        <f t="shared" si="7"/>
        <v>-190.05386774441851</v>
      </c>
      <c r="O7" s="16">
        <f>M7-'"0" цикл 24.06'!M6</f>
        <v>540.03849158715775</v>
      </c>
      <c r="P7" s="16">
        <f>N7-'"0" цикл 24.06'!N6</f>
        <v>-795.54479326974933</v>
      </c>
      <c r="Q7" s="16">
        <f t="shared" si="8"/>
        <v>961.52643775111085</v>
      </c>
      <c r="R7" s="16">
        <f t="shared" si="9"/>
        <v>-55.830220765292331</v>
      </c>
      <c r="S7" s="16">
        <f t="shared" si="10"/>
        <v>304.16977923470768</v>
      </c>
    </row>
    <row r="8" spans="1:19" x14ac:dyDescent="0.45">
      <c r="A8" s="7">
        <v>2</v>
      </c>
      <c r="B8" s="11" t="s">
        <v>113</v>
      </c>
      <c r="C8" s="11" t="s">
        <v>114</v>
      </c>
      <c r="D8" s="8">
        <f t="shared" si="3"/>
        <v>-1174.5</v>
      </c>
      <c r="E8" s="8">
        <f t="shared" si="0"/>
        <v>-184.57192383996491</v>
      </c>
      <c r="F8" s="11">
        <v>-2928</v>
      </c>
      <c r="G8" s="11">
        <v>-615</v>
      </c>
      <c r="H8" s="8">
        <f t="shared" si="11"/>
        <v>-1156.5</v>
      </c>
      <c r="I8" s="8">
        <f t="shared" si="1"/>
        <v>-186.44446123774742</v>
      </c>
      <c r="J8" s="16">
        <f t="shared" si="4"/>
        <v>262.35154315578114</v>
      </c>
      <c r="K8" s="16">
        <f t="shared" si="2"/>
        <v>45.289172077640984</v>
      </c>
      <c r="L8" s="16">
        <f t="shared" si="5"/>
        <v>225.28917207764098</v>
      </c>
      <c r="M8" s="16">
        <f t="shared" si="6"/>
        <v>-184.57192383996488</v>
      </c>
      <c r="N8" s="16">
        <f t="shared" si="7"/>
        <v>-186.44446123774745</v>
      </c>
      <c r="O8" s="16">
        <f>M8-'"0" цикл 24.06'!M7</f>
        <v>545.91233354311657</v>
      </c>
      <c r="P8" s="16">
        <f>N8-'"0" цикл 24.06'!N7</f>
        <v>-795.19852328271327</v>
      </c>
      <c r="Q8" s="16">
        <f t="shared" si="8"/>
        <v>964.55221079291448</v>
      </c>
      <c r="R8" s="16">
        <f t="shared" si="9"/>
        <v>-55.529983016096239</v>
      </c>
      <c r="S8" s="16">
        <f t="shared" si="10"/>
        <v>304.47001698390375</v>
      </c>
    </row>
    <row r="9" spans="1:19" x14ac:dyDescent="0.45">
      <c r="A9" s="7">
        <v>2.5</v>
      </c>
      <c r="B9" s="11" t="s">
        <v>115</v>
      </c>
      <c r="C9" s="11" t="s">
        <v>116</v>
      </c>
      <c r="D9" s="8">
        <f t="shared" si="3"/>
        <v>-1837</v>
      </c>
      <c r="E9" s="8">
        <f t="shared" si="0"/>
        <v>-181.7248708827984</v>
      </c>
      <c r="F9" s="11">
        <v>-3558</v>
      </c>
      <c r="G9" s="11">
        <v>171</v>
      </c>
      <c r="H9" s="8">
        <f t="shared" si="11"/>
        <v>-1864.5</v>
      </c>
      <c r="I9" s="8">
        <f t="shared" si="1"/>
        <v>-183.64104081530374</v>
      </c>
      <c r="J9" s="16">
        <f t="shared" si="4"/>
        <v>258.35626675019478</v>
      </c>
      <c r="K9" s="16">
        <f t="shared" si="2"/>
        <v>45.300486279332638</v>
      </c>
      <c r="L9" s="16">
        <f t="shared" si="5"/>
        <v>225.30048627933263</v>
      </c>
      <c r="M9" s="16">
        <f t="shared" si="6"/>
        <v>-181.7248708827984</v>
      </c>
      <c r="N9" s="16">
        <f t="shared" si="7"/>
        <v>-183.64104081530374</v>
      </c>
      <c r="O9" s="16">
        <f>M9-'"0" цикл 24.06'!M8</f>
        <v>549.50854456071329</v>
      </c>
      <c r="P9" s="16">
        <f>N9-'"0" цикл 24.06'!N8</f>
        <v>-794.29799196503689</v>
      </c>
      <c r="Q9" s="16">
        <f t="shared" si="8"/>
        <v>965.85140709372217</v>
      </c>
      <c r="R9" s="16">
        <f t="shared" si="9"/>
        <v>-55.323871393433436</v>
      </c>
      <c r="S9" s="16">
        <f t="shared" si="10"/>
        <v>304.67612860656658</v>
      </c>
    </row>
    <row r="10" spans="1:19" x14ac:dyDescent="0.45">
      <c r="A10" s="7">
        <v>3</v>
      </c>
      <c r="B10" s="11" t="s">
        <v>117</v>
      </c>
      <c r="C10" s="11" t="s">
        <v>118</v>
      </c>
      <c r="D10" s="8">
        <f t="shared" si="3"/>
        <v>-2058</v>
      </c>
      <c r="E10" s="8">
        <f t="shared" si="0"/>
        <v>-177.27191608842742</v>
      </c>
      <c r="F10" s="11">
        <v>-3765</v>
      </c>
      <c r="G10" s="11">
        <v>350</v>
      </c>
      <c r="H10" s="8">
        <f t="shared" si="11"/>
        <v>-2057.5</v>
      </c>
      <c r="I10" s="8">
        <f t="shared" si="1"/>
        <v>-179.12142682325731</v>
      </c>
      <c r="J10" s="16">
        <f t="shared" si="4"/>
        <v>252.01154295163144</v>
      </c>
      <c r="K10" s="16">
        <f t="shared" si="2"/>
        <v>45.297334981427682</v>
      </c>
      <c r="L10" s="16">
        <f t="shared" si="5"/>
        <v>225.2973349814277</v>
      </c>
      <c r="M10" s="16">
        <f t="shared" si="6"/>
        <v>-177.27191608842736</v>
      </c>
      <c r="N10" s="16">
        <f t="shared" si="7"/>
        <v>-179.12142682325734</v>
      </c>
      <c r="O10" s="16">
        <f>M10-'"0" цикл 24.06'!M9</f>
        <v>553.01344676975089</v>
      </c>
      <c r="P10" s="16">
        <f>N10-'"0" цикл 24.06'!N9</f>
        <v>-789.97315186445019</v>
      </c>
      <c r="Q10" s="16">
        <f t="shared" si="8"/>
        <v>964.30361037113914</v>
      </c>
      <c r="R10" s="16">
        <f t="shared" si="9"/>
        <v>-55.006410461610592</v>
      </c>
      <c r="S10" s="16">
        <f t="shared" si="10"/>
        <v>304.99358953838941</v>
      </c>
    </row>
    <row r="11" spans="1:19" x14ac:dyDescent="0.45">
      <c r="A11" s="7">
        <v>3.5</v>
      </c>
      <c r="B11" s="11" t="s">
        <v>119</v>
      </c>
      <c r="C11" s="11" t="s">
        <v>120</v>
      </c>
      <c r="D11" s="8">
        <f t="shared" si="3"/>
        <v>-2136.5</v>
      </c>
      <c r="E11" s="8">
        <f t="shared" si="0"/>
        <v>-172.28326608063912</v>
      </c>
      <c r="F11" s="11">
        <v>-4262</v>
      </c>
      <c r="G11" s="11">
        <v>374</v>
      </c>
      <c r="H11" s="8">
        <f t="shared" si="11"/>
        <v>-2318</v>
      </c>
      <c r="I11" s="8">
        <f t="shared" si="1"/>
        <v>-174.13398878935806</v>
      </c>
      <c r="J11" s="16">
        <f t="shared" si="4"/>
        <v>244.95748574620978</v>
      </c>
      <c r="K11" s="16">
        <f t="shared" si="2"/>
        <v>45.30609789187934</v>
      </c>
      <c r="L11" s="16">
        <f t="shared" si="5"/>
        <v>225.30609789187935</v>
      </c>
      <c r="M11" s="16">
        <f t="shared" si="6"/>
        <v>-172.28326608063909</v>
      </c>
      <c r="N11" s="16">
        <f t="shared" si="7"/>
        <v>-174.13398878935806</v>
      </c>
      <c r="O11" s="16">
        <f>M11-'"0" цикл 24.06'!M10</f>
        <v>555.08753463588187</v>
      </c>
      <c r="P11" s="16">
        <f>N11-'"0" цикл 24.06'!N10</f>
        <v>-783.11373137774262</v>
      </c>
      <c r="Q11" s="16">
        <f t="shared" si="8"/>
        <v>959.89024757026914</v>
      </c>
      <c r="R11" s="16">
        <f t="shared" si="9"/>
        <v>-54.670181157173651</v>
      </c>
      <c r="S11" s="16">
        <f t="shared" si="10"/>
        <v>305.32981884282634</v>
      </c>
    </row>
    <row r="12" spans="1:19" x14ac:dyDescent="0.45">
      <c r="A12" s="7">
        <v>4</v>
      </c>
      <c r="B12" s="11" t="s">
        <v>121</v>
      </c>
      <c r="C12" s="11" t="s">
        <v>122</v>
      </c>
      <c r="D12" s="8">
        <f t="shared" si="3"/>
        <v>-2731.5</v>
      </c>
      <c r="E12" s="8">
        <f t="shared" si="0"/>
        <v>-167.10433654044473</v>
      </c>
      <c r="F12" s="11">
        <v>-4510</v>
      </c>
      <c r="G12" s="11">
        <v>1097</v>
      </c>
      <c r="H12" s="8">
        <f t="shared" si="11"/>
        <v>-2803.5</v>
      </c>
      <c r="I12" s="8">
        <f t="shared" si="1"/>
        <v>-168.51511649701695</v>
      </c>
      <c r="J12" s="16">
        <f t="shared" si="4"/>
        <v>237.3208877840832</v>
      </c>
      <c r="K12" s="16">
        <f t="shared" si="2"/>
        <v>45.240842002813665</v>
      </c>
      <c r="L12" s="16">
        <f t="shared" si="5"/>
        <v>225.24084200281368</v>
      </c>
      <c r="M12" s="16">
        <f t="shared" si="6"/>
        <v>-167.10433654044471</v>
      </c>
      <c r="N12" s="16">
        <f t="shared" si="7"/>
        <v>-168.51511649701698</v>
      </c>
      <c r="O12" s="16">
        <f>M12-'"0" цикл 24.06'!M11</f>
        <v>555.61013848216317</v>
      </c>
      <c r="P12" s="16">
        <f>N12-'"0" цикл 24.06'!N11</f>
        <v>-773.5926333809814</v>
      </c>
      <c r="Q12" s="16">
        <f t="shared" si="8"/>
        <v>952.44327306432797</v>
      </c>
      <c r="R12" s="16">
        <f t="shared" si="9"/>
        <v>-54.313315161928578</v>
      </c>
      <c r="S12" s="16">
        <f t="shared" si="10"/>
        <v>305.68668483807141</v>
      </c>
    </row>
    <row r="13" spans="1:19" x14ac:dyDescent="0.45">
      <c r="A13" s="7">
        <v>4.5</v>
      </c>
      <c r="B13" s="11" t="s">
        <v>123</v>
      </c>
      <c r="C13" s="11" t="s">
        <v>124</v>
      </c>
      <c r="D13" s="8">
        <f t="shared" si="3"/>
        <v>-3916</v>
      </c>
      <c r="E13" s="8">
        <f t="shared" si="0"/>
        <v>-160.48318721840269</v>
      </c>
      <c r="F13" s="11">
        <v>-5668</v>
      </c>
      <c r="G13" s="11">
        <v>2227</v>
      </c>
      <c r="H13" s="8">
        <f t="shared" si="11"/>
        <v>-3947.5</v>
      </c>
      <c r="I13" s="8">
        <f t="shared" si="1"/>
        <v>-161.71944996028762</v>
      </c>
      <c r="J13" s="16">
        <f t="shared" si="4"/>
        <v>227.83334671473108</v>
      </c>
      <c r="K13" s="16">
        <f t="shared" si="2"/>
        <v>45.219837709914366</v>
      </c>
      <c r="L13" s="16">
        <f t="shared" si="5"/>
        <v>225.21983770991437</v>
      </c>
      <c r="M13" s="16">
        <f t="shared" si="6"/>
        <v>-160.48318721840266</v>
      </c>
      <c r="N13" s="16">
        <f t="shared" si="7"/>
        <v>-161.71944996028768</v>
      </c>
      <c r="O13" s="16">
        <f>M13-'"0" цикл 24.06'!M12</f>
        <v>558.02182154286027</v>
      </c>
      <c r="P13" s="16">
        <f>N13-'"0" цикл 24.06'!N12</f>
        <v>-763.81477436997375</v>
      </c>
      <c r="Q13" s="16">
        <f t="shared" si="8"/>
        <v>945.93940760699138</v>
      </c>
      <c r="R13" s="16">
        <f t="shared" si="9"/>
        <v>-53.849175257390819</v>
      </c>
      <c r="S13" s="16">
        <f t="shared" si="10"/>
        <v>306.15082474260919</v>
      </c>
    </row>
    <row r="14" spans="1:19" x14ac:dyDescent="0.45">
      <c r="A14" s="7">
        <v>5</v>
      </c>
      <c r="B14" s="11" t="s">
        <v>125</v>
      </c>
      <c r="C14" s="11" t="s">
        <v>126</v>
      </c>
      <c r="D14" s="8">
        <f t="shared" si="3"/>
        <v>-5273.5</v>
      </c>
      <c r="E14" s="8">
        <f t="shared" si="0"/>
        <v>-150.99110559002344</v>
      </c>
      <c r="F14" s="11">
        <v>-7005</v>
      </c>
      <c r="G14" s="11">
        <v>3515</v>
      </c>
      <c r="H14" s="8">
        <f t="shared" si="11"/>
        <v>-5260</v>
      </c>
      <c r="I14" s="8">
        <f t="shared" si="1"/>
        <v>-152.15102404903928</v>
      </c>
      <c r="J14" s="16">
        <f t="shared" si="4"/>
        <v>214.35542467236263</v>
      </c>
      <c r="K14" s="16">
        <f t="shared" si="2"/>
        <v>45.219230853955821</v>
      </c>
      <c r="L14" s="16">
        <f t="shared" si="5"/>
        <v>225.21923085395582</v>
      </c>
      <c r="M14" s="16">
        <f t="shared" si="6"/>
        <v>-150.99110559002344</v>
      </c>
      <c r="N14" s="16">
        <f t="shared" si="7"/>
        <v>-152.15102404903925</v>
      </c>
      <c r="O14" s="16">
        <f>M14-'"0" цикл 24.06'!M13</f>
        <v>564.94294754947418</v>
      </c>
      <c r="P14" s="16">
        <f>N14-'"0" цикл 24.06'!N13</f>
        <v>-752.69167469194667</v>
      </c>
      <c r="Q14" s="16">
        <f t="shared" si="8"/>
        <v>941.11916946604333</v>
      </c>
      <c r="R14" s="16">
        <f t="shared" si="9"/>
        <v>-53.109442369134847</v>
      </c>
      <c r="S14" s="16">
        <f t="shared" si="10"/>
        <v>306.89055763086515</v>
      </c>
    </row>
    <row r="15" spans="1:19" x14ac:dyDescent="0.45">
      <c r="A15" s="7">
        <v>5.5</v>
      </c>
      <c r="B15" s="11" t="s">
        <v>127</v>
      </c>
      <c r="C15" s="11" t="s">
        <v>128</v>
      </c>
      <c r="D15" s="8">
        <f t="shared" si="3"/>
        <v>-6288.5</v>
      </c>
      <c r="E15" s="8">
        <f t="shared" si="0"/>
        <v>-138.2091734521515</v>
      </c>
      <c r="F15" s="11">
        <v>-8031</v>
      </c>
      <c r="G15" s="11">
        <v>4599</v>
      </c>
      <c r="H15" s="8">
        <f t="shared" si="11"/>
        <v>-6315</v>
      </c>
      <c r="I15" s="8">
        <f t="shared" si="1"/>
        <v>-139.4018061671969</v>
      </c>
      <c r="J15" s="16">
        <f t="shared" si="4"/>
        <v>196.30241768506988</v>
      </c>
      <c r="K15" s="16">
        <f t="shared" si="2"/>
        <v>45.246144445704807</v>
      </c>
      <c r="L15" s="16">
        <f t="shared" si="5"/>
        <v>225.2461444457048</v>
      </c>
      <c r="M15" s="16">
        <f t="shared" si="6"/>
        <v>-138.20917345215156</v>
      </c>
      <c r="N15" s="16">
        <f t="shared" si="7"/>
        <v>-139.40180616719684</v>
      </c>
      <c r="O15" s="16">
        <f>M15-'"0" цикл 24.06'!M14</f>
        <v>577.62452325603044</v>
      </c>
      <c r="P15" s="16">
        <f>N15-'"0" цикл 24.06'!N14</f>
        <v>-740.84117968752594</v>
      </c>
      <c r="Q15" s="16">
        <f t="shared" si="8"/>
        <v>939.41244583386344</v>
      </c>
      <c r="R15" s="16">
        <f t="shared" si="9"/>
        <v>-52.056906992074786</v>
      </c>
      <c r="S15" s="16">
        <f t="shared" si="10"/>
        <v>307.9430930079252</v>
      </c>
    </row>
    <row r="16" spans="1:19" x14ac:dyDescent="0.45">
      <c r="A16" s="7">
        <v>6</v>
      </c>
      <c r="B16" s="11" t="s">
        <v>129</v>
      </c>
      <c r="C16" s="11" t="s">
        <v>130</v>
      </c>
      <c r="D16" s="8">
        <f t="shared" si="3"/>
        <v>-6174.5</v>
      </c>
      <c r="E16" s="8">
        <f t="shared" si="0"/>
        <v>-122.96778065563274</v>
      </c>
      <c r="F16" s="11">
        <v>-7865</v>
      </c>
      <c r="G16" s="11">
        <v>4444</v>
      </c>
      <c r="H16" s="8">
        <f t="shared" si="11"/>
        <v>-6154.5</v>
      </c>
      <c r="I16" s="8">
        <f t="shared" si="1"/>
        <v>-124.09620553572584</v>
      </c>
      <c r="J16" s="16">
        <f t="shared" si="4"/>
        <v>174.70244219167893</v>
      </c>
      <c r="K16" s="16">
        <f t="shared" si="2"/>
        <v>45.261687405582485</v>
      </c>
      <c r="L16" s="16">
        <f t="shared" si="5"/>
        <v>225.26168740558248</v>
      </c>
      <c r="M16" s="16">
        <f t="shared" si="6"/>
        <v>-122.96778065563272</v>
      </c>
      <c r="N16" s="16">
        <f t="shared" si="7"/>
        <v>-124.09620553572584</v>
      </c>
      <c r="O16" s="16">
        <f>M16-'"0" цикл 24.06'!M15</f>
        <v>594.65681396122932</v>
      </c>
      <c r="P16" s="16">
        <f>N16-'"0" цикл 24.06'!N15</f>
        <v>-728.36675462113396</v>
      </c>
      <c r="Q16" s="16">
        <f t="shared" si="8"/>
        <v>940.28445463478943</v>
      </c>
      <c r="R16" s="16">
        <f t="shared" si="9"/>
        <v>-50.77094101946313</v>
      </c>
      <c r="S16" s="16">
        <f t="shared" si="10"/>
        <v>309.22905898053688</v>
      </c>
    </row>
    <row r="17" spans="1:19" x14ac:dyDescent="0.45">
      <c r="A17" s="7">
        <v>6.5</v>
      </c>
      <c r="B17" s="11" t="s">
        <v>131</v>
      </c>
      <c r="C17" s="11" t="s">
        <v>132</v>
      </c>
      <c r="D17" s="8">
        <f t="shared" si="3"/>
        <v>-5283.5</v>
      </c>
      <c r="E17" s="8">
        <f t="shared" si="0"/>
        <v>-108.00260555193182</v>
      </c>
      <c r="F17" s="11">
        <v>-6979</v>
      </c>
      <c r="G17" s="11">
        <v>3516</v>
      </c>
      <c r="H17" s="8">
        <f t="shared" si="11"/>
        <v>-5247.5</v>
      </c>
      <c r="I17" s="8">
        <f t="shared" si="1"/>
        <v>-109.17949015011231</v>
      </c>
      <c r="J17" s="16">
        <f t="shared" si="4"/>
        <v>153.573187358486</v>
      </c>
      <c r="K17" s="16">
        <f t="shared" si="2"/>
        <v>45.310476147799271</v>
      </c>
      <c r="L17" s="16">
        <f t="shared" si="5"/>
        <v>225.31047614779928</v>
      </c>
      <c r="M17" s="16">
        <f t="shared" si="6"/>
        <v>-108.00260555193178</v>
      </c>
      <c r="N17" s="16">
        <f t="shared" si="7"/>
        <v>-109.17949015011233</v>
      </c>
      <c r="O17" s="16">
        <f>M17-'"0" цикл 24.06'!M16</f>
        <v>612.27814952700885</v>
      </c>
      <c r="P17" s="16">
        <f>N17-'"0" цикл 24.06'!N16</f>
        <v>-717.1711922928655</v>
      </c>
      <c r="Q17" s="16">
        <f t="shared" si="8"/>
        <v>942.98412046173314</v>
      </c>
      <c r="R17" s="16">
        <f t="shared" si="9"/>
        <v>-49.511269391482337</v>
      </c>
      <c r="S17" s="16">
        <f t="shared" si="10"/>
        <v>310.48873060851764</v>
      </c>
    </row>
    <row r="18" spans="1:19" x14ac:dyDescent="0.45">
      <c r="A18" s="7">
        <v>7</v>
      </c>
      <c r="B18" s="11" t="s">
        <v>133</v>
      </c>
      <c r="C18" s="11" t="s">
        <v>134</v>
      </c>
      <c r="D18" s="8">
        <f t="shared" si="3"/>
        <v>-3972.5</v>
      </c>
      <c r="E18" s="8">
        <f t="shared" si="0"/>
        <v>-95.196440667108746</v>
      </c>
      <c r="F18" s="11">
        <v>-5692</v>
      </c>
      <c r="G18" s="11">
        <v>2257</v>
      </c>
      <c r="H18" s="8">
        <f t="shared" si="11"/>
        <v>-3974.5</v>
      </c>
      <c r="I18" s="8">
        <f t="shared" si="1"/>
        <v>-96.46056329477338</v>
      </c>
      <c r="J18" s="16">
        <f t="shared" si="4"/>
        <v>135.5249150039628</v>
      </c>
      <c r="K18" s="16">
        <f t="shared" si="2"/>
        <v>45.377903439828913</v>
      </c>
      <c r="L18" s="16">
        <f t="shared" si="5"/>
        <v>225.37790343982891</v>
      </c>
      <c r="M18" s="16">
        <f t="shared" si="6"/>
        <v>-95.196440667108774</v>
      </c>
      <c r="N18" s="16">
        <f t="shared" si="7"/>
        <v>-96.46056329477338</v>
      </c>
      <c r="O18" s="16">
        <f>M18-'"0" цикл 24.06'!M17</f>
        <v>628.27315478135415</v>
      </c>
      <c r="P18" s="16">
        <f>N18-'"0" цикл 24.06'!N17</f>
        <v>-708.48974989507406</v>
      </c>
      <c r="Q18" s="16">
        <f t="shared" si="8"/>
        <v>946.93446590843871</v>
      </c>
      <c r="R18" s="16">
        <f t="shared" si="9"/>
        <v>-48.434092496623634</v>
      </c>
      <c r="S18" s="16">
        <f t="shared" si="10"/>
        <v>311.56590750337637</v>
      </c>
    </row>
    <row r="19" spans="1:19" x14ac:dyDescent="0.45">
      <c r="A19" s="7">
        <v>7.5</v>
      </c>
      <c r="B19" s="11" t="s">
        <v>135</v>
      </c>
      <c r="C19" s="11" t="s">
        <v>136</v>
      </c>
      <c r="D19" s="8">
        <f t="shared" si="3"/>
        <v>-3002</v>
      </c>
      <c r="E19" s="8">
        <f t="shared" si="0"/>
        <v>-85.567424213919381</v>
      </c>
      <c r="F19" s="11">
        <v>-4692</v>
      </c>
      <c r="G19" s="11">
        <v>1275</v>
      </c>
      <c r="H19" s="8">
        <f t="shared" si="11"/>
        <v>-2983.5</v>
      </c>
      <c r="I19" s="8">
        <f t="shared" si="1"/>
        <v>-86.8266996043277</v>
      </c>
      <c r="J19" s="16">
        <f t="shared" si="4"/>
        <v>121.90430612076423</v>
      </c>
      <c r="K19" s="16">
        <f t="shared" si="2"/>
        <v>45.41851706013226</v>
      </c>
      <c r="L19" s="16">
        <f t="shared" si="5"/>
        <v>225.41851706013227</v>
      </c>
      <c r="M19" s="16">
        <f t="shared" si="6"/>
        <v>-85.567424213919395</v>
      </c>
      <c r="N19" s="16">
        <f t="shared" si="7"/>
        <v>-86.826699604327686</v>
      </c>
      <c r="O19" s="16">
        <f>M19-'"0" цикл 24.06'!M18</f>
        <v>639.71076472794743</v>
      </c>
      <c r="P19" s="16">
        <f>N19-'"0" цикл 24.06'!N18</f>
        <v>-701.87286343455025</v>
      </c>
      <c r="Q19" s="16">
        <f t="shared" si="8"/>
        <v>949.66066515078433</v>
      </c>
      <c r="R19" s="16">
        <f t="shared" si="9"/>
        <v>-47.652894879828452</v>
      </c>
      <c r="S19" s="16">
        <f t="shared" si="10"/>
        <v>312.34710512017153</v>
      </c>
    </row>
    <row r="20" spans="1:19" x14ac:dyDescent="0.45">
      <c r="A20" s="7">
        <v>8</v>
      </c>
      <c r="B20" s="11" t="s">
        <v>137</v>
      </c>
      <c r="C20" s="11" t="s">
        <v>138</v>
      </c>
      <c r="D20" s="8">
        <f t="shared" si="3"/>
        <v>-3003</v>
      </c>
      <c r="E20" s="8">
        <f t="shared" si="0"/>
        <v>-78.290627764436962</v>
      </c>
      <c r="F20" s="11">
        <v>-4692</v>
      </c>
      <c r="G20" s="11">
        <v>1309</v>
      </c>
      <c r="H20" s="8">
        <f t="shared" si="11"/>
        <v>-3000.5</v>
      </c>
      <c r="I20" s="8">
        <f t="shared" si="1"/>
        <v>-79.594743700032922</v>
      </c>
      <c r="J20" s="16">
        <f t="shared" si="4"/>
        <v>111.64562517368765</v>
      </c>
      <c r="K20" s="16">
        <f t="shared" si="2"/>
        <v>45.473246122785248</v>
      </c>
      <c r="L20" s="16">
        <f t="shared" si="5"/>
        <v>225.47324612278524</v>
      </c>
      <c r="M20" s="16">
        <f t="shared" si="6"/>
        <v>-78.290627764436962</v>
      </c>
      <c r="N20" s="16">
        <f t="shared" si="7"/>
        <v>-79.594743700032907</v>
      </c>
      <c r="O20" s="16">
        <f>M20-'"0" цикл 24.06'!M19</f>
        <v>648.76258153900278</v>
      </c>
      <c r="P20" s="16">
        <f>N20-'"0" цикл 24.06'!N19</f>
        <v>-697.36094127167758</v>
      </c>
      <c r="Q20" s="16">
        <f t="shared" si="8"/>
        <v>952.47318577294936</v>
      </c>
      <c r="R20" s="16">
        <f t="shared" si="9"/>
        <v>-47.067620132819023</v>
      </c>
      <c r="S20" s="16">
        <f t="shared" si="10"/>
        <v>312.932379867181</v>
      </c>
    </row>
    <row r="21" spans="1:19" x14ac:dyDescent="0.45">
      <c r="A21" s="7">
        <v>8.5</v>
      </c>
      <c r="B21" s="11" t="s">
        <v>139</v>
      </c>
      <c r="C21" s="11" t="s">
        <v>140</v>
      </c>
      <c r="D21" s="8">
        <f t="shared" si="3"/>
        <v>-3498.5</v>
      </c>
      <c r="E21" s="8">
        <f t="shared" si="0"/>
        <v>-71.011407503365533</v>
      </c>
      <c r="F21" s="11">
        <v>-5273</v>
      </c>
      <c r="G21" s="11">
        <v>1785</v>
      </c>
      <c r="H21" s="8">
        <f t="shared" si="11"/>
        <v>-3529</v>
      </c>
      <c r="I21" s="8">
        <f t="shared" si="1"/>
        <v>-72.321582968254702</v>
      </c>
      <c r="J21" s="16">
        <f t="shared" si="4"/>
        <v>101.35596360670243</v>
      </c>
      <c r="K21" s="16">
        <f t="shared" si="2"/>
        <v>45.523713582546556</v>
      </c>
      <c r="L21" s="16">
        <f t="shared" si="5"/>
        <v>225.52371358254655</v>
      </c>
      <c r="M21" s="16">
        <f t="shared" si="6"/>
        <v>-71.011407503365561</v>
      </c>
      <c r="N21" s="16">
        <f t="shared" si="7"/>
        <v>-72.321582968254674</v>
      </c>
      <c r="O21" s="16">
        <f>M21-'"0" цикл 24.06'!M20</f>
        <v>657.77088634739846</v>
      </c>
      <c r="P21" s="16">
        <f>N21-'"0" цикл 24.06'!N20</f>
        <v>-693.02864337286917</v>
      </c>
      <c r="Q21" s="16">
        <f t="shared" si="8"/>
        <v>955.48481906385177</v>
      </c>
      <c r="R21" s="16">
        <f t="shared" si="9"/>
        <v>-46.495160501384973</v>
      </c>
      <c r="S21" s="16">
        <f t="shared" si="10"/>
        <v>313.50483949861501</v>
      </c>
    </row>
    <row r="22" spans="1:19" x14ac:dyDescent="0.45">
      <c r="A22" s="7">
        <v>9</v>
      </c>
      <c r="B22" s="11" t="s">
        <v>141</v>
      </c>
      <c r="C22" s="11" t="s">
        <v>142</v>
      </c>
      <c r="D22" s="8">
        <f t="shared" si="3"/>
        <v>-3913</v>
      </c>
      <c r="E22" s="8">
        <f t="shared" si="0"/>
        <v>-62.531210800945146</v>
      </c>
      <c r="F22" s="11">
        <v>-5626</v>
      </c>
      <c r="G22" s="11">
        <v>2201</v>
      </c>
      <c r="H22" s="8">
        <f t="shared" si="11"/>
        <v>-3913.5</v>
      </c>
      <c r="I22" s="8">
        <f t="shared" si="1"/>
        <v>-63.767462906961811</v>
      </c>
      <c r="J22" s="16">
        <f t="shared" si="4"/>
        <v>89.310926822102729</v>
      </c>
      <c r="K22" s="16">
        <f t="shared" si="2"/>
        <v>45.56081163777192</v>
      </c>
      <c r="L22" s="16">
        <f t="shared" si="5"/>
        <v>225.56081163777191</v>
      </c>
      <c r="M22" s="16">
        <f t="shared" si="6"/>
        <v>-62.531210800945161</v>
      </c>
      <c r="N22" s="16">
        <f t="shared" si="7"/>
        <v>-63.767462906961804</v>
      </c>
      <c r="O22" s="16">
        <f>M22-'"0" цикл 24.06'!M21</f>
        <v>668.19239335490977</v>
      </c>
      <c r="P22" s="16">
        <f>N22-'"0" цикл 24.06'!N21</f>
        <v>-687.38169216988854</v>
      </c>
      <c r="Q22" s="16">
        <f t="shared" si="8"/>
        <v>958.6316629799486</v>
      </c>
      <c r="R22" s="16">
        <f t="shared" si="9"/>
        <v>-45.811016096106158</v>
      </c>
      <c r="S22" s="16">
        <f t="shared" si="10"/>
        <v>314.18898390389381</v>
      </c>
    </row>
    <row r="23" spans="1:19" x14ac:dyDescent="0.45">
      <c r="A23" s="7">
        <v>9.5</v>
      </c>
      <c r="B23" s="11" t="s">
        <v>143</v>
      </c>
      <c r="C23" s="11" t="s">
        <v>144</v>
      </c>
      <c r="D23" s="8">
        <f t="shared" si="3"/>
        <v>-3790.5</v>
      </c>
      <c r="E23" s="8">
        <f t="shared" si="0"/>
        <v>-53.046400068222404</v>
      </c>
      <c r="F23" s="11">
        <v>-5529</v>
      </c>
      <c r="G23" s="11">
        <v>2057</v>
      </c>
      <c r="H23" s="8">
        <f t="shared" si="11"/>
        <v>-3793</v>
      </c>
      <c r="I23" s="8">
        <f t="shared" si="1"/>
        <v>-54.281440358156942</v>
      </c>
      <c r="J23" s="16">
        <f t="shared" si="4"/>
        <v>75.897268248297678</v>
      </c>
      <c r="K23" s="16">
        <f t="shared" si="2"/>
        <v>45.659283488457241</v>
      </c>
      <c r="L23" s="16">
        <f t="shared" si="5"/>
        <v>225.65928348845725</v>
      </c>
      <c r="M23" s="16">
        <f t="shared" si="6"/>
        <v>-53.046400068222397</v>
      </c>
      <c r="N23" s="16">
        <f t="shared" si="7"/>
        <v>-54.281440358156942</v>
      </c>
      <c r="O23" s="16">
        <f>M23-'"0" цикл 24.06'!M22</f>
        <v>679.5683365452503</v>
      </c>
      <c r="P23" s="16">
        <f>N23-'"0" цикл 24.06'!N22</f>
        <v>-680.91919171629388</v>
      </c>
      <c r="Q23" s="16">
        <f t="shared" si="8"/>
        <v>962.01043117133065</v>
      </c>
      <c r="R23" s="16">
        <f t="shared" si="9"/>
        <v>-45.056890102254549</v>
      </c>
      <c r="S23" s="16">
        <f t="shared" si="10"/>
        <v>314.94310989774544</v>
      </c>
    </row>
    <row r="24" spans="1:19" x14ac:dyDescent="0.45">
      <c r="A24" s="7">
        <v>10</v>
      </c>
      <c r="B24" s="11" t="s">
        <v>145</v>
      </c>
      <c r="C24" s="11" t="s">
        <v>146</v>
      </c>
      <c r="D24" s="8">
        <f t="shared" si="3"/>
        <v>-3258.5</v>
      </c>
      <c r="E24" s="8">
        <f t="shared" si="0"/>
        <v>-43.858485937705197</v>
      </c>
      <c r="F24" s="11">
        <v>-4984</v>
      </c>
      <c r="G24" s="11">
        <v>1527</v>
      </c>
      <c r="H24" s="8">
        <f t="shared" si="11"/>
        <v>-3255.5</v>
      </c>
      <c r="I24" s="8">
        <f t="shared" si="1"/>
        <v>-45.087467080559463</v>
      </c>
      <c r="J24" s="16">
        <f t="shared" si="4"/>
        <v>62.900289955519426</v>
      </c>
      <c r="K24" s="16">
        <f t="shared" si="2"/>
        <v>45.791615015753926</v>
      </c>
      <c r="L24" s="16">
        <f t="shared" si="5"/>
        <v>225.79161501575393</v>
      </c>
      <c r="M24" s="16">
        <f t="shared" si="6"/>
        <v>-43.858485937705183</v>
      </c>
      <c r="N24" s="16">
        <f t="shared" si="7"/>
        <v>-45.087467080559485</v>
      </c>
      <c r="O24" s="16">
        <f>M24-'"0" цикл 24.06'!M23</f>
        <v>690.33528621040045</v>
      </c>
      <c r="P24" s="16">
        <f>N24-'"0" цикл 24.06'!N23</f>
        <v>-674.14067200613215</v>
      </c>
      <c r="Q24" s="16">
        <f t="shared" si="8"/>
        <v>964.89815682281983</v>
      </c>
      <c r="R24" s="16">
        <f t="shared" si="9"/>
        <v>-44.320003057981403</v>
      </c>
      <c r="S24" s="16">
        <f t="shared" si="10"/>
        <v>315.67999694201859</v>
      </c>
    </row>
    <row r="25" spans="1:19" x14ac:dyDescent="0.45">
      <c r="A25" s="7">
        <v>10.5</v>
      </c>
      <c r="B25" s="11" t="s">
        <v>147</v>
      </c>
      <c r="C25" s="11" t="s">
        <v>148</v>
      </c>
      <c r="D25" s="8">
        <f t="shared" si="3"/>
        <v>-2736.5</v>
      </c>
      <c r="E25" s="8">
        <f t="shared" si="0"/>
        <v>-35.959987580390411</v>
      </c>
      <c r="F25" s="11">
        <v>-4436</v>
      </c>
      <c r="G25" s="11">
        <v>1003</v>
      </c>
      <c r="H25" s="8">
        <f t="shared" si="11"/>
        <v>-2719.5</v>
      </c>
      <c r="I25" s="8">
        <f t="shared" si="1"/>
        <v>-37.196240021868263</v>
      </c>
      <c r="J25" s="16">
        <f t="shared" si="4"/>
        <v>51.736650244737213</v>
      </c>
      <c r="K25" s="16">
        <f t="shared" si="2"/>
        <v>45.968137755275222</v>
      </c>
      <c r="L25" s="16">
        <f t="shared" si="5"/>
        <v>225.96813775527522</v>
      </c>
      <c r="M25" s="16">
        <f t="shared" si="6"/>
        <v>-35.959987580390418</v>
      </c>
      <c r="N25" s="16">
        <f t="shared" si="7"/>
        <v>-37.196240021868263</v>
      </c>
      <c r="O25" s="16">
        <f>M25-'"0" цикл 24.06'!M24</f>
        <v>697.81902651109135</v>
      </c>
      <c r="P25" s="16">
        <f>N25-'"0" цикл 24.06'!N24</f>
        <v>-667.04078174806762</v>
      </c>
      <c r="Q25" s="16">
        <f t="shared" si="8"/>
        <v>965.34698335674125</v>
      </c>
      <c r="R25" s="16">
        <f t="shared" si="9"/>
        <v>-43.70817157559803</v>
      </c>
      <c r="S25" s="16">
        <f t="shared" si="10"/>
        <v>316.29182842440196</v>
      </c>
    </row>
    <row r="26" spans="1:19" x14ac:dyDescent="0.45">
      <c r="A26" s="7">
        <v>11</v>
      </c>
      <c r="B26" s="11" t="s">
        <v>149</v>
      </c>
      <c r="C26" s="11" t="s">
        <v>150</v>
      </c>
      <c r="D26" s="8">
        <f t="shared" si="3"/>
        <v>-2344.5</v>
      </c>
      <c r="E26" s="8">
        <f t="shared" si="0"/>
        <v>-29.326718981016064</v>
      </c>
      <c r="F26" s="11">
        <v>-4117</v>
      </c>
      <c r="G26" s="11">
        <v>601</v>
      </c>
      <c r="H26" s="8">
        <f t="shared" si="11"/>
        <v>-2359</v>
      </c>
      <c r="I26" s="8">
        <f t="shared" si="1"/>
        <v>-30.604176981284045</v>
      </c>
      <c r="J26" s="16">
        <f t="shared" si="4"/>
        <v>42.387168988896207</v>
      </c>
      <c r="K26" s="16">
        <f t="shared" si="2"/>
        <v>46.221104217842246</v>
      </c>
      <c r="L26" s="16">
        <f t="shared" si="5"/>
        <v>226.22110421784225</v>
      </c>
      <c r="M26" s="16">
        <f t="shared" si="6"/>
        <v>-29.326718981016064</v>
      </c>
      <c r="N26" s="16">
        <f t="shared" si="7"/>
        <v>-30.604176981284049</v>
      </c>
      <c r="O26" s="16">
        <f>M26-'"0" цикл 24.06'!M25</f>
        <v>704.79214947475486</v>
      </c>
      <c r="P26" s="16">
        <f>N26-'"0" цикл 24.06'!N25</f>
        <v>-661.94739675514745</v>
      </c>
      <c r="Q26" s="16">
        <f t="shared" si="8"/>
        <v>966.90554349024274</v>
      </c>
      <c r="R26" s="16">
        <f t="shared" si="9"/>
        <v>-43.204471464853398</v>
      </c>
      <c r="S26" s="16">
        <f t="shared" si="10"/>
        <v>316.79552853514662</v>
      </c>
    </row>
    <row r="27" spans="1:19" x14ac:dyDescent="0.45">
      <c r="A27" s="7">
        <v>11.5</v>
      </c>
      <c r="B27" s="11" t="s">
        <v>151</v>
      </c>
      <c r="C27" s="11" t="s">
        <v>152</v>
      </c>
      <c r="D27" s="8">
        <f t="shared" si="3"/>
        <v>-2394.5</v>
      </c>
      <c r="E27" s="8">
        <f t="shared" si="0"/>
        <v>-23.643612978802462</v>
      </c>
      <c r="F27" s="11">
        <v>-4106</v>
      </c>
      <c r="G27" s="11">
        <v>670</v>
      </c>
      <c r="H27" s="8">
        <f t="shared" si="11"/>
        <v>-2388</v>
      </c>
      <c r="I27" s="8">
        <f t="shared" si="1"/>
        <v>-24.88592427179745</v>
      </c>
      <c r="J27" s="16">
        <f t="shared" si="4"/>
        <v>34.326806748560713</v>
      </c>
      <c r="K27" s="16">
        <f t="shared" si="2"/>
        <v>46.466398730814802</v>
      </c>
      <c r="L27" s="16">
        <f t="shared" si="5"/>
        <v>226.4663987308148</v>
      </c>
      <c r="M27" s="16">
        <f t="shared" si="6"/>
        <v>-23.643612978802452</v>
      </c>
      <c r="N27" s="16">
        <f t="shared" si="7"/>
        <v>-24.885924271797453</v>
      </c>
      <c r="O27" s="16">
        <f>M27-'"0" цикл 24.06'!M26</f>
        <v>711.88036487880231</v>
      </c>
      <c r="P27" s="16">
        <f>N27-'"0" цикл 24.06'!N26</f>
        <v>-658.63162899764666</v>
      </c>
      <c r="Q27" s="16">
        <f t="shared" si="8"/>
        <v>969.82950904582731</v>
      </c>
      <c r="R27" s="16">
        <f t="shared" si="9"/>
        <v>-42.774996470065702</v>
      </c>
      <c r="S27" s="16">
        <f t="shared" si="10"/>
        <v>317.22500352993427</v>
      </c>
    </row>
    <row r="28" spans="1:19" x14ac:dyDescent="0.45">
      <c r="A28" s="7">
        <v>12</v>
      </c>
      <c r="B28" s="11" t="s">
        <v>153</v>
      </c>
      <c r="C28" s="11" t="s">
        <v>154</v>
      </c>
      <c r="D28" s="8">
        <f t="shared" si="3"/>
        <v>-2150</v>
      </c>
      <c r="E28" s="8">
        <f t="shared" si="0"/>
        <v>-17.839311553905922</v>
      </c>
      <c r="F28" s="11">
        <v>-3862</v>
      </c>
      <c r="G28" s="11">
        <v>414</v>
      </c>
      <c r="H28" s="8">
        <f t="shared" si="11"/>
        <v>-2138</v>
      </c>
      <c r="I28" s="8">
        <f t="shared" si="1"/>
        <v>-19.097378232714043</v>
      </c>
      <c r="J28" s="16">
        <f t="shared" si="4"/>
        <v>26.133329142699395</v>
      </c>
      <c r="K28" s="16">
        <f t="shared" si="2"/>
        <v>46.950744829290834</v>
      </c>
      <c r="L28" s="16">
        <f t="shared" si="5"/>
        <v>226.95074482929084</v>
      </c>
      <c r="M28" s="16">
        <f t="shared" si="6"/>
        <v>-17.839311553905919</v>
      </c>
      <c r="N28" s="16">
        <f t="shared" si="7"/>
        <v>-19.097378232714046</v>
      </c>
      <c r="O28" s="16">
        <f>M28-'"0" цикл 24.06'!M27</f>
        <v>720.05115424921905</v>
      </c>
      <c r="P28" s="16">
        <f>N28-'"0" цикл 24.06'!N27</f>
        <v>-656.22220859235961</v>
      </c>
      <c r="Q28" s="16">
        <f t="shared" si="8"/>
        <v>974.21827727951552</v>
      </c>
      <c r="R28" s="16">
        <f t="shared" si="9"/>
        <v>-42.344633268287815</v>
      </c>
      <c r="S28" s="16">
        <f t="shared" si="10"/>
        <v>317.65536673171221</v>
      </c>
    </row>
    <row r="29" spans="1:19" x14ac:dyDescent="0.45">
      <c r="A29" s="7">
        <v>12.5</v>
      </c>
      <c r="B29" s="11" t="s">
        <v>155</v>
      </c>
      <c r="C29" s="11" t="s">
        <v>156</v>
      </c>
      <c r="D29" s="8">
        <f t="shared" si="3"/>
        <v>-2247</v>
      </c>
      <c r="E29" s="8">
        <f t="shared" si="0"/>
        <v>-12.627658856850251</v>
      </c>
      <c r="F29" s="11">
        <v>-3978</v>
      </c>
      <c r="G29" s="11">
        <v>515</v>
      </c>
      <c r="H29" s="8">
        <f t="shared" si="11"/>
        <v>-2246.5</v>
      </c>
      <c r="I29" s="8">
        <f t="shared" si="1"/>
        <v>-13.914812785103628</v>
      </c>
      <c r="J29" s="16">
        <f t="shared" si="4"/>
        <v>18.790417319726348</v>
      </c>
      <c r="K29" s="16">
        <f t="shared" si="2"/>
        <v>47.776333687031688</v>
      </c>
      <c r="L29" s="16">
        <f t="shared" si="5"/>
        <v>227.77633368703169</v>
      </c>
      <c r="M29" s="16">
        <f t="shared" si="6"/>
        <v>-12.627658856850246</v>
      </c>
      <c r="N29" s="16">
        <f t="shared" si="7"/>
        <v>-13.914812785103631</v>
      </c>
      <c r="O29" s="16">
        <f>M29-'"0" цикл 24.06'!M28</f>
        <v>728.74349865630256</v>
      </c>
      <c r="P29" s="16">
        <f>N29-'"0" цикл 24.06'!N28</f>
        <v>-655.5311390849588</v>
      </c>
      <c r="Q29" s="16">
        <f t="shared" si="8"/>
        <v>980.19802139356113</v>
      </c>
      <c r="R29" s="16">
        <f t="shared" si="9"/>
        <v>-41.972526658968064</v>
      </c>
      <c r="S29" s="16">
        <f t="shared" si="10"/>
        <v>318.02747334103196</v>
      </c>
    </row>
    <row r="30" spans="1:19" x14ac:dyDescent="0.45">
      <c r="A30" s="7">
        <v>13</v>
      </c>
      <c r="B30" s="11" t="s">
        <v>157</v>
      </c>
      <c r="C30" s="11" t="s">
        <v>158</v>
      </c>
      <c r="D30" s="8">
        <f t="shared" si="3"/>
        <v>-1825.5</v>
      </c>
      <c r="E30" s="8">
        <f t="shared" si="0"/>
        <v>-7.1808848828924772</v>
      </c>
      <c r="F30" s="11">
        <v>-3529</v>
      </c>
      <c r="G30" s="11">
        <v>85</v>
      </c>
      <c r="H30" s="8">
        <f t="shared" si="11"/>
        <v>-1807</v>
      </c>
      <c r="I30" s="8">
        <f t="shared" si="1"/>
        <v>-8.4692507734468183</v>
      </c>
      <c r="J30" s="16">
        <f t="shared" si="4"/>
        <v>11.103752355167293</v>
      </c>
      <c r="K30" s="16">
        <f t="shared" si="2"/>
        <v>49.706147467571661</v>
      </c>
      <c r="L30" s="16">
        <f t="shared" si="5"/>
        <v>229.70614746757167</v>
      </c>
      <c r="M30" s="16">
        <f t="shared" si="6"/>
        <v>-7.1808848828924727</v>
      </c>
      <c r="N30" s="16">
        <f t="shared" si="7"/>
        <v>-8.4692507734468201</v>
      </c>
      <c r="O30" s="16">
        <f>M30-'"0" цикл 24.06'!M29</f>
        <v>738.53148219265722</v>
      </c>
      <c r="P30" s="16">
        <f>N30-'"0" цикл 24.06'!N29</f>
        <v>-655.6543954858663</v>
      </c>
      <c r="Q30" s="16">
        <f t="shared" si="8"/>
        <v>987.57857232203048</v>
      </c>
      <c r="R30" s="16">
        <f t="shared" si="9"/>
        <v>-41.598067767252637</v>
      </c>
      <c r="S30" s="16">
        <f t="shared" si="10"/>
        <v>318.40193223274736</v>
      </c>
    </row>
    <row r="31" spans="1:19" x14ac:dyDescent="0.45">
      <c r="A31" s="7">
        <v>13.5</v>
      </c>
      <c r="B31" s="11" t="s">
        <v>159</v>
      </c>
      <c r="C31" s="11" t="s">
        <v>160</v>
      </c>
      <c r="D31" s="8">
        <f t="shared" si="3"/>
        <v>-1092</v>
      </c>
      <c r="E31" s="8">
        <f t="shared" si="0"/>
        <v>-2.755805776543033</v>
      </c>
      <c r="F31" s="11">
        <v>-2796</v>
      </c>
      <c r="G31" s="11">
        <v>-647</v>
      </c>
      <c r="H31" s="8">
        <f t="shared" si="11"/>
        <v>-1074.5</v>
      </c>
      <c r="I31" s="8">
        <f t="shared" si="1"/>
        <v>-4.0890151940445794</v>
      </c>
      <c r="J31" s="16">
        <f t="shared" si="4"/>
        <v>4.930974623252018</v>
      </c>
      <c r="K31" s="16">
        <f t="shared" si="2"/>
        <v>56.021865085068292</v>
      </c>
      <c r="L31" s="16">
        <f t="shared" si="5"/>
        <v>236.0218650850683</v>
      </c>
      <c r="M31" s="16">
        <f t="shared" si="6"/>
        <v>-2.7558057765430344</v>
      </c>
      <c r="N31" s="16">
        <f t="shared" si="7"/>
        <v>-4.0890151940445785</v>
      </c>
      <c r="O31" s="16">
        <f>M31-'"0" цикл 24.06'!M30</f>
        <v>745.6339320579458</v>
      </c>
      <c r="P31" s="16">
        <f>N31-'"0" цикл 24.06'!N30</f>
        <v>-655.00525136829094</v>
      </c>
      <c r="Q31" s="16">
        <f t="shared" si="8"/>
        <v>992.47258902008537</v>
      </c>
      <c r="R31" s="16">
        <f t="shared" si="9"/>
        <v>-41.297824360738929</v>
      </c>
      <c r="S31" s="16">
        <f t="shared" si="10"/>
        <v>318.7021756392611</v>
      </c>
    </row>
    <row r="32" spans="1:19" x14ac:dyDescent="0.45">
      <c r="A32" s="7">
        <v>14</v>
      </c>
      <c r="B32" s="11" t="s">
        <v>161</v>
      </c>
      <c r="C32" s="11" t="s">
        <v>162</v>
      </c>
      <c r="D32" s="8">
        <f t="shared" si="3"/>
        <v>-441.5</v>
      </c>
      <c r="E32" s="8">
        <f t="shared" si="0"/>
        <v>-0.10873544315589911</v>
      </c>
      <c r="F32" s="11">
        <v>-2167</v>
      </c>
      <c r="G32" s="11">
        <v>-1278</v>
      </c>
      <c r="H32" s="8">
        <f t="shared" si="11"/>
        <v>-444.5</v>
      </c>
      <c r="I32" s="8">
        <f t="shared" si="1"/>
        <v>-1.4843654727375122</v>
      </c>
      <c r="J32" s="16">
        <f t="shared" si="4"/>
        <v>1.4883427875504918</v>
      </c>
      <c r="K32" s="16">
        <f t="shared" si="2"/>
        <v>85.810348570527722</v>
      </c>
      <c r="L32" s="16">
        <f t="shared" si="5"/>
        <v>265.81034857052771</v>
      </c>
      <c r="M32" s="16">
        <f t="shared" si="6"/>
        <v>-0.1087354431559022</v>
      </c>
      <c r="N32" s="16">
        <f t="shared" si="7"/>
        <v>-1.4843654727375122</v>
      </c>
      <c r="O32" s="16">
        <f>M32-'"0" цикл 24.06'!M31</f>
        <v>750.26327913713294</v>
      </c>
      <c r="P32" s="16">
        <f>N32-'"0" цикл 24.06'!N31</f>
        <v>-655.31637580224344</v>
      </c>
      <c r="Q32" s="16">
        <f t="shared" si="8"/>
        <v>996.15989701261844</v>
      </c>
      <c r="R32" s="16">
        <f t="shared" si="9"/>
        <v>-41.135540900038315</v>
      </c>
      <c r="S32" s="16">
        <f t="shared" si="10"/>
        <v>318.86445909996166</v>
      </c>
    </row>
    <row r="33" spans="1:19" x14ac:dyDescent="0.45">
      <c r="A33" s="7">
        <v>14.5</v>
      </c>
      <c r="B33" s="11" t="s">
        <v>163</v>
      </c>
      <c r="C33" s="11" t="s">
        <v>164</v>
      </c>
      <c r="D33" s="8">
        <f t="shared" si="3"/>
        <v>-644.5</v>
      </c>
      <c r="E33" s="8">
        <f t="shared" si="0"/>
        <v>0.96148994068019089</v>
      </c>
      <c r="F33" s="11">
        <v>-2401</v>
      </c>
      <c r="G33" s="11">
        <v>-1116</v>
      </c>
      <c r="H33" s="8">
        <f t="shared" si="11"/>
        <v>-642.5</v>
      </c>
      <c r="I33" s="8">
        <f t="shared" si="1"/>
        <v>-0.40686790045716359</v>
      </c>
      <c r="J33" s="16">
        <f t="shared" si="4"/>
        <v>1.0440327554495679</v>
      </c>
      <c r="K33" s="16">
        <f t="shared" si="2"/>
        <v>157.06366945794642</v>
      </c>
      <c r="L33" s="16">
        <f t="shared" si="5"/>
        <v>337.06366945794639</v>
      </c>
      <c r="M33" s="16">
        <f t="shared" si="6"/>
        <v>0.96148994068019078</v>
      </c>
      <c r="N33" s="16">
        <f t="shared" si="7"/>
        <v>-0.4068679004571637</v>
      </c>
      <c r="O33" s="16">
        <f>M33-'"0" цикл 24.06'!M32</f>
        <v>752.22277354672099</v>
      </c>
      <c r="P33" s="16">
        <f>N33-'"0" цикл 24.06'!N32</f>
        <v>-656.22515465713548</v>
      </c>
      <c r="Q33" s="16">
        <f t="shared" si="8"/>
        <v>998.23371744652206</v>
      </c>
      <c r="R33" s="16">
        <f t="shared" si="9"/>
        <v>-41.100839318939336</v>
      </c>
      <c r="S33" s="16">
        <f t="shared" si="10"/>
        <v>318.89916068106066</v>
      </c>
    </row>
    <row r="34" spans="1:19" x14ac:dyDescent="0.45">
      <c r="A34" s="7">
        <v>15</v>
      </c>
      <c r="B34" s="11" t="s">
        <v>165</v>
      </c>
      <c r="C34" s="11" t="s">
        <v>166</v>
      </c>
      <c r="D34" s="8">
        <f t="shared" si="3"/>
        <v>-879</v>
      </c>
      <c r="E34" s="8">
        <f t="shared" si="0"/>
        <v>2.523799485842833</v>
      </c>
      <c r="F34" s="11">
        <v>-2618</v>
      </c>
      <c r="G34" s="11">
        <v>-851</v>
      </c>
      <c r="H34" s="8">
        <f t="shared" si="11"/>
        <v>-883.5</v>
      </c>
      <c r="I34" s="8">
        <f t="shared" si="1"/>
        <v>1.1505935314878468</v>
      </c>
      <c r="J34" s="16">
        <f t="shared" si="4"/>
        <v>2.7737031779630321</v>
      </c>
      <c r="K34" s="16">
        <f t="shared" si="2"/>
        <v>204.50811728000249</v>
      </c>
      <c r="L34" s="16">
        <f t="shared" si="5"/>
        <v>24.508117280002466</v>
      </c>
      <c r="M34" s="16">
        <f t="shared" si="6"/>
        <v>2.5237994858428339</v>
      </c>
      <c r="N34" s="16">
        <f t="shared" si="7"/>
        <v>1.1505935314878453</v>
      </c>
      <c r="O34" s="16">
        <f>M34-'"0" цикл 24.06'!M33</f>
        <v>753.96058564084126</v>
      </c>
      <c r="P34" s="16">
        <f>N34-'"0" цикл 24.06'!N33</f>
        <v>-655.78264256431567</v>
      </c>
      <c r="Q34" s="16">
        <f t="shared" si="8"/>
        <v>999.25344081895321</v>
      </c>
      <c r="R34" s="16">
        <f t="shared" si="9"/>
        <v>-41.016214961015407</v>
      </c>
      <c r="S34" s="16">
        <f t="shared" si="10"/>
        <v>318.98378503898459</v>
      </c>
    </row>
    <row r="35" spans="1:19" x14ac:dyDescent="0.45">
      <c r="A35" s="7">
        <v>15.5</v>
      </c>
      <c r="B35" s="11" t="s">
        <v>167</v>
      </c>
      <c r="C35" s="11" t="s">
        <v>168</v>
      </c>
      <c r="D35" s="8">
        <f t="shared" si="3"/>
        <v>-1253.5</v>
      </c>
      <c r="E35" s="8">
        <f t="shared" si="0"/>
        <v>4.6545491650637052</v>
      </c>
      <c r="F35" s="11">
        <v>-2997</v>
      </c>
      <c r="G35" s="11">
        <v>-480</v>
      </c>
      <c r="H35" s="8">
        <f t="shared" si="11"/>
        <v>-1258.5</v>
      </c>
      <c r="I35" s="8">
        <f t="shared" si="1"/>
        <v>3.2922514189757979</v>
      </c>
      <c r="J35" s="16">
        <f t="shared" si="4"/>
        <v>5.7012057791087827</v>
      </c>
      <c r="K35" s="16">
        <f t="shared" si="2"/>
        <v>215.27249797146291</v>
      </c>
      <c r="L35" s="16">
        <f t="shared" si="5"/>
        <v>35.27249797146294</v>
      </c>
      <c r="M35" s="16">
        <f t="shared" si="6"/>
        <v>4.6545491650637025</v>
      </c>
      <c r="N35" s="16">
        <f t="shared" si="7"/>
        <v>3.292251418975801</v>
      </c>
      <c r="O35" s="16">
        <f>M35-'"0" цикл 24.06'!M34</f>
        <v>755.38156832929087</v>
      </c>
      <c r="P35" s="16">
        <f>N35-'"0" цикл 24.06'!N34</f>
        <v>-653.90157201862701</v>
      </c>
      <c r="Q35" s="16">
        <f t="shared" si="8"/>
        <v>999.09387930266632</v>
      </c>
      <c r="R35" s="16">
        <f t="shared" si="9"/>
        <v>-40.881340706418065</v>
      </c>
      <c r="S35" s="16">
        <f t="shared" si="10"/>
        <v>319.11865929358191</v>
      </c>
    </row>
    <row r="36" spans="1:19" x14ac:dyDescent="0.45">
      <c r="A36" s="7">
        <v>16</v>
      </c>
      <c r="B36" s="11" t="s">
        <v>169</v>
      </c>
      <c r="C36" s="11" t="s">
        <v>170</v>
      </c>
      <c r="D36" s="8">
        <f t="shared" si="3"/>
        <v>-1546.5</v>
      </c>
      <c r="E36" s="8">
        <f t="shared" si="0"/>
        <v>7.6931002082328206</v>
      </c>
      <c r="F36" s="11">
        <v>-3257</v>
      </c>
      <c r="G36" s="11">
        <v>-195</v>
      </c>
      <c r="H36" s="8">
        <f t="shared" si="11"/>
        <v>-1531</v>
      </c>
      <c r="I36" s="8">
        <f t="shared" si="1"/>
        <v>6.3429225794674515</v>
      </c>
      <c r="J36" s="16">
        <f t="shared" si="4"/>
        <v>9.9707801932963047</v>
      </c>
      <c r="K36" s="16">
        <f t="shared" si="2"/>
        <v>219.50541022898531</v>
      </c>
      <c r="L36" s="16">
        <f t="shared" si="5"/>
        <v>39.505410228985284</v>
      </c>
      <c r="M36" s="16">
        <f t="shared" si="6"/>
        <v>7.6931002082328233</v>
      </c>
      <c r="N36" s="16">
        <f t="shared" si="7"/>
        <v>6.3429225794674471</v>
      </c>
      <c r="O36" s="16">
        <f>M36-'"0" цикл 24.06'!M35</f>
        <v>757.95966764390812</v>
      </c>
      <c r="P36" s="16">
        <f>N36-'"0" цикл 24.06'!N35</f>
        <v>-651.25559903425392</v>
      </c>
      <c r="Q36" s="16">
        <f t="shared" si="8"/>
        <v>999.31812404675645</v>
      </c>
      <c r="R36" s="16">
        <f t="shared" si="9"/>
        <v>-40.669895854207589</v>
      </c>
      <c r="S36" s="16">
        <f t="shared" si="10"/>
        <v>319.3301041457924</v>
      </c>
    </row>
    <row r="37" spans="1:19" x14ac:dyDescent="0.45">
      <c r="A37" s="7">
        <v>16.5</v>
      </c>
      <c r="B37" s="11" t="s">
        <v>171</v>
      </c>
      <c r="C37" s="11" t="s">
        <v>172</v>
      </c>
      <c r="D37" s="8">
        <f t="shared" si="3"/>
        <v>-2229</v>
      </c>
      <c r="E37" s="8">
        <f t="shared" si="0"/>
        <v>11.441886874387798</v>
      </c>
      <c r="F37" s="11">
        <v>-3964</v>
      </c>
      <c r="G37" s="11">
        <v>513</v>
      </c>
      <c r="H37" s="8">
        <f t="shared" si="11"/>
        <v>-2238.5</v>
      </c>
      <c r="I37" s="8">
        <f t="shared" si="1"/>
        <v>10.054137230860658</v>
      </c>
      <c r="J37" s="16">
        <f t="shared" si="4"/>
        <v>15.231626659791337</v>
      </c>
      <c r="K37" s="16">
        <f t="shared" si="2"/>
        <v>221.30620019761295</v>
      </c>
      <c r="L37" s="16">
        <f t="shared" si="5"/>
        <v>41.306200197612952</v>
      </c>
      <c r="M37" s="16">
        <f t="shared" si="6"/>
        <v>11.441886874387796</v>
      </c>
      <c r="N37" s="16">
        <f t="shared" si="7"/>
        <v>10.054137230860659</v>
      </c>
      <c r="O37" s="16">
        <f>M37-'"0" цикл 24.06'!M36</f>
        <v>761.95001271727949</v>
      </c>
      <c r="P37" s="16">
        <f>N37-'"0" цикл 24.06'!N36</f>
        <v>-649.11942022451933</v>
      </c>
      <c r="Q37" s="16">
        <f t="shared" si="8"/>
        <v>1000.9614595939638</v>
      </c>
      <c r="R37" s="16">
        <f t="shared" si="9"/>
        <v>-40.428296265581096</v>
      </c>
      <c r="S37" s="16">
        <f t="shared" si="10"/>
        <v>319.57170373441892</v>
      </c>
    </row>
    <row r="38" spans="1:19" x14ac:dyDescent="0.45">
      <c r="A38" s="7">
        <v>17</v>
      </c>
      <c r="B38" s="11" t="s">
        <v>173</v>
      </c>
      <c r="C38" s="11" t="s">
        <v>174</v>
      </c>
      <c r="D38" s="8">
        <f t="shared" si="3"/>
        <v>-2590.5</v>
      </c>
      <c r="E38" s="8">
        <f t="shared" si="0"/>
        <v>16.845030185402528</v>
      </c>
      <c r="F38" s="11">
        <v>-3977</v>
      </c>
      <c r="G38" s="11">
        <v>1114</v>
      </c>
      <c r="H38" s="8">
        <f t="shared" si="11"/>
        <v>-2545.5</v>
      </c>
      <c r="I38" s="8">
        <f t="shared" si="1"/>
        <v>15.480307841355062</v>
      </c>
      <c r="J38" s="16">
        <f t="shared" si="4"/>
        <v>22.877827099841483</v>
      </c>
      <c r="K38" s="16">
        <f t="shared" si="2"/>
        <v>222.58250251244323</v>
      </c>
      <c r="L38" s="16">
        <f t="shared" si="5"/>
        <v>42.582502512443227</v>
      </c>
      <c r="M38" s="16">
        <f t="shared" si="6"/>
        <v>16.845030185402525</v>
      </c>
      <c r="N38" s="16">
        <f t="shared" si="7"/>
        <v>15.480307841355064</v>
      </c>
      <c r="O38" s="16">
        <f>M38-'"0" цикл 24.06'!M37</f>
        <v>768.08558803508492</v>
      </c>
      <c r="P38" s="16">
        <f>N38-'"0" цикл 24.06'!N37</f>
        <v>-645.46027060004053</v>
      </c>
      <c r="Q38" s="16">
        <f t="shared" si="8"/>
        <v>1003.2818305293282</v>
      </c>
      <c r="R38" s="16">
        <f t="shared" si="9"/>
        <v>-40.041994886063925</v>
      </c>
      <c r="S38" s="16">
        <f t="shared" si="10"/>
        <v>319.95800511393605</v>
      </c>
    </row>
    <row r="39" spans="1:19" x14ac:dyDescent="0.45">
      <c r="A39" s="7">
        <v>17.5</v>
      </c>
      <c r="B39" s="11" t="s">
        <v>175</v>
      </c>
      <c r="C39" s="11" t="s">
        <v>176</v>
      </c>
      <c r="D39" s="8">
        <f t="shared" si="3"/>
        <v>-2458</v>
      </c>
      <c r="E39" s="8">
        <f t="shared" si="0"/>
        <v>23.124414311395782</v>
      </c>
      <c r="F39" s="11">
        <v>-4542</v>
      </c>
      <c r="G39" s="11">
        <v>532</v>
      </c>
      <c r="H39" s="8">
        <f t="shared" si="11"/>
        <v>-2537</v>
      </c>
      <c r="I39" s="8">
        <f t="shared" si="1"/>
        <v>21.650617343301523</v>
      </c>
      <c r="J39" s="16">
        <f t="shared" si="4"/>
        <v>31.677875064327701</v>
      </c>
      <c r="K39" s="16">
        <f t="shared" si="2"/>
        <v>223.11475577250411</v>
      </c>
      <c r="L39" s="16">
        <f t="shared" si="5"/>
        <v>43.114755772504111</v>
      </c>
      <c r="M39" s="16">
        <f t="shared" si="6"/>
        <v>23.124414311395775</v>
      </c>
      <c r="N39" s="16">
        <f t="shared" si="7"/>
        <v>21.65061734330153</v>
      </c>
      <c r="O39" s="16">
        <f>M39-'"0" цикл 24.06'!M38</f>
        <v>774.30764294341225</v>
      </c>
      <c r="P39" s="16">
        <f>N39-'"0" цикл 24.06'!N38</f>
        <v>-640.19813782686515</v>
      </c>
      <c r="Q39" s="16">
        <f t="shared" si="8"/>
        <v>1004.6919834444627</v>
      </c>
      <c r="R39" s="16">
        <f t="shared" si="9"/>
        <v>-39.583968010810729</v>
      </c>
      <c r="S39" s="16">
        <f t="shared" si="10"/>
        <v>320.41603198918926</v>
      </c>
    </row>
    <row r="40" spans="1:19" x14ac:dyDescent="0.45">
      <c r="A40" s="7">
        <v>18</v>
      </c>
      <c r="B40" s="11" t="s">
        <v>167</v>
      </c>
      <c r="C40" s="11" t="s">
        <v>177</v>
      </c>
      <c r="D40" s="8">
        <f t="shared" si="3"/>
        <v>-1256.5</v>
      </c>
      <c r="E40" s="8">
        <f t="shared" si="0"/>
        <v>29.082633430544753</v>
      </c>
      <c r="F40" s="11">
        <v>-3074</v>
      </c>
      <c r="G40" s="11">
        <v>-370</v>
      </c>
      <c r="H40" s="8">
        <f t="shared" si="11"/>
        <v>-1352</v>
      </c>
      <c r="I40" s="8">
        <f t="shared" si="1"/>
        <v>27.800323827572097</v>
      </c>
      <c r="J40" s="16">
        <f t="shared" si="4"/>
        <v>40.232543695040114</v>
      </c>
      <c r="K40" s="16">
        <f t="shared" si="2"/>
        <v>223.70860289237987</v>
      </c>
      <c r="L40" s="16">
        <f t="shared" si="5"/>
        <v>43.708602892379872</v>
      </c>
      <c r="M40" s="16">
        <f t="shared" si="6"/>
        <v>29.082633430544757</v>
      </c>
      <c r="N40" s="16">
        <f t="shared" si="7"/>
        <v>27.800323827572093</v>
      </c>
      <c r="O40" s="16">
        <f>M40-'"0" цикл 24.06'!M39</f>
        <v>778.96753248358243</v>
      </c>
      <c r="P40" s="16">
        <f>N40-'"0" цикл 24.06'!N39</f>
        <v>-633.74930131919359</v>
      </c>
      <c r="Q40" s="16">
        <f t="shared" si="8"/>
        <v>1004.2054538719291</v>
      </c>
      <c r="R40" s="16">
        <f t="shared" si="9"/>
        <v>-39.13097508637992</v>
      </c>
      <c r="S40" s="16">
        <f t="shared" si="10"/>
        <v>320.86902491362008</v>
      </c>
    </row>
    <row r="41" spans="1:19" x14ac:dyDescent="0.45">
      <c r="A41" s="7">
        <v>18.5</v>
      </c>
      <c r="B41" s="11" t="s">
        <v>178</v>
      </c>
      <c r="C41" s="11" t="s">
        <v>179</v>
      </c>
      <c r="D41" s="8">
        <f t="shared" si="3"/>
        <v>-46</v>
      </c>
      <c r="E41" s="8">
        <f t="shared" si="0"/>
        <v>32.128456544322106</v>
      </c>
      <c r="F41" s="11">
        <v>-1529</v>
      </c>
      <c r="G41" s="11">
        <v>-1464</v>
      </c>
      <c r="H41" s="8">
        <f t="shared" si="11"/>
        <v>-32.5</v>
      </c>
      <c r="I41" s="8">
        <f t="shared" si="1"/>
        <v>31.077640844066188</v>
      </c>
      <c r="J41" s="16">
        <f t="shared" si="4"/>
        <v>44.699636244081056</v>
      </c>
      <c r="K41" s="16">
        <f t="shared" si="2"/>
        <v>224.04753242147299</v>
      </c>
      <c r="L41" s="16">
        <f t="shared" si="5"/>
        <v>44.047532421472965</v>
      </c>
      <c r="M41" s="16">
        <f t="shared" si="6"/>
        <v>32.128456544322113</v>
      </c>
      <c r="N41" s="16">
        <f t="shared" si="7"/>
        <v>31.077640844066174</v>
      </c>
      <c r="O41" s="16">
        <f>M41-'"0" цикл 24.06'!M40</f>
        <v>778.78985176231606</v>
      </c>
      <c r="P41" s="16">
        <f>N41-'"0" цикл 24.06'!N40</f>
        <v>-628.13761490866273</v>
      </c>
      <c r="Q41" s="16">
        <f t="shared" si="8"/>
        <v>1000.5351050668405</v>
      </c>
      <c r="R41" s="16">
        <f t="shared" si="9"/>
        <v>-38.88811969192939</v>
      </c>
      <c r="S41" s="16">
        <f t="shared" si="10"/>
        <v>321.11188030807062</v>
      </c>
    </row>
    <row r="42" spans="1:19" x14ac:dyDescent="0.45">
      <c r="A42" s="7">
        <v>19</v>
      </c>
      <c r="B42" s="11" t="s">
        <v>180</v>
      </c>
      <c r="C42" s="11" t="s">
        <v>181</v>
      </c>
      <c r="D42" s="8">
        <f t="shared" si="3"/>
        <v>391</v>
      </c>
      <c r="E42" s="8">
        <f t="shared" si="0"/>
        <v>32.239963690052988</v>
      </c>
      <c r="F42" s="11">
        <v>-803</v>
      </c>
      <c r="G42" s="11">
        <v>-1810</v>
      </c>
      <c r="H42" s="8">
        <f t="shared" si="11"/>
        <v>503.5</v>
      </c>
      <c r="I42" s="8">
        <f t="shared" si="1"/>
        <v>31.156423066920507</v>
      </c>
      <c r="J42" s="16">
        <f t="shared" si="4"/>
        <v>44.834562081734127</v>
      </c>
      <c r="K42" s="16">
        <f t="shared" si="2"/>
        <v>224.02082336692882</v>
      </c>
      <c r="L42" s="16">
        <f t="shared" si="5"/>
        <v>44.020823366928823</v>
      </c>
      <c r="M42" s="16">
        <f t="shared" si="6"/>
        <v>32.239963690052996</v>
      </c>
      <c r="N42" s="16">
        <f t="shared" si="7"/>
        <v>31.156423066920503</v>
      </c>
      <c r="O42" s="16">
        <f>M42-'"0" цикл 24.06'!M41</f>
        <v>774.33544712045625</v>
      </c>
      <c r="P42" s="16">
        <f>N42-'"0" цикл 24.06'!N41</f>
        <v>-624.52408558061791</v>
      </c>
      <c r="Q42" s="16">
        <f t="shared" si="8"/>
        <v>994.79933561374264</v>
      </c>
      <c r="R42" s="16">
        <f t="shared" si="9"/>
        <v>-38.887187097232434</v>
      </c>
      <c r="S42" s="16">
        <f t="shared" si="10"/>
        <v>321.11281290276759</v>
      </c>
    </row>
    <row r="43" spans="1:19" x14ac:dyDescent="0.45">
      <c r="A43" s="7">
        <v>19.5</v>
      </c>
      <c r="B43" s="11" t="s">
        <v>182</v>
      </c>
      <c r="C43" s="11" t="s">
        <v>183</v>
      </c>
      <c r="D43" s="8">
        <f t="shared" si="3"/>
        <v>726.5</v>
      </c>
      <c r="E43" s="8">
        <f t="shared" si="0"/>
        <v>31.292153511124571</v>
      </c>
      <c r="F43" s="11">
        <v>-900</v>
      </c>
      <c r="G43" s="11">
        <v>-2345</v>
      </c>
      <c r="H43" s="8">
        <f t="shared" si="11"/>
        <v>722.5</v>
      </c>
      <c r="I43" s="8">
        <f t="shared" si="1"/>
        <v>29.935905836836177</v>
      </c>
      <c r="J43" s="16">
        <f t="shared" si="4"/>
        <v>43.305396079884872</v>
      </c>
      <c r="K43" s="16">
        <f t="shared" si="2"/>
        <v>223.73106279861994</v>
      </c>
      <c r="L43" s="16">
        <f t="shared" si="5"/>
        <v>43.731062798619973</v>
      </c>
      <c r="M43" s="16">
        <f t="shared" si="6"/>
        <v>31.292153511124553</v>
      </c>
      <c r="N43" s="16">
        <f t="shared" si="7"/>
        <v>29.935905836836195</v>
      </c>
      <c r="O43" s="16">
        <f>M43-'"0" цикл 24.06'!M42</f>
        <v>771.53565291439395</v>
      </c>
      <c r="P43" s="16">
        <f>N43-'"0" цикл 24.06'!N42</f>
        <v>-625.0754389271101</v>
      </c>
      <c r="Q43" s="16">
        <f t="shared" si="8"/>
        <v>992.96856348424217</v>
      </c>
      <c r="R43" s="16">
        <f t="shared" si="9"/>
        <v>-39.013371410089462</v>
      </c>
      <c r="S43" s="16">
        <f t="shared" si="10"/>
        <v>320.98662858991054</v>
      </c>
    </row>
    <row r="44" spans="1:19" x14ac:dyDescent="0.45">
      <c r="A44" s="7">
        <v>20</v>
      </c>
      <c r="B44" s="11" t="s">
        <v>184</v>
      </c>
      <c r="C44" s="11" t="s">
        <v>185</v>
      </c>
      <c r="D44" s="8">
        <f t="shared" si="3"/>
        <v>1107.5</v>
      </c>
      <c r="E44" s="8">
        <f t="shared" si="0"/>
        <v>29.531071455739514</v>
      </c>
      <c r="F44" s="11">
        <v>-548</v>
      </c>
      <c r="G44" s="11">
        <v>-2662</v>
      </c>
      <c r="H44" s="8">
        <f t="shared" si="11"/>
        <v>1057</v>
      </c>
      <c r="I44" s="8">
        <f t="shared" si="1"/>
        <v>28.184519995259421</v>
      </c>
      <c r="J44" s="16">
        <f t="shared" si="4"/>
        <v>40.822191865297619</v>
      </c>
      <c r="K44" s="16">
        <f t="shared" si="2"/>
        <v>223.66348555676493</v>
      </c>
      <c r="L44" s="16">
        <f t="shared" si="5"/>
        <v>43.663485556764954</v>
      </c>
      <c r="M44" s="16">
        <f t="shared" si="6"/>
        <v>29.531071455739504</v>
      </c>
      <c r="N44" s="16">
        <f t="shared" si="7"/>
        <v>28.184519995259432</v>
      </c>
      <c r="O44" s="16">
        <f>M44-'"0" цикл 24.06'!M43</f>
        <v>768.03009357017277</v>
      </c>
      <c r="P44" s="16">
        <f>N44-'"0" цикл 24.06'!N43</f>
        <v>-626.25171466628308</v>
      </c>
      <c r="Q44" s="16">
        <f t="shared" si="8"/>
        <v>990.99012848356267</v>
      </c>
      <c r="R44" s="16">
        <f t="shared" si="9"/>
        <v>-39.193801492185038</v>
      </c>
      <c r="S44" s="16">
        <f t="shared" si="10"/>
        <v>320.80619850781494</v>
      </c>
    </row>
    <row r="45" spans="1:19" x14ac:dyDescent="0.45">
      <c r="A45" s="7">
        <v>20.5</v>
      </c>
      <c r="B45" s="11" t="s">
        <v>184</v>
      </c>
      <c r="C45" s="11" t="s">
        <v>185</v>
      </c>
      <c r="D45" s="8">
        <f t="shared" si="3"/>
        <v>1107.5</v>
      </c>
      <c r="E45" s="8">
        <f t="shared" si="0"/>
        <v>26.846428596126831</v>
      </c>
      <c r="F45" s="11">
        <v>-548</v>
      </c>
      <c r="G45" s="11">
        <v>-2662</v>
      </c>
      <c r="H45" s="8">
        <f t="shared" si="11"/>
        <v>1057</v>
      </c>
      <c r="I45" s="8">
        <f t="shared" si="1"/>
        <v>25.622290904781291</v>
      </c>
      <c r="J45" s="16">
        <f t="shared" si="4"/>
        <v>37.111083513906927</v>
      </c>
      <c r="K45" s="16">
        <f t="shared" si="2"/>
        <v>223.66348555676493</v>
      </c>
      <c r="L45" s="16">
        <f t="shared" si="5"/>
        <v>43.663485556764954</v>
      </c>
      <c r="M45" s="16">
        <f t="shared" si="6"/>
        <v>26.846428596126824</v>
      </c>
      <c r="N45" s="16">
        <f t="shared" si="7"/>
        <v>25.622290904781302</v>
      </c>
      <c r="O45" s="16">
        <f>M45-'"0" цикл 24.06'!M44</f>
        <v>763.12719298958018</v>
      </c>
      <c r="P45" s="16">
        <f>N45-'"0" цикл 24.06'!N44</f>
        <v>-627.63621121098072</v>
      </c>
      <c r="Q45" s="16">
        <f t="shared" si="8"/>
        <v>988.07404899806511</v>
      </c>
      <c r="R45" s="16">
        <f t="shared" si="9"/>
        <v>-39.435688741714593</v>
      </c>
      <c r="S45" s="16">
        <f t="shared" si="10"/>
        <v>320.56431125828539</v>
      </c>
    </row>
    <row r="46" spans="1:19" x14ac:dyDescent="0.45">
      <c r="A46" s="7">
        <v>21</v>
      </c>
      <c r="B46" s="11" t="s">
        <v>184</v>
      </c>
      <c r="C46" s="11" t="s">
        <v>185</v>
      </c>
      <c r="D46" s="8">
        <f t="shared" si="3"/>
        <v>1107.5</v>
      </c>
      <c r="E46" s="8">
        <f t="shared" si="0"/>
        <v>24.161785736514148</v>
      </c>
      <c r="F46" s="11">
        <v>-548</v>
      </c>
      <c r="G46" s="11">
        <v>-2662</v>
      </c>
      <c r="H46" s="8">
        <f t="shared" si="11"/>
        <v>1057</v>
      </c>
      <c r="I46" s="8">
        <f t="shared" si="1"/>
        <v>23.060061814303161</v>
      </c>
      <c r="J46" s="16">
        <f t="shared" si="4"/>
        <v>33.399975162516235</v>
      </c>
      <c r="K46" s="16">
        <f t="shared" si="2"/>
        <v>223.66348555676493</v>
      </c>
      <c r="L46" s="16">
        <f t="shared" si="5"/>
        <v>43.663485556764954</v>
      </c>
      <c r="M46" s="16">
        <f t="shared" si="6"/>
        <v>24.16178573651414</v>
      </c>
      <c r="N46" s="16">
        <f t="shared" si="7"/>
        <v>23.060061814303172</v>
      </c>
      <c r="O46" s="16">
        <f>M46-'"0" цикл 24.06'!M45</f>
        <v>757.42775452192336</v>
      </c>
      <c r="P46" s="16">
        <f>N46-'"0" цикл 24.06'!N45</f>
        <v>-628.01836128856098</v>
      </c>
      <c r="Q46" s="16">
        <f t="shared" si="8"/>
        <v>983.92269281468066</v>
      </c>
      <c r="R46" s="16">
        <f t="shared" si="9"/>
        <v>-39.663696662208423</v>
      </c>
      <c r="S46" s="16">
        <f t="shared" si="10"/>
        <v>320.33630333779161</v>
      </c>
    </row>
    <row r="47" spans="1:19" x14ac:dyDescent="0.45">
      <c r="A47" s="7">
        <v>21.5</v>
      </c>
      <c r="B47" s="11" t="s">
        <v>184</v>
      </c>
      <c r="C47" s="11" t="s">
        <v>185</v>
      </c>
      <c r="D47" s="8">
        <f t="shared" si="3"/>
        <v>1107.5</v>
      </c>
      <c r="E47" s="8">
        <f t="shared" si="0"/>
        <v>21.477142876901464</v>
      </c>
      <c r="F47" s="11">
        <v>-548</v>
      </c>
      <c r="G47" s="11">
        <v>-2662</v>
      </c>
      <c r="H47" s="8">
        <f t="shared" si="11"/>
        <v>1057</v>
      </c>
      <c r="I47" s="8">
        <f t="shared" si="1"/>
        <v>20.497832723825031</v>
      </c>
      <c r="J47" s="16">
        <f t="shared" si="4"/>
        <v>29.688866811125539</v>
      </c>
      <c r="K47" s="16">
        <f t="shared" si="2"/>
        <v>223.66348555676493</v>
      </c>
      <c r="L47" s="16">
        <f t="shared" si="5"/>
        <v>43.663485556764954</v>
      </c>
      <c r="M47" s="16">
        <f t="shared" si="6"/>
        <v>21.477142876901457</v>
      </c>
      <c r="N47" s="16">
        <f t="shared" si="7"/>
        <v>20.497832723825038</v>
      </c>
      <c r="O47" s="16">
        <f>M47-'"0" цикл 24.06'!M46</f>
        <v>750.90294024903551</v>
      </c>
      <c r="P47" s="16">
        <f>N47-'"0" цикл 24.06'!N46</f>
        <v>-627.93485326460063</v>
      </c>
      <c r="Q47" s="16">
        <f t="shared" si="8"/>
        <v>978.85515047890613</v>
      </c>
      <c r="R47" s="16">
        <f t="shared" si="9"/>
        <v>-39.903706494898394</v>
      </c>
      <c r="S47" s="16">
        <f t="shared" si="10"/>
        <v>320.09629350510158</v>
      </c>
    </row>
    <row r="48" spans="1:19" x14ac:dyDescent="0.45">
      <c r="A48" s="7">
        <v>22</v>
      </c>
      <c r="B48" s="11" t="s">
        <v>184</v>
      </c>
      <c r="C48" s="11" t="s">
        <v>185</v>
      </c>
      <c r="D48" s="8">
        <f t="shared" si="3"/>
        <v>1107.5</v>
      </c>
      <c r="E48" s="8">
        <f t="shared" si="0"/>
        <v>18.792500017288781</v>
      </c>
      <c r="F48" s="11">
        <v>-548</v>
      </c>
      <c r="G48" s="11">
        <v>-2662</v>
      </c>
      <c r="H48" s="8">
        <f t="shared" si="11"/>
        <v>1057</v>
      </c>
      <c r="I48" s="8">
        <f t="shared" si="1"/>
        <v>17.935603633346901</v>
      </c>
      <c r="J48" s="16">
        <f t="shared" si="4"/>
        <v>25.977758459734847</v>
      </c>
      <c r="K48" s="16">
        <f t="shared" si="2"/>
        <v>223.66348555676493</v>
      </c>
      <c r="L48" s="16">
        <f t="shared" si="5"/>
        <v>43.663485556764954</v>
      </c>
      <c r="M48" s="16">
        <f t="shared" si="6"/>
        <v>18.792500017288774</v>
      </c>
      <c r="N48" s="16">
        <f t="shared" si="7"/>
        <v>17.935603633346911</v>
      </c>
      <c r="O48" s="16">
        <f>M48-'"0" цикл 24.06'!M47</f>
        <v>745.34894336730531</v>
      </c>
      <c r="P48" s="16">
        <f>N48-'"0" цикл 24.06'!N47</f>
        <v>-628.59988976993338</v>
      </c>
      <c r="Q48" s="16">
        <f t="shared" si="8"/>
        <v>975.02967585480746</v>
      </c>
      <c r="R48" s="16">
        <f t="shared" si="9"/>
        <v>-40.143052297290083</v>
      </c>
      <c r="S48" s="16">
        <f t="shared" si="10"/>
        <v>319.85694770270993</v>
      </c>
    </row>
    <row r="49" spans="1:19" x14ac:dyDescent="0.45">
      <c r="A49" s="7">
        <v>22.5</v>
      </c>
      <c r="B49" s="11" t="s">
        <v>184</v>
      </c>
      <c r="C49" s="11" t="s">
        <v>185</v>
      </c>
      <c r="D49" s="8">
        <f t="shared" si="3"/>
        <v>1107.5</v>
      </c>
      <c r="E49" s="8">
        <f t="shared" si="0"/>
        <v>16.107857157676097</v>
      </c>
      <c r="F49" s="11">
        <v>-548</v>
      </c>
      <c r="G49" s="11">
        <v>-2662</v>
      </c>
      <c r="H49" s="8">
        <f t="shared" si="11"/>
        <v>1057</v>
      </c>
      <c r="I49" s="8">
        <f t="shared" si="1"/>
        <v>15.373374542868772</v>
      </c>
      <c r="J49" s="16">
        <f t="shared" si="4"/>
        <v>22.266650108344155</v>
      </c>
      <c r="K49" s="16">
        <f t="shared" si="2"/>
        <v>223.66348555676493</v>
      </c>
      <c r="L49" s="16">
        <f t="shared" si="5"/>
        <v>43.663485556764954</v>
      </c>
      <c r="M49" s="16">
        <f t="shared" si="6"/>
        <v>16.107857157676094</v>
      </c>
      <c r="N49" s="16">
        <f t="shared" si="7"/>
        <v>15.373374542868779</v>
      </c>
      <c r="O49" s="16">
        <f>M49-'"0" цикл 24.06'!M48</f>
        <v>742.26857138180162</v>
      </c>
      <c r="P49" s="16">
        <f>N49-'"0" цикл 24.06'!N48</f>
        <v>-631.92012476047285</v>
      </c>
      <c r="Q49" s="16">
        <f t="shared" si="8"/>
        <v>974.82597223220944</v>
      </c>
      <c r="R49" s="16">
        <f t="shared" si="9"/>
        <v>-40.408954387780987</v>
      </c>
      <c r="S49" s="16">
        <f t="shared" si="10"/>
        <v>319.59104561221903</v>
      </c>
    </row>
    <row r="50" spans="1:19" x14ac:dyDescent="0.45">
      <c r="A50" s="7">
        <v>23</v>
      </c>
      <c r="B50" s="11" t="s">
        <v>184</v>
      </c>
      <c r="C50" s="11" t="s">
        <v>185</v>
      </c>
      <c r="D50" s="8">
        <f t="shared" si="3"/>
        <v>1107.5</v>
      </c>
      <c r="E50" s="8">
        <f t="shared" si="0"/>
        <v>13.423214298063415</v>
      </c>
      <c r="F50" s="11">
        <v>-548</v>
      </c>
      <c r="G50" s="11">
        <v>-2662</v>
      </c>
      <c r="H50" s="8">
        <f t="shared" si="11"/>
        <v>1057</v>
      </c>
      <c r="I50" s="8">
        <f t="shared" si="1"/>
        <v>12.811145452390644</v>
      </c>
      <c r="J50" s="16">
        <f t="shared" si="4"/>
        <v>18.555541756953463</v>
      </c>
      <c r="K50" s="16">
        <f t="shared" si="2"/>
        <v>223.66348555676493</v>
      </c>
      <c r="L50" s="16">
        <f t="shared" si="5"/>
        <v>43.663485556764954</v>
      </c>
      <c r="M50" s="16">
        <f t="shared" si="6"/>
        <v>13.423214298063412</v>
      </c>
      <c r="N50" s="16">
        <f t="shared" si="7"/>
        <v>12.811145452390651</v>
      </c>
      <c r="O50" s="16">
        <f>M50-'"0" цикл 24.06'!M49</f>
        <v>738.19009099428786</v>
      </c>
      <c r="P50" s="16">
        <f>N50-'"0" цикл 24.06'!N49</f>
        <v>-634.04650640683019</v>
      </c>
      <c r="Q50" s="16">
        <f t="shared" si="8"/>
        <v>973.10820710179075</v>
      </c>
      <c r="R50" s="16">
        <f t="shared" si="9"/>
        <v>-40.659953180758016</v>
      </c>
      <c r="S50" s="16">
        <f t="shared" si="10"/>
        <v>319.34004681924199</v>
      </c>
    </row>
    <row r="51" spans="1:19" x14ac:dyDescent="0.45">
      <c r="A51" s="7">
        <v>23.5</v>
      </c>
      <c r="B51" s="11" t="s">
        <v>184</v>
      </c>
      <c r="C51" s="11" t="s">
        <v>185</v>
      </c>
      <c r="D51" s="8">
        <f t="shared" si="3"/>
        <v>1107.5</v>
      </c>
      <c r="E51" s="8">
        <f t="shared" si="0"/>
        <v>10.738571438450732</v>
      </c>
      <c r="F51" s="11">
        <v>-548</v>
      </c>
      <c r="G51" s="11">
        <v>-2662</v>
      </c>
      <c r="H51" s="8">
        <f t="shared" si="11"/>
        <v>1057</v>
      </c>
      <c r="I51" s="8">
        <f t="shared" si="1"/>
        <v>10.248916361912515</v>
      </c>
      <c r="J51" s="16">
        <f t="shared" si="4"/>
        <v>14.84443340556277</v>
      </c>
      <c r="K51" s="16">
        <f t="shared" si="2"/>
        <v>223.66348555676493</v>
      </c>
      <c r="L51" s="16">
        <f t="shared" si="5"/>
        <v>43.663485556764954</v>
      </c>
      <c r="M51" s="16">
        <f t="shared" si="6"/>
        <v>10.738571438450728</v>
      </c>
      <c r="N51" s="16">
        <f t="shared" si="7"/>
        <v>10.248916361912519</v>
      </c>
      <c r="O51" s="16">
        <f>M51-'"0" цикл 24.06'!M50</f>
        <v>730.84972843158835</v>
      </c>
      <c r="P51" s="16">
        <f>N51-'"0" цикл 24.06'!N50</f>
        <v>-633.05399033035246</v>
      </c>
      <c r="Q51" s="16">
        <f t="shared" si="8"/>
        <v>966.90158766117895</v>
      </c>
      <c r="R51" s="16">
        <f t="shared" si="9"/>
        <v>-40.898750200497979</v>
      </c>
      <c r="S51" s="16">
        <f t="shared" si="10"/>
        <v>319.101249799502</v>
      </c>
    </row>
    <row r="52" spans="1:19" x14ac:dyDescent="0.45">
      <c r="A52" s="7">
        <v>24</v>
      </c>
      <c r="B52" s="11" t="s">
        <v>184</v>
      </c>
      <c r="C52" s="11" t="s">
        <v>185</v>
      </c>
      <c r="D52" s="8">
        <f t="shared" si="3"/>
        <v>1107.5</v>
      </c>
      <c r="E52" s="8">
        <f t="shared" si="0"/>
        <v>8.0539285788380486</v>
      </c>
      <c r="F52" s="11">
        <v>-548</v>
      </c>
      <c r="G52" s="11">
        <v>-2662</v>
      </c>
      <c r="H52" s="8">
        <f t="shared" si="11"/>
        <v>1057</v>
      </c>
      <c r="I52" s="8">
        <f t="shared" si="1"/>
        <v>7.686687271434387</v>
      </c>
      <c r="J52" s="16">
        <f t="shared" si="4"/>
        <v>11.133325054172078</v>
      </c>
      <c r="K52" s="16">
        <f t="shared" si="2"/>
        <v>223.66348555676493</v>
      </c>
      <c r="L52" s="16">
        <f t="shared" si="5"/>
        <v>43.663485556764954</v>
      </c>
      <c r="M52" s="16">
        <f t="shared" si="6"/>
        <v>8.0539285788380468</v>
      </c>
      <c r="N52" s="16">
        <f t="shared" si="7"/>
        <v>7.6866872714343897</v>
      </c>
      <c r="O52" s="16">
        <f>M52-'"0" цикл 24.06'!M51</f>
        <v>719.14803994150998</v>
      </c>
      <c r="P52" s="16">
        <f>N52-'"0" цикл 24.06'!N51</f>
        <v>-627.53581795735852</v>
      </c>
      <c r="Q52" s="16">
        <f t="shared" si="8"/>
        <v>954.4501590817232</v>
      </c>
      <c r="R52" s="16">
        <f t="shared" si="9"/>
        <v>-41.108278171863041</v>
      </c>
      <c r="S52" s="16">
        <f t="shared" si="10"/>
        <v>318.89172182813695</v>
      </c>
    </row>
    <row r="53" spans="1:19" x14ac:dyDescent="0.45">
      <c r="A53" s="7">
        <v>24.5</v>
      </c>
      <c r="B53" s="11" t="s">
        <v>184</v>
      </c>
      <c r="C53" s="11" t="s">
        <v>185</v>
      </c>
      <c r="D53" s="8">
        <f t="shared" si="3"/>
        <v>1107.5</v>
      </c>
      <c r="E53" s="8">
        <f t="shared" si="0"/>
        <v>5.369285719225366</v>
      </c>
      <c r="F53" s="11">
        <v>-548</v>
      </c>
      <c r="G53" s="11">
        <v>-2662</v>
      </c>
      <c r="H53" s="8">
        <f t="shared" si="11"/>
        <v>1057</v>
      </c>
      <c r="I53" s="8">
        <f t="shared" si="1"/>
        <v>5.1244581809562577</v>
      </c>
      <c r="J53" s="16">
        <f t="shared" si="4"/>
        <v>7.4222167027813848</v>
      </c>
      <c r="K53" s="16">
        <f t="shared" si="2"/>
        <v>223.66348555676493</v>
      </c>
      <c r="L53" s="16">
        <f t="shared" si="5"/>
        <v>43.663485556764954</v>
      </c>
      <c r="M53" s="16">
        <f t="shared" si="6"/>
        <v>5.3692857192253642</v>
      </c>
      <c r="N53" s="16">
        <f t="shared" si="7"/>
        <v>5.1244581809562595</v>
      </c>
      <c r="O53" s="16">
        <f>M53-'"0" цикл 24.06'!M52</f>
        <v>703.71030195204014</v>
      </c>
      <c r="P53" s="16">
        <f>N53-'"0" цикл 24.06'!N52</f>
        <v>-618.16730879633565</v>
      </c>
      <c r="Q53" s="16">
        <f t="shared" si="8"/>
        <v>936.66376610709983</v>
      </c>
      <c r="R53" s="16">
        <f t="shared" si="9"/>
        <v>-41.29736690741597</v>
      </c>
      <c r="S53" s="16">
        <f t="shared" si="10"/>
        <v>318.70263309258405</v>
      </c>
    </row>
    <row r="54" spans="1:19" x14ac:dyDescent="0.45">
      <c r="A54" s="7">
        <v>25</v>
      </c>
      <c r="B54" s="11" t="s">
        <v>184</v>
      </c>
      <c r="C54" s="11" t="s">
        <v>185</v>
      </c>
      <c r="D54" s="8">
        <f t="shared" si="3"/>
        <v>1107.5</v>
      </c>
      <c r="E54" s="8">
        <f t="shared" si="0"/>
        <v>2.684642859612683</v>
      </c>
      <c r="F54" s="11">
        <v>-548</v>
      </c>
      <c r="G54" s="11">
        <v>-2662</v>
      </c>
      <c r="H54" s="8">
        <f t="shared" si="11"/>
        <v>1057</v>
      </c>
      <c r="I54" s="8">
        <f t="shared" si="1"/>
        <v>2.5622290904781289</v>
      </c>
      <c r="J54" s="16">
        <f t="shared" si="4"/>
        <v>3.7111083513906924</v>
      </c>
      <c r="K54" s="16">
        <f t="shared" si="2"/>
        <v>223.66348555676493</v>
      </c>
      <c r="L54" s="16">
        <v>0</v>
      </c>
      <c r="M54" s="16">
        <f t="shared" si="6"/>
        <v>3.7111083513906924</v>
      </c>
      <c r="N54" s="16">
        <f t="shared" si="7"/>
        <v>0</v>
      </c>
      <c r="O54" s="16">
        <f>M54-'"0" цикл 24.06'!M53</f>
        <v>687.02370976008342</v>
      </c>
      <c r="P54" s="16">
        <f>N54-'"0" цикл 24.06'!N53</f>
        <v>-609.23571912388809</v>
      </c>
      <c r="Q54" s="16">
        <f t="shared" si="8"/>
        <v>918.24274526342344</v>
      </c>
      <c r="R54" s="16">
        <f t="shared" si="9"/>
        <v>-41.565822416474546</v>
      </c>
      <c r="S54" s="16">
        <f t="shared" si="10"/>
        <v>318.43417758352547</v>
      </c>
    </row>
  </sheetData>
  <mergeCells count="2">
    <mergeCell ref="B1:I1"/>
    <mergeCell ref="M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4"/>
  <sheetViews>
    <sheetView topLeftCell="C1" zoomScaleNormal="100" workbookViewId="0">
      <selection activeCell="C1" sqref="A1:XFD1048576"/>
    </sheetView>
  </sheetViews>
  <sheetFormatPr defaultRowHeight="14.25" x14ac:dyDescent="0.45"/>
  <cols>
    <col min="1" max="1" width="9.1328125" style="7"/>
    <col min="2" max="3" width="9.3984375" style="12" customWidth="1"/>
    <col min="4" max="5" width="9.3984375" style="13" customWidth="1"/>
    <col min="6" max="7" width="9.3984375" style="12" customWidth="1"/>
    <col min="8" max="9" width="9.3984375" style="13" customWidth="1"/>
    <col min="10" max="19" width="9.1328125" style="16"/>
  </cols>
  <sheetData>
    <row r="1" spans="1:19" x14ac:dyDescent="0.45">
      <c r="B1" s="53" t="s">
        <v>195</v>
      </c>
      <c r="C1" s="53"/>
      <c r="D1" s="53"/>
      <c r="E1" s="53"/>
      <c r="F1" s="53"/>
      <c r="G1" s="53"/>
      <c r="H1" s="53"/>
      <c r="I1" s="53"/>
      <c r="K1" s="16" t="s">
        <v>1</v>
      </c>
      <c r="L1" s="18">
        <v>180</v>
      </c>
      <c r="M1" s="54"/>
      <c r="N1" s="55"/>
      <c r="O1" s="55"/>
      <c r="P1" s="55"/>
      <c r="Q1" s="55"/>
      <c r="R1" s="55"/>
      <c r="S1" s="56"/>
    </row>
    <row r="2" spans="1:19" ht="99.75" x14ac:dyDescent="0.45">
      <c r="A2" s="7" t="s">
        <v>2</v>
      </c>
      <c r="B2" s="9" t="s">
        <v>99</v>
      </c>
      <c r="C2" s="9" t="s">
        <v>100</v>
      </c>
      <c r="D2" s="10" t="s">
        <v>101</v>
      </c>
      <c r="E2" s="10" t="s">
        <v>102</v>
      </c>
      <c r="F2" s="9" t="s">
        <v>187</v>
      </c>
      <c r="G2" s="9" t="s">
        <v>188</v>
      </c>
      <c r="H2" s="10" t="s">
        <v>189</v>
      </c>
      <c r="I2" s="10" t="s">
        <v>186</v>
      </c>
      <c r="J2" s="10" t="s">
        <v>191</v>
      </c>
      <c r="K2" s="10" t="s">
        <v>192</v>
      </c>
      <c r="L2" s="10" t="s">
        <v>193</v>
      </c>
      <c r="M2" s="15" t="s">
        <v>17</v>
      </c>
      <c r="N2" s="15" t="s">
        <v>18</v>
      </c>
      <c r="O2" s="14" t="s">
        <v>19</v>
      </c>
      <c r="P2" s="14" t="s">
        <v>20</v>
      </c>
      <c r="Q2" s="14" t="s">
        <v>21</v>
      </c>
      <c r="R2" s="14"/>
      <c r="S2" s="14" t="s">
        <v>22</v>
      </c>
    </row>
    <row r="3" spans="1:19" x14ac:dyDescent="0.45">
      <c r="A3" s="7">
        <v>-0.5</v>
      </c>
      <c r="B3" s="11" t="s">
        <v>103</v>
      </c>
      <c r="C3" s="11" t="s">
        <v>104</v>
      </c>
      <c r="D3" s="8">
        <f>(B3-C3)/2</f>
        <v>-1963.5</v>
      </c>
      <c r="E3" s="8">
        <f t="shared" ref="E3:E54" si="0">0.5*SIN(D3/3600*PI()/180)*1000+E4</f>
        <v>-200.38155580556699</v>
      </c>
      <c r="F3" s="11">
        <v>-3702</v>
      </c>
      <c r="G3" s="11">
        <v>228</v>
      </c>
      <c r="H3" s="8">
        <f>(F3-G3)/2</f>
        <v>-1965</v>
      </c>
      <c r="I3" s="8">
        <f t="shared" ref="I3:I54" si="1">0.5*SIN(H3/3600*PI()/180)*1000+I4</f>
        <v>-202.18379614515277</v>
      </c>
      <c r="J3" s="16">
        <f>SQRT(E3^2+I3^2)</f>
        <v>284.65954284148677</v>
      </c>
      <c r="K3" s="16">
        <f t="shared" ref="K3:K54" si="2">IF(E3&gt;=0,180-DEGREES(ASIN(-I3/J3)),IF(E3&lt;0,DEGREES(ASIN(-I3/J3)),360-DEGREES(ASIN(I3/J3))))</f>
        <v>45.256505123367646</v>
      </c>
      <c r="L3" s="16">
        <f>IF((K3+$L$1)&lt;=360,K3+$L$1,K3+$L$1-360)</f>
        <v>225.25650512336765</v>
      </c>
      <c r="M3" s="16">
        <f>J3*COS(RADIANS(L3))</f>
        <v>-200.38155580556702</v>
      </c>
      <c r="N3" s="16">
        <f>J3*SIN(RADIANS(L3))</f>
        <v>-202.18379614515271</v>
      </c>
      <c r="O3" s="16" t="e">
        <f>M3-'"0" цикл 24.06'!#REF!</f>
        <v>#REF!</v>
      </c>
      <c r="P3" s="16" t="e">
        <f>N3-'"0" цикл 24.06'!#REF!</f>
        <v>#REF!</v>
      </c>
      <c r="Q3" s="16" t="e">
        <f>SQRT(O3^2+P3^2)</f>
        <v>#REF!</v>
      </c>
      <c r="R3" s="16" t="e">
        <f>IF(Q3=0,0,IF(O3&gt;=0,DEGREES(ASIN(P3/Q3)),(180-DEGREES(ASIN(P3/Q3)))))</f>
        <v>#REF!</v>
      </c>
      <c r="S3" s="16" t="e">
        <f>IF(R3&lt;0,360+R3,R3)</f>
        <v>#REF!</v>
      </c>
    </row>
    <row r="4" spans="1:19" x14ac:dyDescent="0.45">
      <c r="A4" s="7">
        <v>0</v>
      </c>
      <c r="B4" s="11" t="s">
        <v>105</v>
      </c>
      <c r="C4" s="11" t="s">
        <v>106</v>
      </c>
      <c r="D4" s="8">
        <f t="shared" ref="D4:D54" si="3">(B4-C4)/2</f>
        <v>-1325</v>
      </c>
      <c r="E4" s="8">
        <f t="shared" si="0"/>
        <v>-195.62196937558332</v>
      </c>
      <c r="F4" s="11">
        <v>-3010</v>
      </c>
      <c r="G4" s="11">
        <v>-428</v>
      </c>
      <c r="H4" s="8">
        <f>(F4-G4)/2</f>
        <v>-1291</v>
      </c>
      <c r="I4" s="8">
        <f t="shared" si="1"/>
        <v>-197.42057377743248</v>
      </c>
      <c r="J4" s="16">
        <f t="shared" ref="J4:J54" si="4">SQRT(E4^2+I4^2)</f>
        <v>277.92595750126026</v>
      </c>
      <c r="K4" s="16">
        <f t="shared" si="2"/>
        <v>45.262189739284302</v>
      </c>
      <c r="L4" s="16">
        <f t="shared" ref="L4:L53" si="5">IF((K4+$L$1)&lt;=360,K4+$L$1,K4+$L$1-360)</f>
        <v>225.26218973928431</v>
      </c>
      <c r="M4" s="16">
        <f t="shared" ref="M4:M54" si="6">J4*COS(RADIANS(L4))</f>
        <v>-195.62196937558326</v>
      </c>
      <c r="N4" s="16">
        <f t="shared" ref="N4:N54" si="7">J4*SIN(RADIANS(L4))</f>
        <v>-197.42057377743254</v>
      </c>
      <c r="O4" s="16">
        <f>M4-'"0" цикл 24.06'!M3</f>
        <v>516.9218412305147</v>
      </c>
      <c r="P4" s="16">
        <f>N4-'"0" цикл 24.06'!N3</f>
        <v>-784.12197418385415</v>
      </c>
      <c r="Q4" s="16">
        <f t="shared" ref="Q4:Q54" si="8">SQRT(O4^2+P4^2)</f>
        <v>939.17807701155925</v>
      </c>
      <c r="R4" s="16">
        <f t="shared" ref="R4:R54" si="9">IF(Q4=0,0,IF(O4&gt;=0,DEGREES(ASIN(P4/Q4)),(180-DEGREES(ASIN(P4/Q4)))))</f>
        <v>-56.605670538043313</v>
      </c>
      <c r="S4" s="16">
        <f t="shared" ref="S4:S54" si="10">IF(R4&lt;0,360+R4,R4)</f>
        <v>303.39432946195666</v>
      </c>
    </row>
    <row r="5" spans="1:19" x14ac:dyDescent="0.45">
      <c r="A5" s="7">
        <v>0.5</v>
      </c>
      <c r="B5" s="11" t="s">
        <v>107</v>
      </c>
      <c r="C5" s="11" t="s">
        <v>108</v>
      </c>
      <c r="D5" s="8">
        <f t="shared" si="3"/>
        <v>-587</v>
      </c>
      <c r="E5" s="8">
        <f t="shared" si="0"/>
        <v>-192.41010082794665</v>
      </c>
      <c r="F5" s="11">
        <v>-2302</v>
      </c>
      <c r="G5" s="11">
        <v>-1171</v>
      </c>
      <c r="H5" s="8">
        <f t="shared" ref="H5:H54" si="11">(F5-G5)/2</f>
        <v>-565.5</v>
      </c>
      <c r="I5" s="8">
        <f t="shared" si="1"/>
        <v>-194.2911218983574</v>
      </c>
      <c r="J5" s="16">
        <f t="shared" si="4"/>
        <v>273.44229180787482</v>
      </c>
      <c r="K5" s="16">
        <f t="shared" si="2"/>
        <v>45.27870022685164</v>
      </c>
      <c r="L5" s="16">
        <f t="shared" si="5"/>
        <v>225.27870022685164</v>
      </c>
      <c r="M5" s="16">
        <f t="shared" si="6"/>
        <v>-192.41010082794665</v>
      </c>
      <c r="N5" s="16">
        <f t="shared" si="7"/>
        <v>-194.2911218983574</v>
      </c>
      <c r="O5" s="16">
        <f>M5-'"0" цикл 24.06'!M4</f>
        <v>524.61381305537861</v>
      </c>
      <c r="P5" s="16">
        <f>N5-'"0" цикл 24.06'!N4</f>
        <v>-786.51213515400218</v>
      </c>
      <c r="Q5" s="16">
        <f t="shared" si="8"/>
        <v>945.42106576541391</v>
      </c>
      <c r="R5" s="16">
        <f t="shared" si="9"/>
        <v>-56.296197194784135</v>
      </c>
      <c r="S5" s="16">
        <f t="shared" si="10"/>
        <v>303.70380280521584</v>
      </c>
    </row>
    <row r="6" spans="1:19" x14ac:dyDescent="0.45">
      <c r="A6" s="7">
        <v>1</v>
      </c>
      <c r="B6" s="11" t="s">
        <v>109</v>
      </c>
      <c r="C6" s="11" t="s">
        <v>110</v>
      </c>
      <c r="D6" s="8">
        <f t="shared" si="3"/>
        <v>-1149.5</v>
      </c>
      <c r="E6" s="8">
        <f t="shared" si="0"/>
        <v>-190.98717459458109</v>
      </c>
      <c r="F6" s="11">
        <v>-2912</v>
      </c>
      <c r="G6" s="11">
        <v>-547</v>
      </c>
      <c r="H6" s="8">
        <f t="shared" si="11"/>
        <v>-1182.5</v>
      </c>
      <c r="I6" s="8">
        <f t="shared" si="1"/>
        <v>-192.92031293229982</v>
      </c>
      <c r="J6" s="16">
        <f t="shared" si="4"/>
        <v>271.4670293083812</v>
      </c>
      <c r="K6" s="16">
        <f t="shared" si="2"/>
        <v>45.288506308022626</v>
      </c>
      <c r="L6" s="16">
        <f t="shared" si="5"/>
        <v>225.28850630802262</v>
      </c>
      <c r="M6" s="16">
        <f t="shared" si="6"/>
        <v>-190.98717459458115</v>
      </c>
      <c r="N6" s="16">
        <f t="shared" si="7"/>
        <v>-192.92031293229979</v>
      </c>
      <c r="O6" s="16">
        <f>M6-'"0" цикл 24.06'!M5</f>
        <v>532.66297870773963</v>
      </c>
      <c r="P6" s="16">
        <f>N6-'"0" цикл 24.06'!N5</f>
        <v>-792.60717942324163</v>
      </c>
      <c r="Q6" s="16">
        <f t="shared" si="8"/>
        <v>954.9638683002978</v>
      </c>
      <c r="R6" s="16">
        <f t="shared" si="9"/>
        <v>-56.097357786009781</v>
      </c>
      <c r="S6" s="16">
        <f t="shared" si="10"/>
        <v>303.90264221399025</v>
      </c>
    </row>
    <row r="7" spans="1:19" x14ac:dyDescent="0.45">
      <c r="A7" s="7">
        <v>1.5</v>
      </c>
      <c r="B7" s="11" t="s">
        <v>111</v>
      </c>
      <c r="C7" s="11" t="s">
        <v>112</v>
      </c>
      <c r="D7" s="8">
        <f t="shared" si="3"/>
        <v>-1497</v>
      </c>
      <c r="E7" s="8">
        <f t="shared" si="0"/>
        <v>-188.20072238586908</v>
      </c>
      <c r="F7" s="11">
        <v>-3200</v>
      </c>
      <c r="G7" s="11">
        <v>-222</v>
      </c>
      <c r="H7" s="8">
        <f t="shared" si="11"/>
        <v>-1489</v>
      </c>
      <c r="I7" s="8">
        <f t="shared" si="1"/>
        <v>-190.05386774441848</v>
      </c>
      <c r="J7" s="16">
        <f t="shared" si="4"/>
        <v>267.46959556401151</v>
      </c>
      <c r="K7" s="16">
        <f t="shared" si="2"/>
        <v>45.280701308472246</v>
      </c>
      <c r="L7" s="16">
        <f t="shared" si="5"/>
        <v>225.28070130847226</v>
      </c>
      <c r="M7" s="16">
        <f t="shared" si="6"/>
        <v>-188.20072238586908</v>
      </c>
      <c r="N7" s="16">
        <f t="shared" si="7"/>
        <v>-190.05386774441851</v>
      </c>
      <c r="O7" s="16">
        <f>M7-'"0" цикл 24.06'!M6</f>
        <v>540.03849158715775</v>
      </c>
      <c r="P7" s="16">
        <f>N7-'"0" цикл 24.06'!N6</f>
        <v>-795.54479326974933</v>
      </c>
      <c r="Q7" s="16">
        <f t="shared" si="8"/>
        <v>961.52643775111085</v>
      </c>
      <c r="R7" s="16">
        <f t="shared" si="9"/>
        <v>-55.830220765292331</v>
      </c>
      <c r="S7" s="16">
        <f t="shared" si="10"/>
        <v>304.16977923470768</v>
      </c>
    </row>
    <row r="8" spans="1:19" x14ac:dyDescent="0.45">
      <c r="A8" s="7">
        <v>2</v>
      </c>
      <c r="B8" s="11" t="s">
        <v>113</v>
      </c>
      <c r="C8" s="11" t="s">
        <v>114</v>
      </c>
      <c r="D8" s="8">
        <f t="shared" si="3"/>
        <v>-1174.5</v>
      </c>
      <c r="E8" s="8">
        <f t="shared" si="0"/>
        <v>-184.57192383996491</v>
      </c>
      <c r="F8" s="11">
        <v>-2928</v>
      </c>
      <c r="G8" s="11">
        <v>-615</v>
      </c>
      <c r="H8" s="8">
        <f t="shared" si="11"/>
        <v>-1156.5</v>
      </c>
      <c r="I8" s="8">
        <f t="shared" si="1"/>
        <v>-186.44446123774742</v>
      </c>
      <c r="J8" s="16">
        <f t="shared" si="4"/>
        <v>262.35154315578114</v>
      </c>
      <c r="K8" s="16">
        <f t="shared" si="2"/>
        <v>45.289172077640984</v>
      </c>
      <c r="L8" s="16">
        <f t="shared" si="5"/>
        <v>225.28917207764098</v>
      </c>
      <c r="M8" s="16">
        <f t="shared" si="6"/>
        <v>-184.57192383996488</v>
      </c>
      <c r="N8" s="16">
        <f t="shared" si="7"/>
        <v>-186.44446123774745</v>
      </c>
      <c r="O8" s="16">
        <f>M8-'"0" цикл 24.06'!M7</f>
        <v>545.91233354311657</v>
      </c>
      <c r="P8" s="16">
        <f>N8-'"0" цикл 24.06'!N7</f>
        <v>-795.19852328271327</v>
      </c>
      <c r="Q8" s="16">
        <f t="shared" si="8"/>
        <v>964.55221079291448</v>
      </c>
      <c r="R8" s="16">
        <f t="shared" si="9"/>
        <v>-55.529983016096239</v>
      </c>
      <c r="S8" s="16">
        <f t="shared" si="10"/>
        <v>304.47001698390375</v>
      </c>
    </row>
    <row r="9" spans="1:19" x14ac:dyDescent="0.45">
      <c r="A9" s="7">
        <v>2.5</v>
      </c>
      <c r="B9" s="11" t="s">
        <v>115</v>
      </c>
      <c r="C9" s="11" t="s">
        <v>116</v>
      </c>
      <c r="D9" s="8">
        <f t="shared" si="3"/>
        <v>-1837</v>
      </c>
      <c r="E9" s="8">
        <f t="shared" si="0"/>
        <v>-181.7248708827984</v>
      </c>
      <c r="F9" s="11">
        <v>-3558</v>
      </c>
      <c r="G9" s="11">
        <v>171</v>
      </c>
      <c r="H9" s="8">
        <f t="shared" si="11"/>
        <v>-1864.5</v>
      </c>
      <c r="I9" s="8">
        <f t="shared" si="1"/>
        <v>-183.64104081530374</v>
      </c>
      <c r="J9" s="16">
        <f t="shared" si="4"/>
        <v>258.35626675019478</v>
      </c>
      <c r="K9" s="16">
        <f t="shared" si="2"/>
        <v>45.300486279332638</v>
      </c>
      <c r="L9" s="16">
        <f t="shared" si="5"/>
        <v>225.30048627933263</v>
      </c>
      <c r="M9" s="16">
        <f t="shared" si="6"/>
        <v>-181.7248708827984</v>
      </c>
      <c r="N9" s="16">
        <f t="shared" si="7"/>
        <v>-183.64104081530374</v>
      </c>
      <c r="O9" s="16">
        <f>M9-'"0" цикл 24.06'!M8</f>
        <v>549.50854456071329</v>
      </c>
      <c r="P9" s="16">
        <f>N9-'"0" цикл 24.06'!N8</f>
        <v>-794.29799196503689</v>
      </c>
      <c r="Q9" s="16">
        <f t="shared" si="8"/>
        <v>965.85140709372217</v>
      </c>
      <c r="R9" s="16">
        <f t="shared" si="9"/>
        <v>-55.323871393433436</v>
      </c>
      <c r="S9" s="16">
        <f t="shared" si="10"/>
        <v>304.67612860656658</v>
      </c>
    </row>
    <row r="10" spans="1:19" x14ac:dyDescent="0.45">
      <c r="A10" s="7">
        <v>3</v>
      </c>
      <c r="B10" s="11" t="s">
        <v>117</v>
      </c>
      <c r="C10" s="11" t="s">
        <v>118</v>
      </c>
      <c r="D10" s="8">
        <f t="shared" si="3"/>
        <v>-2058</v>
      </c>
      <c r="E10" s="8">
        <f t="shared" si="0"/>
        <v>-177.27191608842742</v>
      </c>
      <c r="F10" s="11">
        <v>-3765</v>
      </c>
      <c r="G10" s="11">
        <v>350</v>
      </c>
      <c r="H10" s="8">
        <f t="shared" si="11"/>
        <v>-2057.5</v>
      </c>
      <c r="I10" s="8">
        <f t="shared" si="1"/>
        <v>-179.12142682325731</v>
      </c>
      <c r="J10" s="16">
        <f t="shared" si="4"/>
        <v>252.01154295163144</v>
      </c>
      <c r="K10" s="16">
        <f t="shared" si="2"/>
        <v>45.297334981427682</v>
      </c>
      <c r="L10" s="16">
        <f t="shared" si="5"/>
        <v>225.2973349814277</v>
      </c>
      <c r="M10" s="16">
        <f t="shared" si="6"/>
        <v>-177.27191608842736</v>
      </c>
      <c r="N10" s="16">
        <f t="shared" si="7"/>
        <v>-179.12142682325734</v>
      </c>
      <c r="O10" s="16">
        <f>M10-'"0" цикл 24.06'!M9</f>
        <v>553.01344676975089</v>
      </c>
      <c r="P10" s="16">
        <f>N10-'"0" цикл 24.06'!N9</f>
        <v>-789.97315186445019</v>
      </c>
      <c r="Q10" s="16">
        <f t="shared" si="8"/>
        <v>964.30361037113914</v>
      </c>
      <c r="R10" s="16">
        <f t="shared" si="9"/>
        <v>-55.006410461610592</v>
      </c>
      <c r="S10" s="16">
        <f t="shared" si="10"/>
        <v>304.99358953838941</v>
      </c>
    </row>
    <row r="11" spans="1:19" x14ac:dyDescent="0.45">
      <c r="A11" s="7">
        <v>3.5</v>
      </c>
      <c r="B11" s="11" t="s">
        <v>119</v>
      </c>
      <c r="C11" s="11" t="s">
        <v>120</v>
      </c>
      <c r="D11" s="8">
        <f t="shared" si="3"/>
        <v>-2136.5</v>
      </c>
      <c r="E11" s="8">
        <f t="shared" si="0"/>
        <v>-172.28326608063912</v>
      </c>
      <c r="F11" s="11">
        <v>-4262</v>
      </c>
      <c r="G11" s="11">
        <v>374</v>
      </c>
      <c r="H11" s="8">
        <f t="shared" si="11"/>
        <v>-2318</v>
      </c>
      <c r="I11" s="8">
        <f t="shared" si="1"/>
        <v>-174.13398878935806</v>
      </c>
      <c r="J11" s="16">
        <f t="shared" si="4"/>
        <v>244.95748574620978</v>
      </c>
      <c r="K11" s="16">
        <f t="shared" si="2"/>
        <v>45.30609789187934</v>
      </c>
      <c r="L11" s="16">
        <f t="shared" si="5"/>
        <v>225.30609789187935</v>
      </c>
      <c r="M11" s="16">
        <f t="shared" si="6"/>
        <v>-172.28326608063909</v>
      </c>
      <c r="N11" s="16">
        <f t="shared" si="7"/>
        <v>-174.13398878935806</v>
      </c>
      <c r="O11" s="16">
        <f>M11-'"0" цикл 24.06'!M10</f>
        <v>555.08753463588187</v>
      </c>
      <c r="P11" s="16">
        <f>N11-'"0" цикл 24.06'!N10</f>
        <v>-783.11373137774262</v>
      </c>
      <c r="Q11" s="16">
        <f t="shared" si="8"/>
        <v>959.89024757026914</v>
      </c>
      <c r="R11" s="16">
        <f t="shared" si="9"/>
        <v>-54.670181157173651</v>
      </c>
      <c r="S11" s="16">
        <f t="shared" si="10"/>
        <v>305.32981884282634</v>
      </c>
    </row>
    <row r="12" spans="1:19" x14ac:dyDescent="0.45">
      <c r="A12" s="7">
        <v>4</v>
      </c>
      <c r="B12" s="11" t="s">
        <v>121</v>
      </c>
      <c r="C12" s="11" t="s">
        <v>122</v>
      </c>
      <c r="D12" s="8">
        <f t="shared" si="3"/>
        <v>-2731.5</v>
      </c>
      <c r="E12" s="8">
        <f t="shared" si="0"/>
        <v>-167.10433654044473</v>
      </c>
      <c r="F12" s="11">
        <v>-4510</v>
      </c>
      <c r="G12" s="11">
        <v>1097</v>
      </c>
      <c r="H12" s="8">
        <f t="shared" si="11"/>
        <v>-2803.5</v>
      </c>
      <c r="I12" s="8">
        <f t="shared" si="1"/>
        <v>-168.51511649701695</v>
      </c>
      <c r="J12" s="16">
        <f t="shared" si="4"/>
        <v>237.3208877840832</v>
      </c>
      <c r="K12" s="16">
        <f t="shared" si="2"/>
        <v>45.240842002813665</v>
      </c>
      <c r="L12" s="16">
        <f t="shared" si="5"/>
        <v>225.24084200281368</v>
      </c>
      <c r="M12" s="16">
        <f t="shared" si="6"/>
        <v>-167.10433654044471</v>
      </c>
      <c r="N12" s="16">
        <f t="shared" si="7"/>
        <v>-168.51511649701698</v>
      </c>
      <c r="O12" s="16">
        <f>M12-'"0" цикл 24.06'!M11</f>
        <v>555.61013848216317</v>
      </c>
      <c r="P12" s="16">
        <f>N12-'"0" цикл 24.06'!N11</f>
        <v>-773.5926333809814</v>
      </c>
      <c r="Q12" s="16">
        <f t="shared" si="8"/>
        <v>952.44327306432797</v>
      </c>
      <c r="R12" s="16">
        <f t="shared" si="9"/>
        <v>-54.313315161928578</v>
      </c>
      <c r="S12" s="16">
        <f t="shared" si="10"/>
        <v>305.68668483807141</v>
      </c>
    </row>
    <row r="13" spans="1:19" x14ac:dyDescent="0.45">
      <c r="A13" s="7">
        <v>4.5</v>
      </c>
      <c r="B13" s="11" t="s">
        <v>123</v>
      </c>
      <c r="C13" s="11" t="s">
        <v>124</v>
      </c>
      <c r="D13" s="8">
        <f t="shared" si="3"/>
        <v>-3916</v>
      </c>
      <c r="E13" s="8">
        <f t="shared" si="0"/>
        <v>-160.48318721840269</v>
      </c>
      <c r="F13" s="11">
        <v>-5668</v>
      </c>
      <c r="G13" s="11">
        <v>2227</v>
      </c>
      <c r="H13" s="8">
        <f t="shared" si="11"/>
        <v>-3947.5</v>
      </c>
      <c r="I13" s="8">
        <f t="shared" si="1"/>
        <v>-161.71944996028762</v>
      </c>
      <c r="J13" s="16">
        <f t="shared" si="4"/>
        <v>227.83334671473108</v>
      </c>
      <c r="K13" s="16">
        <f t="shared" si="2"/>
        <v>45.219837709914366</v>
      </c>
      <c r="L13" s="16">
        <f t="shared" si="5"/>
        <v>225.21983770991437</v>
      </c>
      <c r="M13" s="16">
        <f t="shared" si="6"/>
        <v>-160.48318721840266</v>
      </c>
      <c r="N13" s="16">
        <f t="shared" si="7"/>
        <v>-161.71944996028768</v>
      </c>
      <c r="O13" s="16">
        <f>M13-'"0" цикл 24.06'!M12</f>
        <v>558.02182154286027</v>
      </c>
      <c r="P13" s="16">
        <f>N13-'"0" цикл 24.06'!N12</f>
        <v>-763.81477436997375</v>
      </c>
      <c r="Q13" s="16">
        <f t="shared" si="8"/>
        <v>945.93940760699138</v>
      </c>
      <c r="R13" s="16">
        <f t="shared" si="9"/>
        <v>-53.849175257390819</v>
      </c>
      <c r="S13" s="16">
        <f t="shared" si="10"/>
        <v>306.15082474260919</v>
      </c>
    </row>
    <row r="14" spans="1:19" x14ac:dyDescent="0.45">
      <c r="A14" s="7">
        <v>5</v>
      </c>
      <c r="B14" s="11" t="s">
        <v>125</v>
      </c>
      <c r="C14" s="11" t="s">
        <v>126</v>
      </c>
      <c r="D14" s="8">
        <f t="shared" si="3"/>
        <v>-5273.5</v>
      </c>
      <c r="E14" s="8">
        <f t="shared" si="0"/>
        <v>-150.99110559002344</v>
      </c>
      <c r="F14" s="11">
        <v>-7005</v>
      </c>
      <c r="G14" s="11">
        <v>3515</v>
      </c>
      <c r="H14" s="8">
        <f t="shared" si="11"/>
        <v>-5260</v>
      </c>
      <c r="I14" s="8">
        <f t="shared" si="1"/>
        <v>-152.15102404903928</v>
      </c>
      <c r="J14" s="16">
        <f t="shared" si="4"/>
        <v>214.35542467236263</v>
      </c>
      <c r="K14" s="16">
        <f t="shared" si="2"/>
        <v>45.219230853955821</v>
      </c>
      <c r="L14" s="16">
        <f t="shared" si="5"/>
        <v>225.21923085395582</v>
      </c>
      <c r="M14" s="16">
        <f t="shared" si="6"/>
        <v>-150.99110559002344</v>
      </c>
      <c r="N14" s="16">
        <f t="shared" si="7"/>
        <v>-152.15102404903925</v>
      </c>
      <c r="O14" s="16">
        <f>M14-'"0" цикл 24.06'!M13</f>
        <v>564.94294754947418</v>
      </c>
      <c r="P14" s="16">
        <f>N14-'"0" цикл 24.06'!N13</f>
        <v>-752.69167469194667</v>
      </c>
      <c r="Q14" s="16">
        <f t="shared" si="8"/>
        <v>941.11916946604333</v>
      </c>
      <c r="R14" s="16">
        <f t="shared" si="9"/>
        <v>-53.109442369134847</v>
      </c>
      <c r="S14" s="16">
        <f t="shared" si="10"/>
        <v>306.89055763086515</v>
      </c>
    </row>
    <row r="15" spans="1:19" x14ac:dyDescent="0.45">
      <c r="A15" s="7">
        <v>5.5</v>
      </c>
      <c r="B15" s="11" t="s">
        <v>127</v>
      </c>
      <c r="C15" s="11" t="s">
        <v>128</v>
      </c>
      <c r="D15" s="8">
        <f t="shared" si="3"/>
        <v>-6288.5</v>
      </c>
      <c r="E15" s="8">
        <f t="shared" si="0"/>
        <v>-138.2091734521515</v>
      </c>
      <c r="F15" s="11">
        <v>-8031</v>
      </c>
      <c r="G15" s="11">
        <v>4599</v>
      </c>
      <c r="H15" s="8">
        <f t="shared" si="11"/>
        <v>-6315</v>
      </c>
      <c r="I15" s="8">
        <f t="shared" si="1"/>
        <v>-139.4018061671969</v>
      </c>
      <c r="J15" s="16">
        <f t="shared" si="4"/>
        <v>196.30241768506988</v>
      </c>
      <c r="K15" s="16">
        <f t="shared" si="2"/>
        <v>45.246144445704807</v>
      </c>
      <c r="L15" s="16">
        <f t="shared" si="5"/>
        <v>225.2461444457048</v>
      </c>
      <c r="M15" s="16">
        <f t="shared" si="6"/>
        <v>-138.20917345215156</v>
      </c>
      <c r="N15" s="16">
        <f t="shared" si="7"/>
        <v>-139.40180616719684</v>
      </c>
      <c r="O15" s="16">
        <f>M15-'"0" цикл 24.06'!M14</f>
        <v>577.62452325603044</v>
      </c>
      <c r="P15" s="16">
        <f>N15-'"0" цикл 24.06'!N14</f>
        <v>-740.84117968752594</v>
      </c>
      <c r="Q15" s="16">
        <f t="shared" si="8"/>
        <v>939.41244583386344</v>
      </c>
      <c r="R15" s="16">
        <f t="shared" si="9"/>
        <v>-52.056906992074786</v>
      </c>
      <c r="S15" s="16">
        <f t="shared" si="10"/>
        <v>307.9430930079252</v>
      </c>
    </row>
    <row r="16" spans="1:19" x14ac:dyDescent="0.45">
      <c r="A16" s="7">
        <v>6</v>
      </c>
      <c r="B16" s="11" t="s">
        <v>129</v>
      </c>
      <c r="C16" s="11" t="s">
        <v>130</v>
      </c>
      <c r="D16" s="8">
        <f t="shared" si="3"/>
        <v>-6174.5</v>
      </c>
      <c r="E16" s="8">
        <f t="shared" si="0"/>
        <v>-122.96778065563274</v>
      </c>
      <c r="F16" s="11">
        <v>-7865</v>
      </c>
      <c r="G16" s="11">
        <v>4444</v>
      </c>
      <c r="H16" s="8">
        <f t="shared" si="11"/>
        <v>-6154.5</v>
      </c>
      <c r="I16" s="8">
        <f t="shared" si="1"/>
        <v>-124.09620553572584</v>
      </c>
      <c r="J16" s="16">
        <f t="shared" si="4"/>
        <v>174.70244219167893</v>
      </c>
      <c r="K16" s="16">
        <f t="shared" si="2"/>
        <v>45.261687405582485</v>
      </c>
      <c r="L16" s="16">
        <f t="shared" si="5"/>
        <v>225.26168740558248</v>
      </c>
      <c r="M16" s="16">
        <f t="shared" si="6"/>
        <v>-122.96778065563272</v>
      </c>
      <c r="N16" s="16">
        <f t="shared" si="7"/>
        <v>-124.09620553572584</v>
      </c>
      <c r="O16" s="16">
        <f>M16-'"0" цикл 24.06'!M15</f>
        <v>594.65681396122932</v>
      </c>
      <c r="P16" s="16">
        <f>N16-'"0" цикл 24.06'!N15</f>
        <v>-728.36675462113396</v>
      </c>
      <c r="Q16" s="16">
        <f t="shared" si="8"/>
        <v>940.28445463478943</v>
      </c>
      <c r="R16" s="16">
        <f t="shared" si="9"/>
        <v>-50.77094101946313</v>
      </c>
      <c r="S16" s="16">
        <f t="shared" si="10"/>
        <v>309.22905898053688</v>
      </c>
    </row>
    <row r="17" spans="1:19" x14ac:dyDescent="0.45">
      <c r="A17" s="7">
        <v>6.5</v>
      </c>
      <c r="B17" s="11" t="s">
        <v>131</v>
      </c>
      <c r="C17" s="11" t="s">
        <v>132</v>
      </c>
      <c r="D17" s="8">
        <f t="shared" si="3"/>
        <v>-5283.5</v>
      </c>
      <c r="E17" s="8">
        <f t="shared" si="0"/>
        <v>-108.00260555193182</v>
      </c>
      <c r="F17" s="11">
        <v>-6979</v>
      </c>
      <c r="G17" s="11">
        <v>3516</v>
      </c>
      <c r="H17" s="8">
        <f t="shared" si="11"/>
        <v>-5247.5</v>
      </c>
      <c r="I17" s="8">
        <f t="shared" si="1"/>
        <v>-109.17949015011231</v>
      </c>
      <c r="J17" s="16">
        <f t="shared" si="4"/>
        <v>153.573187358486</v>
      </c>
      <c r="K17" s="16">
        <f t="shared" si="2"/>
        <v>45.310476147799271</v>
      </c>
      <c r="L17" s="16">
        <f t="shared" si="5"/>
        <v>225.31047614779928</v>
      </c>
      <c r="M17" s="16">
        <f t="shared" si="6"/>
        <v>-108.00260555193178</v>
      </c>
      <c r="N17" s="16">
        <f t="shared" si="7"/>
        <v>-109.17949015011233</v>
      </c>
      <c r="O17" s="16">
        <f>M17-'"0" цикл 24.06'!M16</f>
        <v>612.27814952700885</v>
      </c>
      <c r="P17" s="16">
        <f>N17-'"0" цикл 24.06'!N16</f>
        <v>-717.1711922928655</v>
      </c>
      <c r="Q17" s="16">
        <f t="shared" si="8"/>
        <v>942.98412046173314</v>
      </c>
      <c r="R17" s="16">
        <f t="shared" si="9"/>
        <v>-49.511269391482337</v>
      </c>
      <c r="S17" s="16">
        <f t="shared" si="10"/>
        <v>310.48873060851764</v>
      </c>
    </row>
    <row r="18" spans="1:19" x14ac:dyDescent="0.45">
      <c r="A18" s="7">
        <v>7</v>
      </c>
      <c r="B18" s="11" t="s">
        <v>133</v>
      </c>
      <c r="C18" s="11" t="s">
        <v>134</v>
      </c>
      <c r="D18" s="8">
        <f t="shared" si="3"/>
        <v>-3972.5</v>
      </c>
      <c r="E18" s="8">
        <f t="shared" si="0"/>
        <v>-95.196440667108746</v>
      </c>
      <c r="F18" s="11">
        <v>-5692</v>
      </c>
      <c r="G18" s="11">
        <v>2257</v>
      </c>
      <c r="H18" s="8">
        <f t="shared" si="11"/>
        <v>-3974.5</v>
      </c>
      <c r="I18" s="8">
        <f t="shared" si="1"/>
        <v>-96.46056329477338</v>
      </c>
      <c r="J18" s="16">
        <f t="shared" si="4"/>
        <v>135.5249150039628</v>
      </c>
      <c r="K18" s="16">
        <f t="shared" si="2"/>
        <v>45.377903439828913</v>
      </c>
      <c r="L18" s="16">
        <f t="shared" si="5"/>
        <v>225.37790343982891</v>
      </c>
      <c r="M18" s="16">
        <f t="shared" si="6"/>
        <v>-95.196440667108774</v>
      </c>
      <c r="N18" s="16">
        <f t="shared" si="7"/>
        <v>-96.46056329477338</v>
      </c>
      <c r="O18" s="16">
        <f>M18-'"0" цикл 24.06'!M17</f>
        <v>628.27315478135415</v>
      </c>
      <c r="P18" s="16">
        <f>N18-'"0" цикл 24.06'!N17</f>
        <v>-708.48974989507406</v>
      </c>
      <c r="Q18" s="16">
        <f t="shared" si="8"/>
        <v>946.93446590843871</v>
      </c>
      <c r="R18" s="16">
        <f t="shared" si="9"/>
        <v>-48.434092496623634</v>
      </c>
      <c r="S18" s="16">
        <f t="shared" si="10"/>
        <v>311.56590750337637</v>
      </c>
    </row>
    <row r="19" spans="1:19" x14ac:dyDescent="0.45">
      <c r="A19" s="7">
        <v>7.5</v>
      </c>
      <c r="B19" s="11" t="s">
        <v>135</v>
      </c>
      <c r="C19" s="11" t="s">
        <v>136</v>
      </c>
      <c r="D19" s="8">
        <f t="shared" si="3"/>
        <v>-3002</v>
      </c>
      <c r="E19" s="8">
        <f t="shared" si="0"/>
        <v>-85.567424213919381</v>
      </c>
      <c r="F19" s="11">
        <v>-4692</v>
      </c>
      <c r="G19" s="11">
        <v>1275</v>
      </c>
      <c r="H19" s="8">
        <f t="shared" si="11"/>
        <v>-2983.5</v>
      </c>
      <c r="I19" s="8">
        <f t="shared" si="1"/>
        <v>-86.8266996043277</v>
      </c>
      <c r="J19" s="16">
        <f t="shared" si="4"/>
        <v>121.90430612076423</v>
      </c>
      <c r="K19" s="16">
        <f t="shared" si="2"/>
        <v>45.41851706013226</v>
      </c>
      <c r="L19" s="16">
        <f t="shared" si="5"/>
        <v>225.41851706013227</v>
      </c>
      <c r="M19" s="16">
        <f t="shared" si="6"/>
        <v>-85.567424213919395</v>
      </c>
      <c r="N19" s="16">
        <f t="shared" si="7"/>
        <v>-86.826699604327686</v>
      </c>
      <c r="O19" s="16">
        <f>M19-'"0" цикл 24.06'!M18</f>
        <v>639.71076472794743</v>
      </c>
      <c r="P19" s="16">
        <f>N19-'"0" цикл 24.06'!N18</f>
        <v>-701.87286343455025</v>
      </c>
      <c r="Q19" s="16">
        <f t="shared" si="8"/>
        <v>949.66066515078433</v>
      </c>
      <c r="R19" s="16">
        <f t="shared" si="9"/>
        <v>-47.652894879828452</v>
      </c>
      <c r="S19" s="16">
        <f t="shared" si="10"/>
        <v>312.34710512017153</v>
      </c>
    </row>
    <row r="20" spans="1:19" x14ac:dyDescent="0.45">
      <c r="A20" s="7">
        <v>8</v>
      </c>
      <c r="B20" s="11" t="s">
        <v>137</v>
      </c>
      <c r="C20" s="11" t="s">
        <v>138</v>
      </c>
      <c r="D20" s="8">
        <f t="shared" si="3"/>
        <v>-3003</v>
      </c>
      <c r="E20" s="8">
        <f t="shared" si="0"/>
        <v>-78.290627764436962</v>
      </c>
      <c r="F20" s="11">
        <v>-4692</v>
      </c>
      <c r="G20" s="11">
        <v>1309</v>
      </c>
      <c r="H20" s="8">
        <f t="shared" si="11"/>
        <v>-3000.5</v>
      </c>
      <c r="I20" s="8">
        <f t="shared" si="1"/>
        <v>-79.594743700032922</v>
      </c>
      <c r="J20" s="16">
        <f t="shared" si="4"/>
        <v>111.64562517368765</v>
      </c>
      <c r="K20" s="16">
        <f t="shared" si="2"/>
        <v>45.473246122785248</v>
      </c>
      <c r="L20" s="16">
        <f t="shared" si="5"/>
        <v>225.47324612278524</v>
      </c>
      <c r="M20" s="16">
        <f t="shared" si="6"/>
        <v>-78.290627764436962</v>
      </c>
      <c r="N20" s="16">
        <f t="shared" si="7"/>
        <v>-79.594743700032907</v>
      </c>
      <c r="O20" s="16">
        <f>M20-'"0" цикл 24.06'!M19</f>
        <v>648.76258153900278</v>
      </c>
      <c r="P20" s="16">
        <f>N20-'"0" цикл 24.06'!N19</f>
        <v>-697.36094127167758</v>
      </c>
      <c r="Q20" s="16">
        <f t="shared" si="8"/>
        <v>952.47318577294936</v>
      </c>
      <c r="R20" s="16">
        <f t="shared" si="9"/>
        <v>-47.067620132819023</v>
      </c>
      <c r="S20" s="16">
        <f t="shared" si="10"/>
        <v>312.932379867181</v>
      </c>
    </row>
    <row r="21" spans="1:19" x14ac:dyDescent="0.45">
      <c r="A21" s="7">
        <v>8.5</v>
      </c>
      <c r="B21" s="11" t="s">
        <v>139</v>
      </c>
      <c r="C21" s="11" t="s">
        <v>140</v>
      </c>
      <c r="D21" s="8">
        <f t="shared" si="3"/>
        <v>-3498.5</v>
      </c>
      <c r="E21" s="8">
        <f t="shared" si="0"/>
        <v>-71.011407503365533</v>
      </c>
      <c r="F21" s="11">
        <v>-5273</v>
      </c>
      <c r="G21" s="11">
        <v>1785</v>
      </c>
      <c r="H21" s="8">
        <f t="shared" si="11"/>
        <v>-3529</v>
      </c>
      <c r="I21" s="8">
        <f t="shared" si="1"/>
        <v>-72.321582968254702</v>
      </c>
      <c r="J21" s="16">
        <f t="shared" si="4"/>
        <v>101.35596360670243</v>
      </c>
      <c r="K21" s="16">
        <f t="shared" si="2"/>
        <v>45.523713582546556</v>
      </c>
      <c r="L21" s="16">
        <f t="shared" si="5"/>
        <v>225.52371358254655</v>
      </c>
      <c r="M21" s="16">
        <f t="shared" si="6"/>
        <v>-71.011407503365561</v>
      </c>
      <c r="N21" s="16">
        <f t="shared" si="7"/>
        <v>-72.321582968254674</v>
      </c>
      <c r="O21" s="16">
        <f>M21-'"0" цикл 24.06'!M20</f>
        <v>657.77088634739846</v>
      </c>
      <c r="P21" s="16">
        <f>N21-'"0" цикл 24.06'!N20</f>
        <v>-693.02864337286917</v>
      </c>
      <c r="Q21" s="16">
        <f t="shared" si="8"/>
        <v>955.48481906385177</v>
      </c>
      <c r="R21" s="16">
        <f t="shared" si="9"/>
        <v>-46.495160501384973</v>
      </c>
      <c r="S21" s="16">
        <f t="shared" si="10"/>
        <v>313.50483949861501</v>
      </c>
    </row>
    <row r="22" spans="1:19" x14ac:dyDescent="0.45">
      <c r="A22" s="7">
        <v>9</v>
      </c>
      <c r="B22" s="11" t="s">
        <v>141</v>
      </c>
      <c r="C22" s="11" t="s">
        <v>142</v>
      </c>
      <c r="D22" s="8">
        <f t="shared" si="3"/>
        <v>-3913</v>
      </c>
      <c r="E22" s="8">
        <f t="shared" si="0"/>
        <v>-62.531210800945146</v>
      </c>
      <c r="F22" s="11">
        <v>-5626</v>
      </c>
      <c r="G22" s="11">
        <v>2201</v>
      </c>
      <c r="H22" s="8">
        <f t="shared" si="11"/>
        <v>-3913.5</v>
      </c>
      <c r="I22" s="8">
        <f t="shared" si="1"/>
        <v>-63.767462906961811</v>
      </c>
      <c r="J22" s="16">
        <f t="shared" si="4"/>
        <v>89.310926822102729</v>
      </c>
      <c r="K22" s="16">
        <f t="shared" si="2"/>
        <v>45.56081163777192</v>
      </c>
      <c r="L22" s="16">
        <f t="shared" si="5"/>
        <v>225.56081163777191</v>
      </c>
      <c r="M22" s="16">
        <f t="shared" si="6"/>
        <v>-62.531210800945161</v>
      </c>
      <c r="N22" s="16">
        <f t="shared" si="7"/>
        <v>-63.767462906961804</v>
      </c>
      <c r="O22" s="16">
        <f>M22-'"0" цикл 24.06'!M21</f>
        <v>668.19239335490977</v>
      </c>
      <c r="P22" s="16">
        <f>N22-'"0" цикл 24.06'!N21</f>
        <v>-687.38169216988854</v>
      </c>
      <c r="Q22" s="16">
        <f t="shared" si="8"/>
        <v>958.6316629799486</v>
      </c>
      <c r="R22" s="16">
        <f t="shared" si="9"/>
        <v>-45.811016096106158</v>
      </c>
      <c r="S22" s="16">
        <f t="shared" si="10"/>
        <v>314.18898390389381</v>
      </c>
    </row>
    <row r="23" spans="1:19" x14ac:dyDescent="0.45">
      <c r="A23" s="7">
        <v>9.5</v>
      </c>
      <c r="B23" s="11" t="s">
        <v>143</v>
      </c>
      <c r="C23" s="11" t="s">
        <v>144</v>
      </c>
      <c r="D23" s="8">
        <f t="shared" si="3"/>
        <v>-3790.5</v>
      </c>
      <c r="E23" s="8">
        <f t="shared" si="0"/>
        <v>-53.046400068222404</v>
      </c>
      <c r="F23" s="11">
        <v>-5529</v>
      </c>
      <c r="G23" s="11">
        <v>2057</v>
      </c>
      <c r="H23" s="8">
        <f t="shared" si="11"/>
        <v>-3793</v>
      </c>
      <c r="I23" s="8">
        <f t="shared" si="1"/>
        <v>-54.281440358156942</v>
      </c>
      <c r="J23" s="16">
        <f t="shared" si="4"/>
        <v>75.897268248297678</v>
      </c>
      <c r="K23" s="16">
        <f t="shared" si="2"/>
        <v>45.659283488457241</v>
      </c>
      <c r="L23" s="16">
        <f t="shared" si="5"/>
        <v>225.65928348845725</v>
      </c>
      <c r="M23" s="16">
        <f t="shared" si="6"/>
        <v>-53.046400068222397</v>
      </c>
      <c r="N23" s="16">
        <f t="shared" si="7"/>
        <v>-54.281440358156942</v>
      </c>
      <c r="O23" s="16">
        <f>M23-'"0" цикл 24.06'!M22</f>
        <v>679.5683365452503</v>
      </c>
      <c r="P23" s="16">
        <f>N23-'"0" цикл 24.06'!N22</f>
        <v>-680.91919171629388</v>
      </c>
      <c r="Q23" s="16">
        <f t="shared" si="8"/>
        <v>962.01043117133065</v>
      </c>
      <c r="R23" s="16">
        <f t="shared" si="9"/>
        <v>-45.056890102254549</v>
      </c>
      <c r="S23" s="16">
        <f t="shared" si="10"/>
        <v>314.94310989774544</v>
      </c>
    </row>
    <row r="24" spans="1:19" x14ac:dyDescent="0.45">
      <c r="A24" s="7">
        <v>10</v>
      </c>
      <c r="B24" s="11" t="s">
        <v>145</v>
      </c>
      <c r="C24" s="11" t="s">
        <v>146</v>
      </c>
      <c r="D24" s="8">
        <f t="shared" si="3"/>
        <v>-3258.5</v>
      </c>
      <c r="E24" s="8">
        <f t="shared" si="0"/>
        <v>-43.858485937705197</v>
      </c>
      <c r="F24" s="11">
        <v>-4984</v>
      </c>
      <c r="G24" s="11">
        <v>1527</v>
      </c>
      <c r="H24" s="8">
        <f t="shared" si="11"/>
        <v>-3255.5</v>
      </c>
      <c r="I24" s="8">
        <f t="shared" si="1"/>
        <v>-45.087467080559463</v>
      </c>
      <c r="J24" s="16">
        <f t="shared" si="4"/>
        <v>62.900289955519426</v>
      </c>
      <c r="K24" s="16">
        <f t="shared" si="2"/>
        <v>45.791615015753926</v>
      </c>
      <c r="L24" s="16">
        <f t="shared" si="5"/>
        <v>225.79161501575393</v>
      </c>
      <c r="M24" s="16">
        <f t="shared" si="6"/>
        <v>-43.858485937705183</v>
      </c>
      <c r="N24" s="16">
        <f t="shared" si="7"/>
        <v>-45.087467080559485</v>
      </c>
      <c r="O24" s="16">
        <f>M24-'"0" цикл 24.06'!M23</f>
        <v>690.33528621040045</v>
      </c>
      <c r="P24" s="16">
        <f>N24-'"0" цикл 24.06'!N23</f>
        <v>-674.14067200613215</v>
      </c>
      <c r="Q24" s="16">
        <f t="shared" si="8"/>
        <v>964.89815682281983</v>
      </c>
      <c r="R24" s="16">
        <f t="shared" si="9"/>
        <v>-44.320003057981403</v>
      </c>
      <c r="S24" s="16">
        <f t="shared" si="10"/>
        <v>315.67999694201859</v>
      </c>
    </row>
    <row r="25" spans="1:19" x14ac:dyDescent="0.45">
      <c r="A25" s="7">
        <v>10.5</v>
      </c>
      <c r="B25" s="11" t="s">
        <v>147</v>
      </c>
      <c r="C25" s="11" t="s">
        <v>148</v>
      </c>
      <c r="D25" s="8">
        <f t="shared" si="3"/>
        <v>-2736.5</v>
      </c>
      <c r="E25" s="8">
        <f t="shared" si="0"/>
        <v>-35.959987580390411</v>
      </c>
      <c r="F25" s="11">
        <v>-4436</v>
      </c>
      <c r="G25" s="11">
        <v>1003</v>
      </c>
      <c r="H25" s="8">
        <f t="shared" si="11"/>
        <v>-2719.5</v>
      </c>
      <c r="I25" s="8">
        <f t="shared" si="1"/>
        <v>-37.196240021868263</v>
      </c>
      <c r="J25" s="16">
        <f t="shared" si="4"/>
        <v>51.736650244737213</v>
      </c>
      <c r="K25" s="16">
        <f t="shared" si="2"/>
        <v>45.968137755275222</v>
      </c>
      <c r="L25" s="16">
        <f t="shared" si="5"/>
        <v>225.96813775527522</v>
      </c>
      <c r="M25" s="16">
        <f t="shared" si="6"/>
        <v>-35.959987580390418</v>
      </c>
      <c r="N25" s="16">
        <f t="shared" si="7"/>
        <v>-37.196240021868263</v>
      </c>
      <c r="O25" s="16">
        <f>M25-'"0" цикл 24.06'!M24</f>
        <v>697.81902651109135</v>
      </c>
      <c r="P25" s="16">
        <f>N25-'"0" цикл 24.06'!N24</f>
        <v>-667.04078174806762</v>
      </c>
      <c r="Q25" s="16">
        <f t="shared" si="8"/>
        <v>965.34698335674125</v>
      </c>
      <c r="R25" s="16">
        <f t="shared" si="9"/>
        <v>-43.70817157559803</v>
      </c>
      <c r="S25" s="16">
        <f t="shared" si="10"/>
        <v>316.29182842440196</v>
      </c>
    </row>
    <row r="26" spans="1:19" x14ac:dyDescent="0.45">
      <c r="A26" s="7">
        <v>11</v>
      </c>
      <c r="B26" s="11" t="s">
        <v>149</v>
      </c>
      <c r="C26" s="11" t="s">
        <v>150</v>
      </c>
      <c r="D26" s="8">
        <f t="shared" si="3"/>
        <v>-2344.5</v>
      </c>
      <c r="E26" s="8">
        <f t="shared" si="0"/>
        <v>-29.326718981016064</v>
      </c>
      <c r="F26" s="11">
        <v>-4117</v>
      </c>
      <c r="G26" s="11">
        <v>601</v>
      </c>
      <c r="H26" s="8">
        <f t="shared" si="11"/>
        <v>-2359</v>
      </c>
      <c r="I26" s="8">
        <f t="shared" si="1"/>
        <v>-30.604176981284045</v>
      </c>
      <c r="J26" s="16">
        <f t="shared" si="4"/>
        <v>42.387168988896207</v>
      </c>
      <c r="K26" s="16">
        <f t="shared" si="2"/>
        <v>46.221104217842246</v>
      </c>
      <c r="L26" s="16">
        <f t="shared" si="5"/>
        <v>226.22110421784225</v>
      </c>
      <c r="M26" s="16">
        <f t="shared" si="6"/>
        <v>-29.326718981016064</v>
      </c>
      <c r="N26" s="16">
        <f t="shared" si="7"/>
        <v>-30.604176981284049</v>
      </c>
      <c r="O26" s="16">
        <f>M26-'"0" цикл 24.06'!M25</f>
        <v>704.79214947475486</v>
      </c>
      <c r="P26" s="16">
        <f>N26-'"0" цикл 24.06'!N25</f>
        <v>-661.94739675514745</v>
      </c>
      <c r="Q26" s="16">
        <f t="shared" si="8"/>
        <v>966.90554349024274</v>
      </c>
      <c r="R26" s="16">
        <f t="shared" si="9"/>
        <v>-43.204471464853398</v>
      </c>
      <c r="S26" s="16">
        <f t="shared" si="10"/>
        <v>316.79552853514662</v>
      </c>
    </row>
    <row r="27" spans="1:19" x14ac:dyDescent="0.45">
      <c r="A27" s="7">
        <v>11.5</v>
      </c>
      <c r="B27" s="11" t="s">
        <v>151</v>
      </c>
      <c r="C27" s="11" t="s">
        <v>152</v>
      </c>
      <c r="D27" s="8">
        <f t="shared" si="3"/>
        <v>-2394.5</v>
      </c>
      <c r="E27" s="8">
        <f t="shared" si="0"/>
        <v>-23.643612978802462</v>
      </c>
      <c r="F27" s="11">
        <v>-4106</v>
      </c>
      <c r="G27" s="11">
        <v>670</v>
      </c>
      <c r="H27" s="8">
        <f t="shared" si="11"/>
        <v>-2388</v>
      </c>
      <c r="I27" s="8">
        <f t="shared" si="1"/>
        <v>-24.88592427179745</v>
      </c>
      <c r="J27" s="16">
        <f t="shared" si="4"/>
        <v>34.326806748560713</v>
      </c>
      <c r="K27" s="16">
        <f t="shared" si="2"/>
        <v>46.466398730814802</v>
      </c>
      <c r="L27" s="16">
        <f t="shared" si="5"/>
        <v>226.4663987308148</v>
      </c>
      <c r="M27" s="16">
        <f t="shared" si="6"/>
        <v>-23.643612978802452</v>
      </c>
      <c r="N27" s="16">
        <f t="shared" si="7"/>
        <v>-24.885924271797453</v>
      </c>
      <c r="O27" s="16">
        <f>M27-'"0" цикл 24.06'!M26</f>
        <v>711.88036487880231</v>
      </c>
      <c r="P27" s="16">
        <f>N27-'"0" цикл 24.06'!N26</f>
        <v>-658.63162899764666</v>
      </c>
      <c r="Q27" s="16">
        <f t="shared" si="8"/>
        <v>969.82950904582731</v>
      </c>
      <c r="R27" s="16">
        <f t="shared" si="9"/>
        <v>-42.774996470065702</v>
      </c>
      <c r="S27" s="16">
        <f t="shared" si="10"/>
        <v>317.22500352993427</v>
      </c>
    </row>
    <row r="28" spans="1:19" x14ac:dyDescent="0.45">
      <c r="A28" s="7">
        <v>12</v>
      </c>
      <c r="B28" s="11" t="s">
        <v>153</v>
      </c>
      <c r="C28" s="11" t="s">
        <v>154</v>
      </c>
      <c r="D28" s="8">
        <f t="shared" si="3"/>
        <v>-2150</v>
      </c>
      <c r="E28" s="8">
        <f t="shared" si="0"/>
        <v>-17.839311553905922</v>
      </c>
      <c r="F28" s="11">
        <v>-3862</v>
      </c>
      <c r="G28" s="11">
        <v>414</v>
      </c>
      <c r="H28" s="8">
        <f t="shared" si="11"/>
        <v>-2138</v>
      </c>
      <c r="I28" s="8">
        <f t="shared" si="1"/>
        <v>-19.097378232714043</v>
      </c>
      <c r="J28" s="16">
        <f t="shared" si="4"/>
        <v>26.133329142699395</v>
      </c>
      <c r="K28" s="16">
        <f t="shared" si="2"/>
        <v>46.950744829290834</v>
      </c>
      <c r="L28" s="16">
        <f t="shared" si="5"/>
        <v>226.95074482929084</v>
      </c>
      <c r="M28" s="16">
        <f t="shared" si="6"/>
        <v>-17.839311553905919</v>
      </c>
      <c r="N28" s="16">
        <f t="shared" si="7"/>
        <v>-19.097378232714046</v>
      </c>
      <c r="O28" s="16">
        <f>M28-'"0" цикл 24.06'!M27</f>
        <v>720.05115424921905</v>
      </c>
      <c r="P28" s="16">
        <f>N28-'"0" цикл 24.06'!N27</f>
        <v>-656.22220859235961</v>
      </c>
      <c r="Q28" s="16">
        <f t="shared" si="8"/>
        <v>974.21827727951552</v>
      </c>
      <c r="R28" s="16">
        <f t="shared" si="9"/>
        <v>-42.344633268287815</v>
      </c>
      <c r="S28" s="16">
        <f t="shared" si="10"/>
        <v>317.65536673171221</v>
      </c>
    </row>
    <row r="29" spans="1:19" x14ac:dyDescent="0.45">
      <c r="A29" s="7">
        <v>12.5</v>
      </c>
      <c r="B29" s="11" t="s">
        <v>155</v>
      </c>
      <c r="C29" s="11" t="s">
        <v>156</v>
      </c>
      <c r="D29" s="8">
        <f t="shared" si="3"/>
        <v>-2247</v>
      </c>
      <c r="E29" s="8">
        <f t="shared" si="0"/>
        <v>-12.627658856850251</v>
      </c>
      <c r="F29" s="11">
        <v>-3978</v>
      </c>
      <c r="G29" s="11">
        <v>515</v>
      </c>
      <c r="H29" s="8">
        <f t="shared" si="11"/>
        <v>-2246.5</v>
      </c>
      <c r="I29" s="8">
        <f t="shared" si="1"/>
        <v>-13.914812785103628</v>
      </c>
      <c r="J29" s="16">
        <f t="shared" si="4"/>
        <v>18.790417319726348</v>
      </c>
      <c r="K29" s="16">
        <f t="shared" si="2"/>
        <v>47.776333687031688</v>
      </c>
      <c r="L29" s="16">
        <f t="shared" si="5"/>
        <v>227.77633368703169</v>
      </c>
      <c r="M29" s="16">
        <f t="shared" si="6"/>
        <v>-12.627658856850246</v>
      </c>
      <c r="N29" s="16">
        <f t="shared" si="7"/>
        <v>-13.914812785103631</v>
      </c>
      <c r="O29" s="16">
        <f>M29-'"0" цикл 24.06'!M28</f>
        <v>728.74349865630256</v>
      </c>
      <c r="P29" s="16">
        <f>N29-'"0" цикл 24.06'!N28</f>
        <v>-655.5311390849588</v>
      </c>
      <c r="Q29" s="16">
        <f t="shared" si="8"/>
        <v>980.19802139356113</v>
      </c>
      <c r="R29" s="16">
        <f t="shared" si="9"/>
        <v>-41.972526658968064</v>
      </c>
      <c r="S29" s="16">
        <f t="shared" si="10"/>
        <v>318.02747334103196</v>
      </c>
    </row>
    <row r="30" spans="1:19" x14ac:dyDescent="0.45">
      <c r="A30" s="7">
        <v>13</v>
      </c>
      <c r="B30" s="11" t="s">
        <v>157</v>
      </c>
      <c r="C30" s="11" t="s">
        <v>158</v>
      </c>
      <c r="D30" s="8">
        <f t="shared" si="3"/>
        <v>-1825.5</v>
      </c>
      <c r="E30" s="8">
        <f t="shared" si="0"/>
        <v>-7.1808848828924772</v>
      </c>
      <c r="F30" s="11">
        <v>-3529</v>
      </c>
      <c r="G30" s="11">
        <v>85</v>
      </c>
      <c r="H30" s="8">
        <f t="shared" si="11"/>
        <v>-1807</v>
      </c>
      <c r="I30" s="8">
        <f t="shared" si="1"/>
        <v>-8.4692507734468183</v>
      </c>
      <c r="J30" s="16">
        <f t="shared" si="4"/>
        <v>11.103752355167293</v>
      </c>
      <c r="K30" s="16">
        <f t="shared" si="2"/>
        <v>49.706147467571661</v>
      </c>
      <c r="L30" s="16">
        <f t="shared" si="5"/>
        <v>229.70614746757167</v>
      </c>
      <c r="M30" s="16">
        <f t="shared" si="6"/>
        <v>-7.1808848828924727</v>
      </c>
      <c r="N30" s="16">
        <f t="shared" si="7"/>
        <v>-8.4692507734468201</v>
      </c>
      <c r="O30" s="16">
        <f>M30-'"0" цикл 24.06'!M29</f>
        <v>738.53148219265722</v>
      </c>
      <c r="P30" s="16">
        <f>N30-'"0" цикл 24.06'!N29</f>
        <v>-655.6543954858663</v>
      </c>
      <c r="Q30" s="16">
        <f t="shared" si="8"/>
        <v>987.57857232203048</v>
      </c>
      <c r="R30" s="16">
        <f t="shared" si="9"/>
        <v>-41.598067767252637</v>
      </c>
      <c r="S30" s="16">
        <f t="shared" si="10"/>
        <v>318.40193223274736</v>
      </c>
    </row>
    <row r="31" spans="1:19" x14ac:dyDescent="0.45">
      <c r="A31" s="7">
        <v>13.5</v>
      </c>
      <c r="B31" s="11" t="s">
        <v>159</v>
      </c>
      <c r="C31" s="11" t="s">
        <v>160</v>
      </c>
      <c r="D31" s="8">
        <f t="shared" si="3"/>
        <v>-1092</v>
      </c>
      <c r="E31" s="8">
        <f t="shared" si="0"/>
        <v>-2.755805776543033</v>
      </c>
      <c r="F31" s="11">
        <v>-2796</v>
      </c>
      <c r="G31" s="11">
        <v>-647</v>
      </c>
      <c r="H31" s="8">
        <f t="shared" si="11"/>
        <v>-1074.5</v>
      </c>
      <c r="I31" s="8">
        <f t="shared" si="1"/>
        <v>-4.0890151940445794</v>
      </c>
      <c r="J31" s="16">
        <f t="shared" si="4"/>
        <v>4.930974623252018</v>
      </c>
      <c r="K31" s="16">
        <f t="shared" si="2"/>
        <v>56.021865085068292</v>
      </c>
      <c r="L31" s="16">
        <f t="shared" si="5"/>
        <v>236.0218650850683</v>
      </c>
      <c r="M31" s="16">
        <f t="shared" si="6"/>
        <v>-2.7558057765430344</v>
      </c>
      <c r="N31" s="16">
        <f t="shared" si="7"/>
        <v>-4.0890151940445785</v>
      </c>
      <c r="O31" s="16">
        <f>M31-'"0" цикл 24.06'!M30</f>
        <v>745.6339320579458</v>
      </c>
      <c r="P31" s="16">
        <f>N31-'"0" цикл 24.06'!N30</f>
        <v>-655.00525136829094</v>
      </c>
      <c r="Q31" s="16">
        <f t="shared" si="8"/>
        <v>992.47258902008537</v>
      </c>
      <c r="R31" s="16">
        <f t="shared" si="9"/>
        <v>-41.297824360738929</v>
      </c>
      <c r="S31" s="16">
        <f t="shared" si="10"/>
        <v>318.7021756392611</v>
      </c>
    </row>
    <row r="32" spans="1:19" x14ac:dyDescent="0.45">
      <c r="A32" s="7">
        <v>14</v>
      </c>
      <c r="B32" s="11" t="s">
        <v>161</v>
      </c>
      <c r="C32" s="11" t="s">
        <v>162</v>
      </c>
      <c r="D32" s="8">
        <f t="shared" si="3"/>
        <v>-441.5</v>
      </c>
      <c r="E32" s="8">
        <f t="shared" si="0"/>
        <v>-0.10873544315589911</v>
      </c>
      <c r="F32" s="11">
        <v>-2167</v>
      </c>
      <c r="G32" s="11">
        <v>-1278</v>
      </c>
      <c r="H32" s="8">
        <f t="shared" si="11"/>
        <v>-444.5</v>
      </c>
      <c r="I32" s="8">
        <f t="shared" si="1"/>
        <v>-1.4843654727375122</v>
      </c>
      <c r="J32" s="16">
        <f t="shared" si="4"/>
        <v>1.4883427875504918</v>
      </c>
      <c r="K32" s="16">
        <f t="shared" si="2"/>
        <v>85.810348570527722</v>
      </c>
      <c r="L32" s="16">
        <f t="shared" si="5"/>
        <v>265.81034857052771</v>
      </c>
      <c r="M32" s="16">
        <f t="shared" si="6"/>
        <v>-0.1087354431559022</v>
      </c>
      <c r="N32" s="16">
        <f t="shared" si="7"/>
        <v>-1.4843654727375122</v>
      </c>
      <c r="O32" s="16">
        <f>M32-'"0" цикл 24.06'!M31</f>
        <v>750.26327913713294</v>
      </c>
      <c r="P32" s="16">
        <f>N32-'"0" цикл 24.06'!N31</f>
        <v>-655.31637580224344</v>
      </c>
      <c r="Q32" s="16">
        <f t="shared" si="8"/>
        <v>996.15989701261844</v>
      </c>
      <c r="R32" s="16">
        <f t="shared" si="9"/>
        <v>-41.135540900038315</v>
      </c>
      <c r="S32" s="16">
        <f t="shared" si="10"/>
        <v>318.86445909996166</v>
      </c>
    </row>
    <row r="33" spans="1:19" x14ac:dyDescent="0.45">
      <c r="A33" s="7">
        <v>14.5</v>
      </c>
      <c r="B33" s="11" t="s">
        <v>163</v>
      </c>
      <c r="C33" s="11" t="s">
        <v>164</v>
      </c>
      <c r="D33" s="8">
        <f t="shared" si="3"/>
        <v>-644.5</v>
      </c>
      <c r="E33" s="8">
        <f t="shared" si="0"/>
        <v>0.96148994068019089</v>
      </c>
      <c r="F33" s="11">
        <v>-2401</v>
      </c>
      <c r="G33" s="11">
        <v>-1116</v>
      </c>
      <c r="H33" s="8">
        <f t="shared" si="11"/>
        <v>-642.5</v>
      </c>
      <c r="I33" s="8">
        <f t="shared" si="1"/>
        <v>-0.40686790045716359</v>
      </c>
      <c r="J33" s="16">
        <f t="shared" si="4"/>
        <v>1.0440327554495679</v>
      </c>
      <c r="K33" s="16">
        <f t="shared" si="2"/>
        <v>157.06366945794642</v>
      </c>
      <c r="L33" s="16">
        <f t="shared" si="5"/>
        <v>337.06366945794639</v>
      </c>
      <c r="M33" s="16">
        <f t="shared" si="6"/>
        <v>0.96148994068019078</v>
      </c>
      <c r="N33" s="16">
        <f t="shared" si="7"/>
        <v>-0.4068679004571637</v>
      </c>
      <c r="O33" s="16">
        <f>M33-'"0" цикл 24.06'!M32</f>
        <v>752.22277354672099</v>
      </c>
      <c r="P33" s="16">
        <f>N33-'"0" цикл 24.06'!N32</f>
        <v>-656.22515465713548</v>
      </c>
      <c r="Q33" s="16">
        <f t="shared" si="8"/>
        <v>998.23371744652206</v>
      </c>
      <c r="R33" s="16">
        <f t="shared" si="9"/>
        <v>-41.100839318939336</v>
      </c>
      <c r="S33" s="16">
        <f t="shared" si="10"/>
        <v>318.89916068106066</v>
      </c>
    </row>
    <row r="34" spans="1:19" x14ac:dyDescent="0.45">
      <c r="A34" s="7">
        <v>15</v>
      </c>
      <c r="B34" s="11" t="s">
        <v>165</v>
      </c>
      <c r="C34" s="11" t="s">
        <v>166</v>
      </c>
      <c r="D34" s="8">
        <f t="shared" si="3"/>
        <v>-879</v>
      </c>
      <c r="E34" s="8">
        <f t="shared" si="0"/>
        <v>2.523799485842833</v>
      </c>
      <c r="F34" s="11">
        <v>-2618</v>
      </c>
      <c r="G34" s="11">
        <v>-851</v>
      </c>
      <c r="H34" s="8">
        <f t="shared" si="11"/>
        <v>-883.5</v>
      </c>
      <c r="I34" s="8">
        <f t="shared" si="1"/>
        <v>1.1505935314878468</v>
      </c>
      <c r="J34" s="16">
        <f t="shared" si="4"/>
        <v>2.7737031779630321</v>
      </c>
      <c r="K34" s="16">
        <f t="shared" si="2"/>
        <v>204.50811728000249</v>
      </c>
      <c r="L34" s="16">
        <f t="shared" si="5"/>
        <v>24.508117280002466</v>
      </c>
      <c r="M34" s="16">
        <f t="shared" si="6"/>
        <v>2.5237994858428339</v>
      </c>
      <c r="N34" s="16">
        <f t="shared" si="7"/>
        <v>1.1505935314878453</v>
      </c>
      <c r="O34" s="16">
        <f>M34-'"0" цикл 24.06'!M33</f>
        <v>753.96058564084126</v>
      </c>
      <c r="P34" s="16">
        <f>N34-'"0" цикл 24.06'!N33</f>
        <v>-655.78264256431567</v>
      </c>
      <c r="Q34" s="16">
        <f t="shared" si="8"/>
        <v>999.25344081895321</v>
      </c>
      <c r="R34" s="16">
        <f t="shared" si="9"/>
        <v>-41.016214961015407</v>
      </c>
      <c r="S34" s="16">
        <f t="shared" si="10"/>
        <v>318.98378503898459</v>
      </c>
    </row>
    <row r="35" spans="1:19" x14ac:dyDescent="0.45">
      <c r="A35" s="7">
        <v>15.5</v>
      </c>
      <c r="B35" s="11" t="s">
        <v>167</v>
      </c>
      <c r="C35" s="11" t="s">
        <v>168</v>
      </c>
      <c r="D35" s="8">
        <f t="shared" si="3"/>
        <v>-1253.5</v>
      </c>
      <c r="E35" s="8">
        <f t="shared" si="0"/>
        <v>4.6545491650637052</v>
      </c>
      <c r="F35" s="11">
        <v>-2997</v>
      </c>
      <c r="G35" s="11">
        <v>-480</v>
      </c>
      <c r="H35" s="8">
        <f t="shared" si="11"/>
        <v>-1258.5</v>
      </c>
      <c r="I35" s="8">
        <f t="shared" si="1"/>
        <v>3.2922514189757979</v>
      </c>
      <c r="J35" s="16">
        <f t="shared" si="4"/>
        <v>5.7012057791087827</v>
      </c>
      <c r="K35" s="16">
        <f t="shared" si="2"/>
        <v>215.27249797146291</v>
      </c>
      <c r="L35" s="16">
        <f t="shared" si="5"/>
        <v>35.27249797146294</v>
      </c>
      <c r="M35" s="16">
        <f t="shared" si="6"/>
        <v>4.6545491650637025</v>
      </c>
      <c r="N35" s="16">
        <f t="shared" si="7"/>
        <v>3.292251418975801</v>
      </c>
      <c r="O35" s="16">
        <f>M35-'"0" цикл 24.06'!M34</f>
        <v>755.38156832929087</v>
      </c>
      <c r="P35" s="16">
        <f>N35-'"0" цикл 24.06'!N34</f>
        <v>-653.90157201862701</v>
      </c>
      <c r="Q35" s="16">
        <f t="shared" si="8"/>
        <v>999.09387930266632</v>
      </c>
      <c r="R35" s="16">
        <f t="shared" si="9"/>
        <v>-40.881340706418065</v>
      </c>
      <c r="S35" s="16">
        <f t="shared" si="10"/>
        <v>319.11865929358191</v>
      </c>
    </row>
    <row r="36" spans="1:19" x14ac:dyDescent="0.45">
      <c r="A36" s="7">
        <v>16</v>
      </c>
      <c r="B36" s="11" t="s">
        <v>169</v>
      </c>
      <c r="C36" s="11" t="s">
        <v>170</v>
      </c>
      <c r="D36" s="8">
        <f t="shared" si="3"/>
        <v>-1546.5</v>
      </c>
      <c r="E36" s="8">
        <f t="shared" si="0"/>
        <v>7.6931002082328206</v>
      </c>
      <c r="F36" s="11">
        <v>-3257</v>
      </c>
      <c r="G36" s="11">
        <v>-195</v>
      </c>
      <c r="H36" s="8">
        <f t="shared" si="11"/>
        <v>-1531</v>
      </c>
      <c r="I36" s="8">
        <f t="shared" si="1"/>
        <v>6.3429225794674515</v>
      </c>
      <c r="J36" s="16">
        <f t="shared" si="4"/>
        <v>9.9707801932963047</v>
      </c>
      <c r="K36" s="16">
        <f t="shared" si="2"/>
        <v>219.50541022898531</v>
      </c>
      <c r="L36" s="16">
        <f t="shared" si="5"/>
        <v>39.505410228985284</v>
      </c>
      <c r="M36" s="16">
        <f t="shared" si="6"/>
        <v>7.6931002082328233</v>
      </c>
      <c r="N36" s="16">
        <f t="shared" si="7"/>
        <v>6.3429225794674471</v>
      </c>
      <c r="O36" s="16">
        <f>M36-'"0" цикл 24.06'!M35</f>
        <v>757.95966764390812</v>
      </c>
      <c r="P36" s="16">
        <f>N36-'"0" цикл 24.06'!N35</f>
        <v>-651.25559903425392</v>
      </c>
      <c r="Q36" s="16">
        <f t="shared" si="8"/>
        <v>999.31812404675645</v>
      </c>
      <c r="R36" s="16">
        <f t="shared" si="9"/>
        <v>-40.669895854207589</v>
      </c>
      <c r="S36" s="16">
        <f t="shared" si="10"/>
        <v>319.3301041457924</v>
      </c>
    </row>
    <row r="37" spans="1:19" x14ac:dyDescent="0.45">
      <c r="A37" s="7">
        <v>16.5</v>
      </c>
      <c r="B37" s="11" t="s">
        <v>171</v>
      </c>
      <c r="C37" s="11" t="s">
        <v>172</v>
      </c>
      <c r="D37" s="8">
        <f t="shared" si="3"/>
        <v>-2229</v>
      </c>
      <c r="E37" s="8">
        <f t="shared" si="0"/>
        <v>11.441886874387798</v>
      </c>
      <c r="F37" s="11">
        <v>-3964</v>
      </c>
      <c r="G37" s="11">
        <v>513</v>
      </c>
      <c r="H37" s="8">
        <f t="shared" si="11"/>
        <v>-2238.5</v>
      </c>
      <c r="I37" s="8">
        <f t="shared" si="1"/>
        <v>10.054137230860658</v>
      </c>
      <c r="J37" s="16">
        <f t="shared" si="4"/>
        <v>15.231626659791337</v>
      </c>
      <c r="K37" s="16">
        <f t="shared" si="2"/>
        <v>221.30620019761295</v>
      </c>
      <c r="L37" s="16">
        <f t="shared" si="5"/>
        <v>41.306200197612952</v>
      </c>
      <c r="M37" s="16">
        <f t="shared" si="6"/>
        <v>11.441886874387796</v>
      </c>
      <c r="N37" s="16">
        <f t="shared" si="7"/>
        <v>10.054137230860659</v>
      </c>
      <c r="O37" s="16">
        <f>M37-'"0" цикл 24.06'!M36</f>
        <v>761.95001271727949</v>
      </c>
      <c r="P37" s="16">
        <f>N37-'"0" цикл 24.06'!N36</f>
        <v>-649.11942022451933</v>
      </c>
      <c r="Q37" s="16">
        <f t="shared" si="8"/>
        <v>1000.9614595939638</v>
      </c>
      <c r="R37" s="16">
        <f t="shared" si="9"/>
        <v>-40.428296265581096</v>
      </c>
      <c r="S37" s="16">
        <f t="shared" si="10"/>
        <v>319.57170373441892</v>
      </c>
    </row>
    <row r="38" spans="1:19" x14ac:dyDescent="0.45">
      <c r="A38" s="7">
        <v>17</v>
      </c>
      <c r="B38" s="11" t="s">
        <v>173</v>
      </c>
      <c r="C38" s="11" t="s">
        <v>174</v>
      </c>
      <c r="D38" s="8">
        <f t="shared" si="3"/>
        <v>-2590.5</v>
      </c>
      <c r="E38" s="8">
        <f t="shared" si="0"/>
        <v>16.845030185402528</v>
      </c>
      <c r="F38" s="11">
        <v>-3977</v>
      </c>
      <c r="G38" s="11">
        <v>1114</v>
      </c>
      <c r="H38" s="8">
        <f t="shared" si="11"/>
        <v>-2545.5</v>
      </c>
      <c r="I38" s="8">
        <f t="shared" si="1"/>
        <v>15.480307841355062</v>
      </c>
      <c r="J38" s="16">
        <f t="shared" si="4"/>
        <v>22.877827099841483</v>
      </c>
      <c r="K38" s="16">
        <f t="shared" si="2"/>
        <v>222.58250251244323</v>
      </c>
      <c r="L38" s="16">
        <f t="shared" si="5"/>
        <v>42.582502512443227</v>
      </c>
      <c r="M38" s="16">
        <f t="shared" si="6"/>
        <v>16.845030185402525</v>
      </c>
      <c r="N38" s="16">
        <f t="shared" si="7"/>
        <v>15.480307841355064</v>
      </c>
      <c r="O38" s="16">
        <f>M38-'"0" цикл 24.06'!M37</f>
        <v>768.08558803508492</v>
      </c>
      <c r="P38" s="16">
        <f>N38-'"0" цикл 24.06'!N37</f>
        <v>-645.46027060004053</v>
      </c>
      <c r="Q38" s="16">
        <f t="shared" si="8"/>
        <v>1003.2818305293282</v>
      </c>
      <c r="R38" s="16">
        <f t="shared" si="9"/>
        <v>-40.041994886063925</v>
      </c>
      <c r="S38" s="16">
        <f t="shared" si="10"/>
        <v>319.95800511393605</v>
      </c>
    </row>
    <row r="39" spans="1:19" x14ac:dyDescent="0.45">
      <c r="A39" s="7">
        <v>17.5</v>
      </c>
      <c r="B39" s="11" t="s">
        <v>175</v>
      </c>
      <c r="C39" s="11" t="s">
        <v>176</v>
      </c>
      <c r="D39" s="8">
        <f t="shared" si="3"/>
        <v>-2458</v>
      </c>
      <c r="E39" s="8">
        <f t="shared" si="0"/>
        <v>23.124414311395782</v>
      </c>
      <c r="F39" s="11">
        <v>-4542</v>
      </c>
      <c r="G39" s="11">
        <v>532</v>
      </c>
      <c r="H39" s="8">
        <f t="shared" si="11"/>
        <v>-2537</v>
      </c>
      <c r="I39" s="8">
        <f t="shared" si="1"/>
        <v>21.650617343301523</v>
      </c>
      <c r="J39" s="16">
        <f t="shared" si="4"/>
        <v>31.677875064327701</v>
      </c>
      <c r="K39" s="16">
        <f t="shared" si="2"/>
        <v>223.11475577250411</v>
      </c>
      <c r="L39" s="16">
        <f t="shared" si="5"/>
        <v>43.114755772504111</v>
      </c>
      <c r="M39" s="16">
        <f t="shared" si="6"/>
        <v>23.124414311395775</v>
      </c>
      <c r="N39" s="16">
        <f t="shared" si="7"/>
        <v>21.65061734330153</v>
      </c>
      <c r="O39" s="16">
        <f>M39-'"0" цикл 24.06'!M38</f>
        <v>774.30764294341225</v>
      </c>
      <c r="P39" s="16">
        <f>N39-'"0" цикл 24.06'!N38</f>
        <v>-640.19813782686515</v>
      </c>
      <c r="Q39" s="16">
        <f t="shared" si="8"/>
        <v>1004.6919834444627</v>
      </c>
      <c r="R39" s="16">
        <f t="shared" si="9"/>
        <v>-39.583968010810729</v>
      </c>
      <c r="S39" s="16">
        <f t="shared" si="10"/>
        <v>320.41603198918926</v>
      </c>
    </row>
    <row r="40" spans="1:19" x14ac:dyDescent="0.45">
      <c r="A40" s="7">
        <v>18</v>
      </c>
      <c r="B40" s="11" t="s">
        <v>167</v>
      </c>
      <c r="C40" s="11" t="s">
        <v>177</v>
      </c>
      <c r="D40" s="8">
        <f t="shared" si="3"/>
        <v>-1256.5</v>
      </c>
      <c r="E40" s="8">
        <f t="shared" si="0"/>
        <v>29.082633430544753</v>
      </c>
      <c r="F40" s="11">
        <v>-3074</v>
      </c>
      <c r="G40" s="11">
        <v>-370</v>
      </c>
      <c r="H40" s="8">
        <f t="shared" si="11"/>
        <v>-1352</v>
      </c>
      <c r="I40" s="8">
        <f t="shared" si="1"/>
        <v>27.800323827572097</v>
      </c>
      <c r="J40" s="16">
        <f t="shared" si="4"/>
        <v>40.232543695040114</v>
      </c>
      <c r="K40" s="16">
        <f t="shared" si="2"/>
        <v>223.70860289237987</v>
      </c>
      <c r="L40" s="16">
        <f t="shared" si="5"/>
        <v>43.708602892379872</v>
      </c>
      <c r="M40" s="16">
        <f t="shared" si="6"/>
        <v>29.082633430544757</v>
      </c>
      <c r="N40" s="16">
        <f t="shared" si="7"/>
        <v>27.800323827572093</v>
      </c>
      <c r="O40" s="16">
        <f>M40-'"0" цикл 24.06'!M39</f>
        <v>778.96753248358243</v>
      </c>
      <c r="P40" s="16">
        <f>N40-'"0" цикл 24.06'!N39</f>
        <v>-633.74930131919359</v>
      </c>
      <c r="Q40" s="16">
        <f t="shared" si="8"/>
        <v>1004.2054538719291</v>
      </c>
      <c r="R40" s="16">
        <f t="shared" si="9"/>
        <v>-39.13097508637992</v>
      </c>
      <c r="S40" s="16">
        <f t="shared" si="10"/>
        <v>320.86902491362008</v>
      </c>
    </row>
    <row r="41" spans="1:19" x14ac:dyDescent="0.45">
      <c r="A41" s="7">
        <v>18.5</v>
      </c>
      <c r="B41" s="11" t="s">
        <v>178</v>
      </c>
      <c r="C41" s="11" t="s">
        <v>179</v>
      </c>
      <c r="D41" s="8">
        <f t="shared" si="3"/>
        <v>-46</v>
      </c>
      <c r="E41" s="8">
        <f t="shared" si="0"/>
        <v>32.128456544322106</v>
      </c>
      <c r="F41" s="11">
        <v>-1529</v>
      </c>
      <c r="G41" s="11">
        <v>-1464</v>
      </c>
      <c r="H41" s="8">
        <f t="shared" si="11"/>
        <v>-32.5</v>
      </c>
      <c r="I41" s="8">
        <f t="shared" si="1"/>
        <v>31.077640844066188</v>
      </c>
      <c r="J41" s="16">
        <f t="shared" si="4"/>
        <v>44.699636244081056</v>
      </c>
      <c r="K41" s="16">
        <f t="shared" si="2"/>
        <v>224.04753242147299</v>
      </c>
      <c r="L41" s="16">
        <f t="shared" si="5"/>
        <v>44.047532421472965</v>
      </c>
      <c r="M41" s="16">
        <f t="shared" si="6"/>
        <v>32.128456544322113</v>
      </c>
      <c r="N41" s="16">
        <f t="shared" si="7"/>
        <v>31.077640844066174</v>
      </c>
      <c r="O41" s="16">
        <f>M41-'"0" цикл 24.06'!M40</f>
        <v>778.78985176231606</v>
      </c>
      <c r="P41" s="16">
        <f>N41-'"0" цикл 24.06'!N40</f>
        <v>-628.13761490866273</v>
      </c>
      <c r="Q41" s="16">
        <f t="shared" si="8"/>
        <v>1000.5351050668405</v>
      </c>
      <c r="R41" s="16">
        <f t="shared" si="9"/>
        <v>-38.88811969192939</v>
      </c>
      <c r="S41" s="16">
        <f t="shared" si="10"/>
        <v>321.11188030807062</v>
      </c>
    </row>
    <row r="42" spans="1:19" x14ac:dyDescent="0.45">
      <c r="A42" s="7">
        <v>19</v>
      </c>
      <c r="B42" s="11" t="s">
        <v>180</v>
      </c>
      <c r="C42" s="11" t="s">
        <v>181</v>
      </c>
      <c r="D42" s="8">
        <f t="shared" si="3"/>
        <v>391</v>
      </c>
      <c r="E42" s="8">
        <f t="shared" si="0"/>
        <v>32.239963690052988</v>
      </c>
      <c r="F42" s="11">
        <v>-803</v>
      </c>
      <c r="G42" s="11">
        <v>-1810</v>
      </c>
      <c r="H42" s="8">
        <f t="shared" si="11"/>
        <v>503.5</v>
      </c>
      <c r="I42" s="8">
        <f t="shared" si="1"/>
        <v>31.156423066920507</v>
      </c>
      <c r="J42" s="16">
        <f t="shared" si="4"/>
        <v>44.834562081734127</v>
      </c>
      <c r="K42" s="16">
        <f t="shared" si="2"/>
        <v>224.02082336692882</v>
      </c>
      <c r="L42" s="16">
        <f t="shared" si="5"/>
        <v>44.020823366928823</v>
      </c>
      <c r="M42" s="16">
        <f t="shared" si="6"/>
        <v>32.239963690052996</v>
      </c>
      <c r="N42" s="16">
        <f t="shared" si="7"/>
        <v>31.156423066920503</v>
      </c>
      <c r="O42" s="16">
        <f>M42-'"0" цикл 24.06'!M41</f>
        <v>774.33544712045625</v>
      </c>
      <c r="P42" s="16">
        <f>N42-'"0" цикл 24.06'!N41</f>
        <v>-624.52408558061791</v>
      </c>
      <c r="Q42" s="16">
        <f t="shared" si="8"/>
        <v>994.79933561374264</v>
      </c>
      <c r="R42" s="16">
        <f t="shared" si="9"/>
        <v>-38.887187097232434</v>
      </c>
      <c r="S42" s="16">
        <f t="shared" si="10"/>
        <v>321.11281290276759</v>
      </c>
    </row>
    <row r="43" spans="1:19" x14ac:dyDescent="0.45">
      <c r="A43" s="7">
        <v>19.5</v>
      </c>
      <c r="B43" s="11" t="s">
        <v>182</v>
      </c>
      <c r="C43" s="11" t="s">
        <v>183</v>
      </c>
      <c r="D43" s="8">
        <f t="shared" si="3"/>
        <v>726.5</v>
      </c>
      <c r="E43" s="8">
        <f t="shared" si="0"/>
        <v>31.292153511124571</v>
      </c>
      <c r="F43" s="11">
        <v>-900</v>
      </c>
      <c r="G43" s="11">
        <v>-2345</v>
      </c>
      <c r="H43" s="8">
        <f t="shared" si="11"/>
        <v>722.5</v>
      </c>
      <c r="I43" s="8">
        <f t="shared" si="1"/>
        <v>29.935905836836177</v>
      </c>
      <c r="J43" s="16">
        <f t="shared" si="4"/>
        <v>43.305396079884872</v>
      </c>
      <c r="K43" s="16">
        <f t="shared" si="2"/>
        <v>223.73106279861994</v>
      </c>
      <c r="L43" s="16">
        <f t="shared" si="5"/>
        <v>43.731062798619973</v>
      </c>
      <c r="M43" s="16">
        <f t="shared" si="6"/>
        <v>31.292153511124553</v>
      </c>
      <c r="N43" s="16">
        <f t="shared" si="7"/>
        <v>29.935905836836195</v>
      </c>
      <c r="O43" s="16">
        <f>M43-'"0" цикл 24.06'!M42</f>
        <v>771.53565291439395</v>
      </c>
      <c r="P43" s="16">
        <f>N43-'"0" цикл 24.06'!N42</f>
        <v>-625.0754389271101</v>
      </c>
      <c r="Q43" s="16">
        <f t="shared" si="8"/>
        <v>992.96856348424217</v>
      </c>
      <c r="R43" s="16">
        <f t="shared" si="9"/>
        <v>-39.013371410089462</v>
      </c>
      <c r="S43" s="16">
        <f t="shared" si="10"/>
        <v>320.98662858991054</v>
      </c>
    </row>
    <row r="44" spans="1:19" x14ac:dyDescent="0.45">
      <c r="A44" s="7">
        <v>20</v>
      </c>
      <c r="B44" s="11" t="s">
        <v>184</v>
      </c>
      <c r="C44" s="11" t="s">
        <v>185</v>
      </c>
      <c r="D44" s="8">
        <f t="shared" si="3"/>
        <v>1107.5</v>
      </c>
      <c r="E44" s="8">
        <f t="shared" si="0"/>
        <v>29.531071455739514</v>
      </c>
      <c r="F44" s="11">
        <v>-548</v>
      </c>
      <c r="G44" s="11">
        <v>-2662</v>
      </c>
      <c r="H44" s="8">
        <f t="shared" si="11"/>
        <v>1057</v>
      </c>
      <c r="I44" s="8">
        <f t="shared" si="1"/>
        <v>28.184519995259421</v>
      </c>
      <c r="J44" s="16">
        <f t="shared" si="4"/>
        <v>40.822191865297619</v>
      </c>
      <c r="K44" s="16">
        <f t="shared" si="2"/>
        <v>223.66348555676493</v>
      </c>
      <c r="L44" s="16">
        <f t="shared" si="5"/>
        <v>43.663485556764954</v>
      </c>
      <c r="M44" s="16">
        <f t="shared" si="6"/>
        <v>29.531071455739504</v>
      </c>
      <c r="N44" s="16">
        <f t="shared" si="7"/>
        <v>28.184519995259432</v>
      </c>
      <c r="O44" s="16">
        <f>M44-'"0" цикл 24.06'!M43</f>
        <v>768.03009357017277</v>
      </c>
      <c r="P44" s="16">
        <f>N44-'"0" цикл 24.06'!N43</f>
        <v>-626.25171466628308</v>
      </c>
      <c r="Q44" s="16">
        <f t="shared" si="8"/>
        <v>990.99012848356267</v>
      </c>
      <c r="R44" s="16">
        <f t="shared" si="9"/>
        <v>-39.193801492185038</v>
      </c>
      <c r="S44" s="16">
        <f t="shared" si="10"/>
        <v>320.80619850781494</v>
      </c>
    </row>
    <row r="45" spans="1:19" x14ac:dyDescent="0.45">
      <c r="A45" s="7">
        <v>20.5</v>
      </c>
      <c r="B45" s="11" t="s">
        <v>184</v>
      </c>
      <c r="C45" s="11" t="s">
        <v>185</v>
      </c>
      <c r="D45" s="8">
        <f t="shared" si="3"/>
        <v>1107.5</v>
      </c>
      <c r="E45" s="8">
        <f t="shared" si="0"/>
        <v>26.846428596126831</v>
      </c>
      <c r="F45" s="11">
        <v>-548</v>
      </c>
      <c r="G45" s="11">
        <v>-2662</v>
      </c>
      <c r="H45" s="8">
        <f t="shared" si="11"/>
        <v>1057</v>
      </c>
      <c r="I45" s="8">
        <f t="shared" si="1"/>
        <v>25.622290904781291</v>
      </c>
      <c r="J45" s="16">
        <f t="shared" si="4"/>
        <v>37.111083513906927</v>
      </c>
      <c r="K45" s="16">
        <f t="shared" si="2"/>
        <v>223.66348555676493</v>
      </c>
      <c r="L45" s="16">
        <f t="shared" si="5"/>
        <v>43.663485556764954</v>
      </c>
      <c r="M45" s="16">
        <f t="shared" si="6"/>
        <v>26.846428596126824</v>
      </c>
      <c r="N45" s="16">
        <f t="shared" si="7"/>
        <v>25.622290904781302</v>
      </c>
      <c r="O45" s="16">
        <f>M45-'"0" цикл 24.06'!M44</f>
        <v>763.12719298958018</v>
      </c>
      <c r="P45" s="16">
        <f>N45-'"0" цикл 24.06'!N44</f>
        <v>-627.63621121098072</v>
      </c>
      <c r="Q45" s="16">
        <f t="shared" si="8"/>
        <v>988.07404899806511</v>
      </c>
      <c r="R45" s="16">
        <f t="shared" si="9"/>
        <v>-39.435688741714593</v>
      </c>
      <c r="S45" s="16">
        <f t="shared" si="10"/>
        <v>320.56431125828539</v>
      </c>
    </row>
    <row r="46" spans="1:19" x14ac:dyDescent="0.45">
      <c r="A46" s="7">
        <v>21</v>
      </c>
      <c r="B46" s="11" t="s">
        <v>184</v>
      </c>
      <c r="C46" s="11" t="s">
        <v>185</v>
      </c>
      <c r="D46" s="8">
        <f t="shared" si="3"/>
        <v>1107.5</v>
      </c>
      <c r="E46" s="8">
        <f t="shared" si="0"/>
        <v>24.161785736514148</v>
      </c>
      <c r="F46" s="11">
        <v>-548</v>
      </c>
      <c r="G46" s="11">
        <v>-2662</v>
      </c>
      <c r="H46" s="8">
        <f t="shared" si="11"/>
        <v>1057</v>
      </c>
      <c r="I46" s="8">
        <f t="shared" si="1"/>
        <v>23.060061814303161</v>
      </c>
      <c r="J46" s="16">
        <f t="shared" si="4"/>
        <v>33.399975162516235</v>
      </c>
      <c r="K46" s="16">
        <f t="shared" si="2"/>
        <v>223.66348555676493</v>
      </c>
      <c r="L46" s="16">
        <f t="shared" si="5"/>
        <v>43.663485556764954</v>
      </c>
      <c r="M46" s="16">
        <f t="shared" si="6"/>
        <v>24.16178573651414</v>
      </c>
      <c r="N46" s="16">
        <f t="shared" si="7"/>
        <v>23.060061814303172</v>
      </c>
      <c r="O46" s="16">
        <f>M46-'"0" цикл 24.06'!M45</f>
        <v>757.42775452192336</v>
      </c>
      <c r="P46" s="16">
        <f>N46-'"0" цикл 24.06'!N45</f>
        <v>-628.01836128856098</v>
      </c>
      <c r="Q46" s="16">
        <f t="shared" si="8"/>
        <v>983.92269281468066</v>
      </c>
      <c r="R46" s="16">
        <f t="shared" si="9"/>
        <v>-39.663696662208423</v>
      </c>
      <c r="S46" s="16">
        <f t="shared" si="10"/>
        <v>320.33630333779161</v>
      </c>
    </row>
    <row r="47" spans="1:19" x14ac:dyDescent="0.45">
      <c r="A47" s="7">
        <v>21.5</v>
      </c>
      <c r="B47" s="11" t="s">
        <v>184</v>
      </c>
      <c r="C47" s="11" t="s">
        <v>185</v>
      </c>
      <c r="D47" s="8">
        <f t="shared" si="3"/>
        <v>1107.5</v>
      </c>
      <c r="E47" s="8">
        <f t="shared" si="0"/>
        <v>21.477142876901464</v>
      </c>
      <c r="F47" s="11">
        <v>-548</v>
      </c>
      <c r="G47" s="11">
        <v>-2662</v>
      </c>
      <c r="H47" s="8">
        <f t="shared" si="11"/>
        <v>1057</v>
      </c>
      <c r="I47" s="8">
        <f t="shared" si="1"/>
        <v>20.497832723825031</v>
      </c>
      <c r="J47" s="16">
        <f t="shared" si="4"/>
        <v>29.688866811125539</v>
      </c>
      <c r="K47" s="16">
        <f t="shared" si="2"/>
        <v>223.66348555676493</v>
      </c>
      <c r="L47" s="16">
        <f t="shared" si="5"/>
        <v>43.663485556764954</v>
      </c>
      <c r="M47" s="16">
        <f t="shared" si="6"/>
        <v>21.477142876901457</v>
      </c>
      <c r="N47" s="16">
        <f t="shared" si="7"/>
        <v>20.497832723825038</v>
      </c>
      <c r="O47" s="16">
        <f>M47-'"0" цикл 24.06'!M46</f>
        <v>750.90294024903551</v>
      </c>
      <c r="P47" s="16">
        <f>N47-'"0" цикл 24.06'!N46</f>
        <v>-627.93485326460063</v>
      </c>
      <c r="Q47" s="16">
        <f t="shared" si="8"/>
        <v>978.85515047890613</v>
      </c>
      <c r="R47" s="16">
        <f t="shared" si="9"/>
        <v>-39.903706494898394</v>
      </c>
      <c r="S47" s="16">
        <f t="shared" si="10"/>
        <v>320.09629350510158</v>
      </c>
    </row>
    <row r="48" spans="1:19" x14ac:dyDescent="0.45">
      <c r="A48" s="7">
        <v>22</v>
      </c>
      <c r="B48" s="11" t="s">
        <v>184</v>
      </c>
      <c r="C48" s="11" t="s">
        <v>185</v>
      </c>
      <c r="D48" s="8">
        <f t="shared" si="3"/>
        <v>1107.5</v>
      </c>
      <c r="E48" s="8">
        <f t="shared" si="0"/>
        <v>18.792500017288781</v>
      </c>
      <c r="F48" s="11">
        <v>-548</v>
      </c>
      <c r="G48" s="11">
        <v>-2662</v>
      </c>
      <c r="H48" s="8">
        <f t="shared" si="11"/>
        <v>1057</v>
      </c>
      <c r="I48" s="8">
        <f t="shared" si="1"/>
        <v>17.935603633346901</v>
      </c>
      <c r="J48" s="16">
        <f t="shared" si="4"/>
        <v>25.977758459734847</v>
      </c>
      <c r="K48" s="16">
        <f t="shared" si="2"/>
        <v>223.66348555676493</v>
      </c>
      <c r="L48" s="16">
        <f t="shared" si="5"/>
        <v>43.663485556764954</v>
      </c>
      <c r="M48" s="16">
        <f t="shared" si="6"/>
        <v>18.792500017288774</v>
      </c>
      <c r="N48" s="16">
        <f t="shared" si="7"/>
        <v>17.935603633346911</v>
      </c>
      <c r="O48" s="16">
        <f>M48-'"0" цикл 24.06'!M47</f>
        <v>745.34894336730531</v>
      </c>
      <c r="P48" s="16">
        <f>N48-'"0" цикл 24.06'!N47</f>
        <v>-628.59988976993338</v>
      </c>
      <c r="Q48" s="16">
        <f t="shared" si="8"/>
        <v>975.02967585480746</v>
      </c>
      <c r="R48" s="16">
        <f t="shared" si="9"/>
        <v>-40.143052297290083</v>
      </c>
      <c r="S48" s="16">
        <f t="shared" si="10"/>
        <v>319.85694770270993</v>
      </c>
    </row>
    <row r="49" spans="1:19" x14ac:dyDescent="0.45">
      <c r="A49" s="7">
        <v>22.5</v>
      </c>
      <c r="B49" s="11" t="s">
        <v>184</v>
      </c>
      <c r="C49" s="11" t="s">
        <v>185</v>
      </c>
      <c r="D49" s="8">
        <f t="shared" si="3"/>
        <v>1107.5</v>
      </c>
      <c r="E49" s="8">
        <f t="shared" si="0"/>
        <v>16.107857157676097</v>
      </c>
      <c r="F49" s="11">
        <v>-548</v>
      </c>
      <c r="G49" s="11">
        <v>-2662</v>
      </c>
      <c r="H49" s="8">
        <f t="shared" si="11"/>
        <v>1057</v>
      </c>
      <c r="I49" s="8">
        <f t="shared" si="1"/>
        <v>15.373374542868772</v>
      </c>
      <c r="J49" s="16">
        <f t="shared" si="4"/>
        <v>22.266650108344155</v>
      </c>
      <c r="K49" s="16">
        <f t="shared" si="2"/>
        <v>223.66348555676493</v>
      </c>
      <c r="L49" s="16">
        <f t="shared" si="5"/>
        <v>43.663485556764954</v>
      </c>
      <c r="M49" s="16">
        <f t="shared" si="6"/>
        <v>16.107857157676094</v>
      </c>
      <c r="N49" s="16">
        <f t="shared" si="7"/>
        <v>15.373374542868779</v>
      </c>
      <c r="O49" s="16">
        <f>M49-'"0" цикл 24.06'!M48</f>
        <v>742.26857138180162</v>
      </c>
      <c r="P49" s="16">
        <f>N49-'"0" цикл 24.06'!N48</f>
        <v>-631.92012476047285</v>
      </c>
      <c r="Q49" s="16">
        <f t="shared" si="8"/>
        <v>974.82597223220944</v>
      </c>
      <c r="R49" s="16">
        <f t="shared" si="9"/>
        <v>-40.408954387780987</v>
      </c>
      <c r="S49" s="16">
        <f t="shared" si="10"/>
        <v>319.59104561221903</v>
      </c>
    </row>
    <row r="50" spans="1:19" x14ac:dyDescent="0.45">
      <c r="A50" s="7">
        <v>23</v>
      </c>
      <c r="B50" s="11" t="s">
        <v>184</v>
      </c>
      <c r="C50" s="11" t="s">
        <v>185</v>
      </c>
      <c r="D50" s="8">
        <f t="shared" si="3"/>
        <v>1107.5</v>
      </c>
      <c r="E50" s="8">
        <f t="shared" si="0"/>
        <v>13.423214298063415</v>
      </c>
      <c r="F50" s="11">
        <v>-548</v>
      </c>
      <c r="G50" s="11">
        <v>-2662</v>
      </c>
      <c r="H50" s="8">
        <f t="shared" si="11"/>
        <v>1057</v>
      </c>
      <c r="I50" s="8">
        <f t="shared" si="1"/>
        <v>12.811145452390644</v>
      </c>
      <c r="J50" s="16">
        <f t="shared" si="4"/>
        <v>18.555541756953463</v>
      </c>
      <c r="K50" s="16">
        <f t="shared" si="2"/>
        <v>223.66348555676493</v>
      </c>
      <c r="L50" s="16">
        <f t="shared" si="5"/>
        <v>43.663485556764954</v>
      </c>
      <c r="M50" s="16">
        <f t="shared" si="6"/>
        <v>13.423214298063412</v>
      </c>
      <c r="N50" s="16">
        <f t="shared" si="7"/>
        <v>12.811145452390651</v>
      </c>
      <c r="O50" s="16">
        <f>M50-'"0" цикл 24.06'!M49</f>
        <v>738.19009099428786</v>
      </c>
      <c r="P50" s="16">
        <f>N50-'"0" цикл 24.06'!N49</f>
        <v>-634.04650640683019</v>
      </c>
      <c r="Q50" s="16">
        <f t="shared" si="8"/>
        <v>973.10820710179075</v>
      </c>
      <c r="R50" s="16">
        <f t="shared" si="9"/>
        <v>-40.659953180758016</v>
      </c>
      <c r="S50" s="16">
        <f t="shared" si="10"/>
        <v>319.34004681924199</v>
      </c>
    </row>
    <row r="51" spans="1:19" x14ac:dyDescent="0.45">
      <c r="A51" s="7">
        <v>23.5</v>
      </c>
      <c r="B51" s="11" t="s">
        <v>184</v>
      </c>
      <c r="C51" s="11" t="s">
        <v>185</v>
      </c>
      <c r="D51" s="8">
        <f t="shared" si="3"/>
        <v>1107.5</v>
      </c>
      <c r="E51" s="8">
        <f t="shared" si="0"/>
        <v>10.738571438450732</v>
      </c>
      <c r="F51" s="11">
        <v>-548</v>
      </c>
      <c r="G51" s="11">
        <v>-2662</v>
      </c>
      <c r="H51" s="8">
        <f t="shared" si="11"/>
        <v>1057</v>
      </c>
      <c r="I51" s="8">
        <f t="shared" si="1"/>
        <v>10.248916361912515</v>
      </c>
      <c r="J51" s="16">
        <f t="shared" si="4"/>
        <v>14.84443340556277</v>
      </c>
      <c r="K51" s="16">
        <f t="shared" si="2"/>
        <v>223.66348555676493</v>
      </c>
      <c r="L51" s="16">
        <f t="shared" si="5"/>
        <v>43.663485556764954</v>
      </c>
      <c r="M51" s="16">
        <f t="shared" si="6"/>
        <v>10.738571438450728</v>
      </c>
      <c r="N51" s="16">
        <f t="shared" si="7"/>
        <v>10.248916361912519</v>
      </c>
      <c r="O51" s="16">
        <f>M51-'"0" цикл 24.06'!M50</f>
        <v>730.84972843158835</v>
      </c>
      <c r="P51" s="16">
        <f>N51-'"0" цикл 24.06'!N50</f>
        <v>-633.05399033035246</v>
      </c>
      <c r="Q51" s="16">
        <f t="shared" si="8"/>
        <v>966.90158766117895</v>
      </c>
      <c r="R51" s="16">
        <f t="shared" si="9"/>
        <v>-40.898750200497979</v>
      </c>
      <c r="S51" s="16">
        <f t="shared" si="10"/>
        <v>319.101249799502</v>
      </c>
    </row>
    <row r="52" spans="1:19" x14ac:dyDescent="0.45">
      <c r="A52" s="7">
        <v>24</v>
      </c>
      <c r="B52" s="11" t="s">
        <v>184</v>
      </c>
      <c r="C52" s="11" t="s">
        <v>185</v>
      </c>
      <c r="D52" s="8">
        <f t="shared" si="3"/>
        <v>1107.5</v>
      </c>
      <c r="E52" s="8">
        <f t="shared" si="0"/>
        <v>8.0539285788380486</v>
      </c>
      <c r="F52" s="11">
        <v>-548</v>
      </c>
      <c r="G52" s="11">
        <v>-2662</v>
      </c>
      <c r="H52" s="8">
        <f t="shared" si="11"/>
        <v>1057</v>
      </c>
      <c r="I52" s="8">
        <f t="shared" si="1"/>
        <v>7.686687271434387</v>
      </c>
      <c r="J52" s="16">
        <f t="shared" si="4"/>
        <v>11.133325054172078</v>
      </c>
      <c r="K52" s="16">
        <f t="shared" si="2"/>
        <v>223.66348555676493</v>
      </c>
      <c r="L52" s="16">
        <f t="shared" si="5"/>
        <v>43.663485556764954</v>
      </c>
      <c r="M52" s="16">
        <f t="shared" si="6"/>
        <v>8.0539285788380468</v>
      </c>
      <c r="N52" s="16">
        <f t="shared" si="7"/>
        <v>7.6866872714343897</v>
      </c>
      <c r="O52" s="16">
        <f>M52-'"0" цикл 24.06'!M51</f>
        <v>719.14803994150998</v>
      </c>
      <c r="P52" s="16">
        <f>N52-'"0" цикл 24.06'!N51</f>
        <v>-627.53581795735852</v>
      </c>
      <c r="Q52" s="16">
        <f t="shared" si="8"/>
        <v>954.4501590817232</v>
      </c>
      <c r="R52" s="16">
        <f t="shared" si="9"/>
        <v>-41.108278171863041</v>
      </c>
      <c r="S52" s="16">
        <f t="shared" si="10"/>
        <v>318.89172182813695</v>
      </c>
    </row>
    <row r="53" spans="1:19" x14ac:dyDescent="0.45">
      <c r="A53" s="7">
        <v>24.5</v>
      </c>
      <c r="B53" s="11" t="s">
        <v>184</v>
      </c>
      <c r="C53" s="11" t="s">
        <v>185</v>
      </c>
      <c r="D53" s="8">
        <f t="shared" si="3"/>
        <v>1107.5</v>
      </c>
      <c r="E53" s="8">
        <f t="shared" si="0"/>
        <v>5.369285719225366</v>
      </c>
      <c r="F53" s="11">
        <v>-548</v>
      </c>
      <c r="G53" s="11">
        <v>-2662</v>
      </c>
      <c r="H53" s="8">
        <f t="shared" si="11"/>
        <v>1057</v>
      </c>
      <c r="I53" s="8">
        <f t="shared" si="1"/>
        <v>5.1244581809562577</v>
      </c>
      <c r="J53" s="16">
        <f t="shared" si="4"/>
        <v>7.4222167027813848</v>
      </c>
      <c r="K53" s="16">
        <f t="shared" si="2"/>
        <v>223.66348555676493</v>
      </c>
      <c r="L53" s="16">
        <f t="shared" si="5"/>
        <v>43.663485556764954</v>
      </c>
      <c r="M53" s="16">
        <f t="shared" si="6"/>
        <v>5.3692857192253642</v>
      </c>
      <c r="N53" s="16">
        <f t="shared" si="7"/>
        <v>5.1244581809562595</v>
      </c>
      <c r="O53" s="16">
        <f>M53-'"0" цикл 24.06'!M52</f>
        <v>703.71030195204014</v>
      </c>
      <c r="P53" s="16">
        <f>N53-'"0" цикл 24.06'!N52</f>
        <v>-618.16730879633565</v>
      </c>
      <c r="Q53" s="16">
        <f t="shared" si="8"/>
        <v>936.66376610709983</v>
      </c>
      <c r="R53" s="16">
        <f t="shared" si="9"/>
        <v>-41.29736690741597</v>
      </c>
      <c r="S53" s="16">
        <f t="shared" si="10"/>
        <v>318.70263309258405</v>
      </c>
    </row>
    <row r="54" spans="1:19" x14ac:dyDescent="0.45">
      <c r="A54" s="7">
        <v>25</v>
      </c>
      <c r="B54" s="11" t="s">
        <v>184</v>
      </c>
      <c r="C54" s="11" t="s">
        <v>185</v>
      </c>
      <c r="D54" s="8">
        <f t="shared" si="3"/>
        <v>1107.5</v>
      </c>
      <c r="E54" s="8">
        <f t="shared" si="0"/>
        <v>2.684642859612683</v>
      </c>
      <c r="F54" s="11">
        <v>-548</v>
      </c>
      <c r="G54" s="11">
        <v>-2662</v>
      </c>
      <c r="H54" s="8">
        <f t="shared" si="11"/>
        <v>1057</v>
      </c>
      <c r="I54" s="8">
        <f t="shared" si="1"/>
        <v>2.5622290904781289</v>
      </c>
      <c r="J54" s="16">
        <f t="shared" si="4"/>
        <v>3.7111083513906924</v>
      </c>
      <c r="K54" s="16">
        <f t="shared" si="2"/>
        <v>223.66348555676493</v>
      </c>
      <c r="L54" s="16">
        <v>0</v>
      </c>
      <c r="M54" s="16">
        <f t="shared" si="6"/>
        <v>3.7111083513906924</v>
      </c>
      <c r="N54" s="16">
        <f t="shared" si="7"/>
        <v>0</v>
      </c>
      <c r="O54" s="16">
        <f>M54-'"0" цикл 24.06'!M53</f>
        <v>687.02370976008342</v>
      </c>
      <c r="P54" s="16">
        <f>N54-'"0" цикл 24.06'!N53</f>
        <v>-609.23571912388809</v>
      </c>
      <c r="Q54" s="16">
        <f t="shared" si="8"/>
        <v>918.24274526342344</v>
      </c>
      <c r="R54" s="16">
        <f t="shared" si="9"/>
        <v>-41.565822416474546</v>
      </c>
      <c r="S54" s="16">
        <f t="shared" si="10"/>
        <v>318.43417758352547</v>
      </c>
    </row>
  </sheetData>
  <mergeCells count="2">
    <mergeCell ref="B1:I1"/>
    <mergeCell ref="M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4"/>
  <sheetViews>
    <sheetView zoomScale="70" zoomScaleNormal="70" workbookViewId="0">
      <selection sqref="A1:XFD1048576"/>
    </sheetView>
  </sheetViews>
  <sheetFormatPr defaultRowHeight="14.25" x14ac:dyDescent="0.45"/>
  <cols>
    <col min="1" max="1" width="9.1328125" style="7"/>
    <col min="2" max="3" width="9.3984375" style="12" customWidth="1"/>
    <col min="4" max="5" width="9.3984375" style="13" customWidth="1"/>
    <col min="6" max="7" width="9.3984375" style="12" customWidth="1"/>
    <col min="8" max="9" width="9.3984375" style="13" customWidth="1"/>
    <col min="10" max="19" width="9.1328125" style="16"/>
  </cols>
  <sheetData>
    <row r="1" spans="1:19" x14ac:dyDescent="0.45">
      <c r="B1" s="53" t="s">
        <v>195</v>
      </c>
      <c r="C1" s="53"/>
      <c r="D1" s="53"/>
      <c r="E1" s="53"/>
      <c r="F1" s="53"/>
      <c r="G1" s="53"/>
      <c r="H1" s="53"/>
      <c r="I1" s="53"/>
      <c r="K1" s="16" t="s">
        <v>1</v>
      </c>
      <c r="L1" s="18">
        <v>180</v>
      </c>
      <c r="M1" s="54"/>
      <c r="N1" s="55"/>
      <c r="O1" s="55"/>
      <c r="P1" s="55"/>
      <c r="Q1" s="55"/>
      <c r="R1" s="55"/>
      <c r="S1" s="56"/>
    </row>
    <row r="2" spans="1:19" ht="99.75" x14ac:dyDescent="0.45">
      <c r="A2" s="7" t="s">
        <v>2</v>
      </c>
      <c r="B2" s="9" t="s">
        <v>99</v>
      </c>
      <c r="C2" s="9" t="s">
        <v>100</v>
      </c>
      <c r="D2" s="10" t="s">
        <v>101</v>
      </c>
      <c r="E2" s="10" t="s">
        <v>102</v>
      </c>
      <c r="F2" s="9" t="s">
        <v>187</v>
      </c>
      <c r="G2" s="9" t="s">
        <v>188</v>
      </c>
      <c r="H2" s="10" t="s">
        <v>189</v>
      </c>
      <c r="I2" s="10" t="s">
        <v>186</v>
      </c>
      <c r="J2" s="10" t="s">
        <v>191</v>
      </c>
      <c r="K2" s="10" t="s">
        <v>192</v>
      </c>
      <c r="L2" s="10" t="s">
        <v>193</v>
      </c>
      <c r="M2" s="15" t="s">
        <v>17</v>
      </c>
      <c r="N2" s="15" t="s">
        <v>18</v>
      </c>
      <c r="O2" s="14" t="s">
        <v>19</v>
      </c>
      <c r="P2" s="14" t="s">
        <v>20</v>
      </c>
      <c r="Q2" s="14" t="s">
        <v>21</v>
      </c>
      <c r="R2" s="14"/>
      <c r="S2" s="14" t="s">
        <v>22</v>
      </c>
    </row>
    <row r="3" spans="1:19" x14ac:dyDescent="0.45">
      <c r="A3" s="7">
        <v>-0.5</v>
      </c>
      <c r="B3" s="11" t="s">
        <v>103</v>
      </c>
      <c r="C3" s="11" t="s">
        <v>104</v>
      </c>
      <c r="D3" s="8">
        <f>(B3-C3)/2</f>
        <v>-1963.5</v>
      </c>
      <c r="E3" s="8">
        <f t="shared" ref="E3:E54" si="0">0.5*SIN(D3/3600*PI()/180)*1000+E4</f>
        <v>-200.38155580556699</v>
      </c>
      <c r="F3" s="11">
        <v>-3702</v>
      </c>
      <c r="G3" s="11">
        <v>228</v>
      </c>
      <c r="H3" s="8">
        <f>(F3-G3)/2</f>
        <v>-1965</v>
      </c>
      <c r="I3" s="8">
        <f t="shared" ref="I3:I54" si="1">0.5*SIN(H3/3600*PI()/180)*1000+I4</f>
        <v>-202.18379614515277</v>
      </c>
      <c r="J3" s="16">
        <f>SQRT(E3^2+I3^2)</f>
        <v>284.65954284148677</v>
      </c>
      <c r="K3" s="16">
        <f t="shared" ref="K3:K54" si="2">IF(E3&gt;=0,180-DEGREES(ASIN(-I3/J3)),IF(E3&lt;0,DEGREES(ASIN(-I3/J3)),360-DEGREES(ASIN(I3/J3))))</f>
        <v>45.256505123367646</v>
      </c>
      <c r="L3" s="16">
        <f>IF((K3+$L$1)&lt;=360,K3+$L$1,K3+$L$1-360)</f>
        <v>225.25650512336765</v>
      </c>
      <c r="M3" s="16">
        <f>J3*COS(RADIANS(L3))</f>
        <v>-200.38155580556702</v>
      </c>
      <c r="N3" s="16">
        <f>J3*SIN(RADIANS(L3))</f>
        <v>-202.18379614515271</v>
      </c>
      <c r="O3" s="16" t="e">
        <f>M3-'"0" цикл 24.06'!#REF!</f>
        <v>#REF!</v>
      </c>
      <c r="P3" s="16" t="e">
        <f>N3-'"0" цикл 24.06'!#REF!</f>
        <v>#REF!</v>
      </c>
      <c r="Q3" s="16" t="e">
        <f>SQRT(O3^2+P3^2)</f>
        <v>#REF!</v>
      </c>
      <c r="R3" s="16" t="e">
        <f>IF(Q3=0,0,IF(O3&gt;=0,DEGREES(ASIN(P3/Q3)),(180-DEGREES(ASIN(P3/Q3)))))</f>
        <v>#REF!</v>
      </c>
      <c r="S3" s="16" t="e">
        <f>IF(R3&lt;0,360+R3,R3)</f>
        <v>#REF!</v>
      </c>
    </row>
    <row r="4" spans="1:19" x14ac:dyDescent="0.45">
      <c r="A4" s="7">
        <v>0</v>
      </c>
      <c r="B4" s="11" t="s">
        <v>105</v>
      </c>
      <c r="C4" s="11" t="s">
        <v>106</v>
      </c>
      <c r="D4" s="8">
        <f t="shared" ref="D4:D54" si="3">(B4-C4)/2</f>
        <v>-1325</v>
      </c>
      <c r="E4" s="8">
        <f t="shared" si="0"/>
        <v>-195.62196937558332</v>
      </c>
      <c r="F4" s="11">
        <v>-3010</v>
      </c>
      <c r="G4" s="11">
        <v>-428</v>
      </c>
      <c r="H4" s="8">
        <f>(F4-G4)/2</f>
        <v>-1291</v>
      </c>
      <c r="I4" s="8">
        <f t="shared" si="1"/>
        <v>-197.42057377743248</v>
      </c>
      <c r="J4" s="16">
        <f t="shared" ref="J4:J54" si="4">SQRT(E4^2+I4^2)</f>
        <v>277.92595750126026</v>
      </c>
      <c r="K4" s="16">
        <f t="shared" si="2"/>
        <v>45.262189739284302</v>
      </c>
      <c r="L4" s="16">
        <f t="shared" ref="L4:L53" si="5">IF((K4+$L$1)&lt;=360,K4+$L$1,K4+$L$1-360)</f>
        <v>225.26218973928431</v>
      </c>
      <c r="M4" s="16">
        <f t="shared" ref="M4:M54" si="6">J4*COS(RADIANS(L4))</f>
        <v>-195.62196937558326</v>
      </c>
      <c r="N4" s="16">
        <f t="shared" ref="N4:N54" si="7">J4*SIN(RADIANS(L4))</f>
        <v>-197.42057377743254</v>
      </c>
      <c r="O4" s="16">
        <f>M4-'"0" цикл 24.06'!M3</f>
        <v>516.9218412305147</v>
      </c>
      <c r="P4" s="16">
        <f>N4-'"0" цикл 24.06'!N3</f>
        <v>-784.12197418385415</v>
      </c>
      <c r="Q4" s="16">
        <f t="shared" ref="Q4:Q54" si="8">SQRT(O4^2+P4^2)</f>
        <v>939.17807701155925</v>
      </c>
      <c r="R4" s="16">
        <f t="shared" ref="R4:R54" si="9">IF(Q4=0,0,IF(O4&gt;=0,DEGREES(ASIN(P4/Q4)),(180-DEGREES(ASIN(P4/Q4)))))</f>
        <v>-56.605670538043313</v>
      </c>
      <c r="S4" s="16">
        <f t="shared" ref="S4:S54" si="10">IF(R4&lt;0,360+R4,R4)</f>
        <v>303.39432946195666</v>
      </c>
    </row>
    <row r="5" spans="1:19" x14ac:dyDescent="0.45">
      <c r="A5" s="7">
        <v>0.5</v>
      </c>
      <c r="B5" s="11" t="s">
        <v>107</v>
      </c>
      <c r="C5" s="11" t="s">
        <v>108</v>
      </c>
      <c r="D5" s="8">
        <f t="shared" si="3"/>
        <v>-587</v>
      </c>
      <c r="E5" s="8">
        <f t="shared" si="0"/>
        <v>-192.41010082794665</v>
      </c>
      <c r="F5" s="11">
        <v>-2302</v>
      </c>
      <c r="G5" s="11">
        <v>-1171</v>
      </c>
      <c r="H5" s="8">
        <f t="shared" ref="H5:H54" si="11">(F5-G5)/2</f>
        <v>-565.5</v>
      </c>
      <c r="I5" s="8">
        <f t="shared" si="1"/>
        <v>-194.2911218983574</v>
      </c>
      <c r="J5" s="16">
        <f t="shared" si="4"/>
        <v>273.44229180787482</v>
      </c>
      <c r="K5" s="16">
        <f t="shared" si="2"/>
        <v>45.27870022685164</v>
      </c>
      <c r="L5" s="16">
        <f t="shared" si="5"/>
        <v>225.27870022685164</v>
      </c>
      <c r="M5" s="16">
        <f t="shared" si="6"/>
        <v>-192.41010082794665</v>
      </c>
      <c r="N5" s="16">
        <f t="shared" si="7"/>
        <v>-194.2911218983574</v>
      </c>
      <c r="O5" s="16">
        <f>M5-'"0" цикл 24.06'!M4</f>
        <v>524.61381305537861</v>
      </c>
      <c r="P5" s="16">
        <f>N5-'"0" цикл 24.06'!N4</f>
        <v>-786.51213515400218</v>
      </c>
      <c r="Q5" s="16">
        <f t="shared" si="8"/>
        <v>945.42106576541391</v>
      </c>
      <c r="R5" s="16">
        <f t="shared" si="9"/>
        <v>-56.296197194784135</v>
      </c>
      <c r="S5" s="16">
        <f t="shared" si="10"/>
        <v>303.70380280521584</v>
      </c>
    </row>
    <row r="6" spans="1:19" x14ac:dyDescent="0.45">
      <c r="A6" s="7">
        <v>1</v>
      </c>
      <c r="B6" s="11" t="s">
        <v>109</v>
      </c>
      <c r="C6" s="11" t="s">
        <v>110</v>
      </c>
      <c r="D6" s="8">
        <f t="shared" si="3"/>
        <v>-1149.5</v>
      </c>
      <c r="E6" s="8">
        <f t="shared" si="0"/>
        <v>-190.98717459458109</v>
      </c>
      <c r="F6" s="11">
        <v>-2912</v>
      </c>
      <c r="G6" s="11">
        <v>-547</v>
      </c>
      <c r="H6" s="8">
        <f t="shared" si="11"/>
        <v>-1182.5</v>
      </c>
      <c r="I6" s="8">
        <f t="shared" si="1"/>
        <v>-192.92031293229982</v>
      </c>
      <c r="J6" s="16">
        <f t="shared" si="4"/>
        <v>271.4670293083812</v>
      </c>
      <c r="K6" s="16">
        <f t="shared" si="2"/>
        <v>45.288506308022626</v>
      </c>
      <c r="L6" s="16">
        <f t="shared" si="5"/>
        <v>225.28850630802262</v>
      </c>
      <c r="M6" s="16">
        <f t="shared" si="6"/>
        <v>-190.98717459458115</v>
      </c>
      <c r="N6" s="16">
        <f t="shared" si="7"/>
        <v>-192.92031293229979</v>
      </c>
      <c r="O6" s="16">
        <f>M6-'"0" цикл 24.06'!M5</f>
        <v>532.66297870773963</v>
      </c>
      <c r="P6" s="16">
        <f>N6-'"0" цикл 24.06'!N5</f>
        <v>-792.60717942324163</v>
      </c>
      <c r="Q6" s="16">
        <f t="shared" si="8"/>
        <v>954.9638683002978</v>
      </c>
      <c r="R6" s="16">
        <f t="shared" si="9"/>
        <v>-56.097357786009781</v>
      </c>
      <c r="S6" s="16">
        <f t="shared" si="10"/>
        <v>303.90264221399025</v>
      </c>
    </row>
    <row r="7" spans="1:19" x14ac:dyDescent="0.45">
      <c r="A7" s="7">
        <v>1.5</v>
      </c>
      <c r="B7" s="11" t="s">
        <v>111</v>
      </c>
      <c r="C7" s="11" t="s">
        <v>112</v>
      </c>
      <c r="D7" s="8">
        <f t="shared" si="3"/>
        <v>-1497</v>
      </c>
      <c r="E7" s="8">
        <f t="shared" si="0"/>
        <v>-188.20072238586908</v>
      </c>
      <c r="F7" s="11">
        <v>-3200</v>
      </c>
      <c r="G7" s="11">
        <v>-222</v>
      </c>
      <c r="H7" s="8">
        <f t="shared" si="11"/>
        <v>-1489</v>
      </c>
      <c r="I7" s="8">
        <f t="shared" si="1"/>
        <v>-190.05386774441848</v>
      </c>
      <c r="J7" s="16">
        <f t="shared" si="4"/>
        <v>267.46959556401151</v>
      </c>
      <c r="K7" s="16">
        <f t="shared" si="2"/>
        <v>45.280701308472246</v>
      </c>
      <c r="L7" s="16">
        <f t="shared" si="5"/>
        <v>225.28070130847226</v>
      </c>
      <c r="M7" s="16">
        <f t="shared" si="6"/>
        <v>-188.20072238586908</v>
      </c>
      <c r="N7" s="16">
        <f t="shared" si="7"/>
        <v>-190.05386774441851</v>
      </c>
      <c r="O7" s="16">
        <f>M7-'"0" цикл 24.06'!M6</f>
        <v>540.03849158715775</v>
      </c>
      <c r="P7" s="16">
        <f>N7-'"0" цикл 24.06'!N6</f>
        <v>-795.54479326974933</v>
      </c>
      <c r="Q7" s="16">
        <f t="shared" si="8"/>
        <v>961.52643775111085</v>
      </c>
      <c r="R7" s="16">
        <f t="shared" si="9"/>
        <v>-55.830220765292331</v>
      </c>
      <c r="S7" s="16">
        <f t="shared" si="10"/>
        <v>304.16977923470768</v>
      </c>
    </row>
    <row r="8" spans="1:19" x14ac:dyDescent="0.45">
      <c r="A8" s="7">
        <v>2</v>
      </c>
      <c r="B8" s="11" t="s">
        <v>113</v>
      </c>
      <c r="C8" s="11" t="s">
        <v>114</v>
      </c>
      <c r="D8" s="8">
        <f t="shared" si="3"/>
        <v>-1174.5</v>
      </c>
      <c r="E8" s="8">
        <f t="shared" si="0"/>
        <v>-184.57192383996491</v>
      </c>
      <c r="F8" s="11">
        <v>-2928</v>
      </c>
      <c r="G8" s="11">
        <v>-615</v>
      </c>
      <c r="H8" s="8">
        <f t="shared" si="11"/>
        <v>-1156.5</v>
      </c>
      <c r="I8" s="8">
        <f t="shared" si="1"/>
        <v>-186.44446123774742</v>
      </c>
      <c r="J8" s="16">
        <f t="shared" si="4"/>
        <v>262.35154315578114</v>
      </c>
      <c r="K8" s="16">
        <f t="shared" si="2"/>
        <v>45.289172077640984</v>
      </c>
      <c r="L8" s="16">
        <f t="shared" si="5"/>
        <v>225.28917207764098</v>
      </c>
      <c r="M8" s="16">
        <f t="shared" si="6"/>
        <v>-184.57192383996488</v>
      </c>
      <c r="N8" s="16">
        <f t="shared" si="7"/>
        <v>-186.44446123774745</v>
      </c>
      <c r="O8" s="16">
        <f>M8-'"0" цикл 24.06'!M7</f>
        <v>545.91233354311657</v>
      </c>
      <c r="P8" s="16">
        <f>N8-'"0" цикл 24.06'!N7</f>
        <v>-795.19852328271327</v>
      </c>
      <c r="Q8" s="16">
        <f t="shared" si="8"/>
        <v>964.55221079291448</v>
      </c>
      <c r="R8" s="16">
        <f t="shared" si="9"/>
        <v>-55.529983016096239</v>
      </c>
      <c r="S8" s="16">
        <f t="shared" si="10"/>
        <v>304.47001698390375</v>
      </c>
    </row>
    <row r="9" spans="1:19" x14ac:dyDescent="0.45">
      <c r="A9" s="7">
        <v>2.5</v>
      </c>
      <c r="B9" s="11" t="s">
        <v>115</v>
      </c>
      <c r="C9" s="11" t="s">
        <v>116</v>
      </c>
      <c r="D9" s="8">
        <f t="shared" si="3"/>
        <v>-1837</v>
      </c>
      <c r="E9" s="8">
        <f t="shared" si="0"/>
        <v>-181.7248708827984</v>
      </c>
      <c r="F9" s="11">
        <v>-3558</v>
      </c>
      <c r="G9" s="11">
        <v>171</v>
      </c>
      <c r="H9" s="8">
        <f t="shared" si="11"/>
        <v>-1864.5</v>
      </c>
      <c r="I9" s="8">
        <f t="shared" si="1"/>
        <v>-183.64104081530374</v>
      </c>
      <c r="J9" s="16">
        <f t="shared" si="4"/>
        <v>258.35626675019478</v>
      </c>
      <c r="K9" s="16">
        <f t="shared" si="2"/>
        <v>45.300486279332638</v>
      </c>
      <c r="L9" s="16">
        <f t="shared" si="5"/>
        <v>225.30048627933263</v>
      </c>
      <c r="M9" s="16">
        <f t="shared" si="6"/>
        <v>-181.7248708827984</v>
      </c>
      <c r="N9" s="16">
        <f t="shared" si="7"/>
        <v>-183.64104081530374</v>
      </c>
      <c r="O9" s="16">
        <f>M9-'"0" цикл 24.06'!M8</f>
        <v>549.50854456071329</v>
      </c>
      <c r="P9" s="16">
        <f>N9-'"0" цикл 24.06'!N8</f>
        <v>-794.29799196503689</v>
      </c>
      <c r="Q9" s="16">
        <f t="shared" si="8"/>
        <v>965.85140709372217</v>
      </c>
      <c r="R9" s="16">
        <f t="shared" si="9"/>
        <v>-55.323871393433436</v>
      </c>
      <c r="S9" s="16">
        <f t="shared" si="10"/>
        <v>304.67612860656658</v>
      </c>
    </row>
    <row r="10" spans="1:19" x14ac:dyDescent="0.45">
      <c r="A10" s="7">
        <v>3</v>
      </c>
      <c r="B10" s="11" t="s">
        <v>117</v>
      </c>
      <c r="C10" s="11" t="s">
        <v>118</v>
      </c>
      <c r="D10" s="8">
        <f t="shared" si="3"/>
        <v>-2058</v>
      </c>
      <c r="E10" s="8">
        <f t="shared" si="0"/>
        <v>-177.27191608842742</v>
      </c>
      <c r="F10" s="11">
        <v>-3765</v>
      </c>
      <c r="G10" s="11">
        <v>350</v>
      </c>
      <c r="H10" s="8">
        <f t="shared" si="11"/>
        <v>-2057.5</v>
      </c>
      <c r="I10" s="8">
        <f t="shared" si="1"/>
        <v>-179.12142682325731</v>
      </c>
      <c r="J10" s="16">
        <f t="shared" si="4"/>
        <v>252.01154295163144</v>
      </c>
      <c r="K10" s="16">
        <f t="shared" si="2"/>
        <v>45.297334981427682</v>
      </c>
      <c r="L10" s="16">
        <f t="shared" si="5"/>
        <v>225.2973349814277</v>
      </c>
      <c r="M10" s="16">
        <f t="shared" si="6"/>
        <v>-177.27191608842736</v>
      </c>
      <c r="N10" s="16">
        <f t="shared" si="7"/>
        <v>-179.12142682325734</v>
      </c>
      <c r="O10" s="16">
        <f>M10-'"0" цикл 24.06'!M9</f>
        <v>553.01344676975089</v>
      </c>
      <c r="P10" s="16">
        <f>N10-'"0" цикл 24.06'!N9</f>
        <v>-789.97315186445019</v>
      </c>
      <c r="Q10" s="16">
        <f t="shared" si="8"/>
        <v>964.30361037113914</v>
      </c>
      <c r="R10" s="16">
        <f t="shared" si="9"/>
        <v>-55.006410461610592</v>
      </c>
      <c r="S10" s="16">
        <f t="shared" si="10"/>
        <v>304.99358953838941</v>
      </c>
    </row>
    <row r="11" spans="1:19" x14ac:dyDescent="0.45">
      <c r="A11" s="7">
        <v>3.5</v>
      </c>
      <c r="B11" s="11" t="s">
        <v>119</v>
      </c>
      <c r="C11" s="11" t="s">
        <v>120</v>
      </c>
      <c r="D11" s="8">
        <f t="shared" si="3"/>
        <v>-2136.5</v>
      </c>
      <c r="E11" s="8">
        <f t="shared" si="0"/>
        <v>-172.28326608063912</v>
      </c>
      <c r="F11" s="11">
        <v>-4262</v>
      </c>
      <c r="G11" s="11">
        <v>374</v>
      </c>
      <c r="H11" s="8">
        <f t="shared" si="11"/>
        <v>-2318</v>
      </c>
      <c r="I11" s="8">
        <f t="shared" si="1"/>
        <v>-174.13398878935806</v>
      </c>
      <c r="J11" s="16">
        <f t="shared" si="4"/>
        <v>244.95748574620978</v>
      </c>
      <c r="K11" s="16">
        <f t="shared" si="2"/>
        <v>45.30609789187934</v>
      </c>
      <c r="L11" s="16">
        <f t="shared" si="5"/>
        <v>225.30609789187935</v>
      </c>
      <c r="M11" s="16">
        <f t="shared" si="6"/>
        <v>-172.28326608063909</v>
      </c>
      <c r="N11" s="16">
        <f t="shared" si="7"/>
        <v>-174.13398878935806</v>
      </c>
      <c r="O11" s="16">
        <f>M11-'"0" цикл 24.06'!M10</f>
        <v>555.08753463588187</v>
      </c>
      <c r="P11" s="16">
        <f>N11-'"0" цикл 24.06'!N10</f>
        <v>-783.11373137774262</v>
      </c>
      <c r="Q11" s="16">
        <f t="shared" si="8"/>
        <v>959.89024757026914</v>
      </c>
      <c r="R11" s="16">
        <f t="shared" si="9"/>
        <v>-54.670181157173651</v>
      </c>
      <c r="S11" s="16">
        <f t="shared" si="10"/>
        <v>305.32981884282634</v>
      </c>
    </row>
    <row r="12" spans="1:19" x14ac:dyDescent="0.45">
      <c r="A12" s="7">
        <v>4</v>
      </c>
      <c r="B12" s="11" t="s">
        <v>121</v>
      </c>
      <c r="C12" s="11" t="s">
        <v>122</v>
      </c>
      <c r="D12" s="8">
        <f t="shared" si="3"/>
        <v>-2731.5</v>
      </c>
      <c r="E12" s="8">
        <f t="shared" si="0"/>
        <v>-167.10433654044473</v>
      </c>
      <c r="F12" s="11">
        <v>-4510</v>
      </c>
      <c r="G12" s="11">
        <v>1097</v>
      </c>
      <c r="H12" s="8">
        <f t="shared" si="11"/>
        <v>-2803.5</v>
      </c>
      <c r="I12" s="8">
        <f t="shared" si="1"/>
        <v>-168.51511649701695</v>
      </c>
      <c r="J12" s="16">
        <f t="shared" si="4"/>
        <v>237.3208877840832</v>
      </c>
      <c r="K12" s="16">
        <f t="shared" si="2"/>
        <v>45.240842002813665</v>
      </c>
      <c r="L12" s="16">
        <f t="shared" si="5"/>
        <v>225.24084200281368</v>
      </c>
      <c r="M12" s="16">
        <f t="shared" si="6"/>
        <v>-167.10433654044471</v>
      </c>
      <c r="N12" s="16">
        <f t="shared" si="7"/>
        <v>-168.51511649701698</v>
      </c>
      <c r="O12" s="16">
        <f>M12-'"0" цикл 24.06'!M11</f>
        <v>555.61013848216317</v>
      </c>
      <c r="P12" s="16">
        <f>N12-'"0" цикл 24.06'!N11</f>
        <v>-773.5926333809814</v>
      </c>
      <c r="Q12" s="16">
        <f t="shared" si="8"/>
        <v>952.44327306432797</v>
      </c>
      <c r="R12" s="16">
        <f t="shared" si="9"/>
        <v>-54.313315161928578</v>
      </c>
      <c r="S12" s="16">
        <f t="shared" si="10"/>
        <v>305.68668483807141</v>
      </c>
    </row>
    <row r="13" spans="1:19" x14ac:dyDescent="0.45">
      <c r="A13" s="7">
        <v>4.5</v>
      </c>
      <c r="B13" s="11" t="s">
        <v>123</v>
      </c>
      <c r="C13" s="11" t="s">
        <v>124</v>
      </c>
      <c r="D13" s="8">
        <f t="shared" si="3"/>
        <v>-3916</v>
      </c>
      <c r="E13" s="8">
        <f t="shared" si="0"/>
        <v>-160.48318721840269</v>
      </c>
      <c r="F13" s="11">
        <v>-5668</v>
      </c>
      <c r="G13" s="11">
        <v>2227</v>
      </c>
      <c r="H13" s="8">
        <f t="shared" si="11"/>
        <v>-3947.5</v>
      </c>
      <c r="I13" s="8">
        <f t="shared" si="1"/>
        <v>-161.71944996028762</v>
      </c>
      <c r="J13" s="16">
        <f t="shared" si="4"/>
        <v>227.83334671473108</v>
      </c>
      <c r="K13" s="16">
        <f t="shared" si="2"/>
        <v>45.219837709914366</v>
      </c>
      <c r="L13" s="16">
        <f t="shared" si="5"/>
        <v>225.21983770991437</v>
      </c>
      <c r="M13" s="16">
        <f t="shared" si="6"/>
        <v>-160.48318721840266</v>
      </c>
      <c r="N13" s="16">
        <f t="shared" si="7"/>
        <v>-161.71944996028768</v>
      </c>
      <c r="O13" s="16">
        <f>M13-'"0" цикл 24.06'!M12</f>
        <v>558.02182154286027</v>
      </c>
      <c r="P13" s="16">
        <f>N13-'"0" цикл 24.06'!N12</f>
        <v>-763.81477436997375</v>
      </c>
      <c r="Q13" s="16">
        <f t="shared" si="8"/>
        <v>945.93940760699138</v>
      </c>
      <c r="R13" s="16">
        <f t="shared" si="9"/>
        <v>-53.849175257390819</v>
      </c>
      <c r="S13" s="16">
        <f t="shared" si="10"/>
        <v>306.15082474260919</v>
      </c>
    </row>
    <row r="14" spans="1:19" x14ac:dyDescent="0.45">
      <c r="A14" s="7">
        <v>5</v>
      </c>
      <c r="B14" s="11" t="s">
        <v>125</v>
      </c>
      <c r="C14" s="11" t="s">
        <v>126</v>
      </c>
      <c r="D14" s="8">
        <f t="shared" si="3"/>
        <v>-5273.5</v>
      </c>
      <c r="E14" s="8">
        <f t="shared" si="0"/>
        <v>-150.99110559002344</v>
      </c>
      <c r="F14" s="11">
        <v>-7005</v>
      </c>
      <c r="G14" s="11">
        <v>3515</v>
      </c>
      <c r="H14" s="8">
        <f t="shared" si="11"/>
        <v>-5260</v>
      </c>
      <c r="I14" s="8">
        <f t="shared" si="1"/>
        <v>-152.15102404903928</v>
      </c>
      <c r="J14" s="16">
        <f t="shared" si="4"/>
        <v>214.35542467236263</v>
      </c>
      <c r="K14" s="16">
        <f t="shared" si="2"/>
        <v>45.219230853955821</v>
      </c>
      <c r="L14" s="16">
        <f t="shared" si="5"/>
        <v>225.21923085395582</v>
      </c>
      <c r="M14" s="16">
        <f t="shared" si="6"/>
        <v>-150.99110559002344</v>
      </c>
      <c r="N14" s="16">
        <f t="shared" si="7"/>
        <v>-152.15102404903925</v>
      </c>
      <c r="O14" s="16">
        <f>M14-'"0" цикл 24.06'!M13</f>
        <v>564.94294754947418</v>
      </c>
      <c r="P14" s="16">
        <f>N14-'"0" цикл 24.06'!N13</f>
        <v>-752.69167469194667</v>
      </c>
      <c r="Q14" s="16">
        <f t="shared" si="8"/>
        <v>941.11916946604333</v>
      </c>
      <c r="R14" s="16">
        <f t="shared" si="9"/>
        <v>-53.109442369134847</v>
      </c>
      <c r="S14" s="16">
        <f t="shared" si="10"/>
        <v>306.89055763086515</v>
      </c>
    </row>
    <row r="15" spans="1:19" x14ac:dyDescent="0.45">
      <c r="A15" s="7">
        <v>5.5</v>
      </c>
      <c r="B15" s="11" t="s">
        <v>127</v>
      </c>
      <c r="C15" s="11" t="s">
        <v>128</v>
      </c>
      <c r="D15" s="8">
        <f t="shared" si="3"/>
        <v>-6288.5</v>
      </c>
      <c r="E15" s="8">
        <f t="shared" si="0"/>
        <v>-138.2091734521515</v>
      </c>
      <c r="F15" s="11">
        <v>-8031</v>
      </c>
      <c r="G15" s="11">
        <v>4599</v>
      </c>
      <c r="H15" s="8">
        <f t="shared" si="11"/>
        <v>-6315</v>
      </c>
      <c r="I15" s="8">
        <f t="shared" si="1"/>
        <v>-139.4018061671969</v>
      </c>
      <c r="J15" s="16">
        <f t="shared" si="4"/>
        <v>196.30241768506988</v>
      </c>
      <c r="K15" s="16">
        <f t="shared" si="2"/>
        <v>45.246144445704807</v>
      </c>
      <c r="L15" s="16">
        <f t="shared" si="5"/>
        <v>225.2461444457048</v>
      </c>
      <c r="M15" s="16">
        <f t="shared" si="6"/>
        <v>-138.20917345215156</v>
      </c>
      <c r="N15" s="16">
        <f t="shared" si="7"/>
        <v>-139.40180616719684</v>
      </c>
      <c r="O15" s="16">
        <f>M15-'"0" цикл 24.06'!M14</f>
        <v>577.62452325603044</v>
      </c>
      <c r="P15" s="16">
        <f>N15-'"0" цикл 24.06'!N14</f>
        <v>-740.84117968752594</v>
      </c>
      <c r="Q15" s="16">
        <f t="shared" si="8"/>
        <v>939.41244583386344</v>
      </c>
      <c r="R15" s="16">
        <f t="shared" si="9"/>
        <v>-52.056906992074786</v>
      </c>
      <c r="S15" s="16">
        <f t="shared" si="10"/>
        <v>307.9430930079252</v>
      </c>
    </row>
    <row r="16" spans="1:19" x14ac:dyDescent="0.45">
      <c r="A16" s="7">
        <v>6</v>
      </c>
      <c r="B16" s="11" t="s">
        <v>129</v>
      </c>
      <c r="C16" s="11" t="s">
        <v>130</v>
      </c>
      <c r="D16" s="8">
        <f t="shared" si="3"/>
        <v>-6174.5</v>
      </c>
      <c r="E16" s="8">
        <f t="shared" si="0"/>
        <v>-122.96778065563274</v>
      </c>
      <c r="F16" s="11">
        <v>-7865</v>
      </c>
      <c r="G16" s="11">
        <v>4444</v>
      </c>
      <c r="H16" s="8">
        <f t="shared" si="11"/>
        <v>-6154.5</v>
      </c>
      <c r="I16" s="8">
        <f t="shared" si="1"/>
        <v>-124.09620553572584</v>
      </c>
      <c r="J16" s="16">
        <f t="shared" si="4"/>
        <v>174.70244219167893</v>
      </c>
      <c r="K16" s="16">
        <f t="shared" si="2"/>
        <v>45.261687405582485</v>
      </c>
      <c r="L16" s="16">
        <f t="shared" si="5"/>
        <v>225.26168740558248</v>
      </c>
      <c r="M16" s="16">
        <f t="shared" si="6"/>
        <v>-122.96778065563272</v>
      </c>
      <c r="N16" s="16">
        <f t="shared" si="7"/>
        <v>-124.09620553572584</v>
      </c>
      <c r="O16" s="16">
        <f>M16-'"0" цикл 24.06'!M15</f>
        <v>594.65681396122932</v>
      </c>
      <c r="P16" s="16">
        <f>N16-'"0" цикл 24.06'!N15</f>
        <v>-728.36675462113396</v>
      </c>
      <c r="Q16" s="16">
        <f t="shared" si="8"/>
        <v>940.28445463478943</v>
      </c>
      <c r="R16" s="16">
        <f t="shared" si="9"/>
        <v>-50.77094101946313</v>
      </c>
      <c r="S16" s="16">
        <f t="shared" si="10"/>
        <v>309.22905898053688</v>
      </c>
    </row>
    <row r="17" spans="1:19" x14ac:dyDescent="0.45">
      <c r="A17" s="7">
        <v>6.5</v>
      </c>
      <c r="B17" s="11" t="s">
        <v>131</v>
      </c>
      <c r="C17" s="11" t="s">
        <v>132</v>
      </c>
      <c r="D17" s="8">
        <f t="shared" si="3"/>
        <v>-5283.5</v>
      </c>
      <c r="E17" s="8">
        <f t="shared" si="0"/>
        <v>-108.00260555193182</v>
      </c>
      <c r="F17" s="11">
        <v>-6979</v>
      </c>
      <c r="G17" s="11">
        <v>3516</v>
      </c>
      <c r="H17" s="8">
        <f t="shared" si="11"/>
        <v>-5247.5</v>
      </c>
      <c r="I17" s="8">
        <f t="shared" si="1"/>
        <v>-109.17949015011231</v>
      </c>
      <c r="J17" s="16">
        <f t="shared" si="4"/>
        <v>153.573187358486</v>
      </c>
      <c r="K17" s="16">
        <f t="shared" si="2"/>
        <v>45.310476147799271</v>
      </c>
      <c r="L17" s="16">
        <f t="shared" si="5"/>
        <v>225.31047614779928</v>
      </c>
      <c r="M17" s="16">
        <f t="shared" si="6"/>
        <v>-108.00260555193178</v>
      </c>
      <c r="N17" s="16">
        <f t="shared" si="7"/>
        <v>-109.17949015011233</v>
      </c>
      <c r="O17" s="16">
        <f>M17-'"0" цикл 24.06'!M16</f>
        <v>612.27814952700885</v>
      </c>
      <c r="P17" s="16">
        <f>N17-'"0" цикл 24.06'!N16</f>
        <v>-717.1711922928655</v>
      </c>
      <c r="Q17" s="16">
        <f t="shared" si="8"/>
        <v>942.98412046173314</v>
      </c>
      <c r="R17" s="16">
        <f t="shared" si="9"/>
        <v>-49.511269391482337</v>
      </c>
      <c r="S17" s="16">
        <f t="shared" si="10"/>
        <v>310.48873060851764</v>
      </c>
    </row>
    <row r="18" spans="1:19" x14ac:dyDescent="0.45">
      <c r="A18" s="7">
        <v>7</v>
      </c>
      <c r="B18" s="11" t="s">
        <v>133</v>
      </c>
      <c r="C18" s="11" t="s">
        <v>134</v>
      </c>
      <c r="D18" s="8">
        <f t="shared" si="3"/>
        <v>-3972.5</v>
      </c>
      <c r="E18" s="8">
        <f t="shared" si="0"/>
        <v>-95.196440667108746</v>
      </c>
      <c r="F18" s="11">
        <v>-5692</v>
      </c>
      <c r="G18" s="11">
        <v>2257</v>
      </c>
      <c r="H18" s="8">
        <f t="shared" si="11"/>
        <v>-3974.5</v>
      </c>
      <c r="I18" s="8">
        <f t="shared" si="1"/>
        <v>-96.46056329477338</v>
      </c>
      <c r="J18" s="16">
        <f t="shared" si="4"/>
        <v>135.5249150039628</v>
      </c>
      <c r="K18" s="16">
        <f t="shared" si="2"/>
        <v>45.377903439828913</v>
      </c>
      <c r="L18" s="16">
        <f t="shared" si="5"/>
        <v>225.37790343982891</v>
      </c>
      <c r="M18" s="16">
        <f t="shared" si="6"/>
        <v>-95.196440667108774</v>
      </c>
      <c r="N18" s="16">
        <f t="shared" si="7"/>
        <v>-96.46056329477338</v>
      </c>
      <c r="O18" s="16">
        <f>M18-'"0" цикл 24.06'!M17</f>
        <v>628.27315478135415</v>
      </c>
      <c r="P18" s="16">
        <f>N18-'"0" цикл 24.06'!N17</f>
        <v>-708.48974989507406</v>
      </c>
      <c r="Q18" s="16">
        <f t="shared" si="8"/>
        <v>946.93446590843871</v>
      </c>
      <c r="R18" s="16">
        <f t="shared" si="9"/>
        <v>-48.434092496623634</v>
      </c>
      <c r="S18" s="16">
        <f t="shared" si="10"/>
        <v>311.56590750337637</v>
      </c>
    </row>
    <row r="19" spans="1:19" x14ac:dyDescent="0.45">
      <c r="A19" s="7">
        <v>7.5</v>
      </c>
      <c r="B19" s="11" t="s">
        <v>135</v>
      </c>
      <c r="C19" s="11" t="s">
        <v>136</v>
      </c>
      <c r="D19" s="8">
        <f t="shared" si="3"/>
        <v>-3002</v>
      </c>
      <c r="E19" s="8">
        <f t="shared" si="0"/>
        <v>-85.567424213919381</v>
      </c>
      <c r="F19" s="11">
        <v>-4692</v>
      </c>
      <c r="G19" s="11">
        <v>1275</v>
      </c>
      <c r="H19" s="8">
        <f t="shared" si="11"/>
        <v>-2983.5</v>
      </c>
      <c r="I19" s="8">
        <f t="shared" si="1"/>
        <v>-86.8266996043277</v>
      </c>
      <c r="J19" s="16">
        <f t="shared" si="4"/>
        <v>121.90430612076423</v>
      </c>
      <c r="K19" s="16">
        <f t="shared" si="2"/>
        <v>45.41851706013226</v>
      </c>
      <c r="L19" s="16">
        <f t="shared" si="5"/>
        <v>225.41851706013227</v>
      </c>
      <c r="M19" s="16">
        <f t="shared" si="6"/>
        <v>-85.567424213919395</v>
      </c>
      <c r="N19" s="16">
        <f t="shared" si="7"/>
        <v>-86.826699604327686</v>
      </c>
      <c r="O19" s="16">
        <f>M19-'"0" цикл 24.06'!M18</f>
        <v>639.71076472794743</v>
      </c>
      <c r="P19" s="16">
        <f>N19-'"0" цикл 24.06'!N18</f>
        <v>-701.87286343455025</v>
      </c>
      <c r="Q19" s="16">
        <f t="shared" si="8"/>
        <v>949.66066515078433</v>
      </c>
      <c r="R19" s="16">
        <f t="shared" si="9"/>
        <v>-47.652894879828452</v>
      </c>
      <c r="S19" s="16">
        <f t="shared" si="10"/>
        <v>312.34710512017153</v>
      </c>
    </row>
    <row r="20" spans="1:19" x14ac:dyDescent="0.45">
      <c r="A20" s="7">
        <v>8</v>
      </c>
      <c r="B20" s="11" t="s">
        <v>137</v>
      </c>
      <c r="C20" s="11" t="s">
        <v>138</v>
      </c>
      <c r="D20" s="8">
        <f t="shared" si="3"/>
        <v>-3003</v>
      </c>
      <c r="E20" s="8">
        <f t="shared" si="0"/>
        <v>-78.290627764436962</v>
      </c>
      <c r="F20" s="11">
        <v>-4692</v>
      </c>
      <c r="G20" s="11">
        <v>1309</v>
      </c>
      <c r="H20" s="8">
        <f t="shared" si="11"/>
        <v>-3000.5</v>
      </c>
      <c r="I20" s="8">
        <f t="shared" si="1"/>
        <v>-79.594743700032922</v>
      </c>
      <c r="J20" s="16">
        <f t="shared" si="4"/>
        <v>111.64562517368765</v>
      </c>
      <c r="K20" s="16">
        <f t="shared" si="2"/>
        <v>45.473246122785248</v>
      </c>
      <c r="L20" s="16">
        <f t="shared" si="5"/>
        <v>225.47324612278524</v>
      </c>
      <c r="M20" s="16">
        <f t="shared" si="6"/>
        <v>-78.290627764436962</v>
      </c>
      <c r="N20" s="16">
        <f t="shared" si="7"/>
        <v>-79.594743700032907</v>
      </c>
      <c r="O20" s="16">
        <f>M20-'"0" цикл 24.06'!M19</f>
        <v>648.76258153900278</v>
      </c>
      <c r="P20" s="16">
        <f>N20-'"0" цикл 24.06'!N19</f>
        <v>-697.36094127167758</v>
      </c>
      <c r="Q20" s="16">
        <f t="shared" si="8"/>
        <v>952.47318577294936</v>
      </c>
      <c r="R20" s="16">
        <f t="shared" si="9"/>
        <v>-47.067620132819023</v>
      </c>
      <c r="S20" s="16">
        <f t="shared" si="10"/>
        <v>312.932379867181</v>
      </c>
    </row>
    <row r="21" spans="1:19" x14ac:dyDescent="0.45">
      <c r="A21" s="7">
        <v>8.5</v>
      </c>
      <c r="B21" s="11" t="s">
        <v>139</v>
      </c>
      <c r="C21" s="11" t="s">
        <v>140</v>
      </c>
      <c r="D21" s="8">
        <f t="shared" si="3"/>
        <v>-3498.5</v>
      </c>
      <c r="E21" s="8">
        <f t="shared" si="0"/>
        <v>-71.011407503365533</v>
      </c>
      <c r="F21" s="11">
        <v>-5273</v>
      </c>
      <c r="G21" s="11">
        <v>1785</v>
      </c>
      <c r="H21" s="8">
        <f t="shared" si="11"/>
        <v>-3529</v>
      </c>
      <c r="I21" s="8">
        <f t="shared" si="1"/>
        <v>-72.321582968254702</v>
      </c>
      <c r="J21" s="16">
        <f t="shared" si="4"/>
        <v>101.35596360670243</v>
      </c>
      <c r="K21" s="16">
        <f t="shared" si="2"/>
        <v>45.523713582546556</v>
      </c>
      <c r="L21" s="16">
        <f t="shared" si="5"/>
        <v>225.52371358254655</v>
      </c>
      <c r="M21" s="16">
        <f t="shared" si="6"/>
        <v>-71.011407503365561</v>
      </c>
      <c r="N21" s="16">
        <f t="shared" si="7"/>
        <v>-72.321582968254674</v>
      </c>
      <c r="O21" s="16">
        <f>M21-'"0" цикл 24.06'!M20</f>
        <v>657.77088634739846</v>
      </c>
      <c r="P21" s="16">
        <f>N21-'"0" цикл 24.06'!N20</f>
        <v>-693.02864337286917</v>
      </c>
      <c r="Q21" s="16">
        <f t="shared" si="8"/>
        <v>955.48481906385177</v>
      </c>
      <c r="R21" s="16">
        <f t="shared" si="9"/>
        <v>-46.495160501384973</v>
      </c>
      <c r="S21" s="16">
        <f t="shared" si="10"/>
        <v>313.50483949861501</v>
      </c>
    </row>
    <row r="22" spans="1:19" x14ac:dyDescent="0.45">
      <c r="A22" s="7">
        <v>9</v>
      </c>
      <c r="B22" s="11" t="s">
        <v>141</v>
      </c>
      <c r="C22" s="11" t="s">
        <v>142</v>
      </c>
      <c r="D22" s="8">
        <f t="shared" si="3"/>
        <v>-3913</v>
      </c>
      <c r="E22" s="8">
        <f t="shared" si="0"/>
        <v>-62.531210800945146</v>
      </c>
      <c r="F22" s="11">
        <v>-5626</v>
      </c>
      <c r="G22" s="11">
        <v>2201</v>
      </c>
      <c r="H22" s="8">
        <f t="shared" si="11"/>
        <v>-3913.5</v>
      </c>
      <c r="I22" s="8">
        <f t="shared" si="1"/>
        <v>-63.767462906961811</v>
      </c>
      <c r="J22" s="16">
        <f t="shared" si="4"/>
        <v>89.310926822102729</v>
      </c>
      <c r="K22" s="16">
        <f t="shared" si="2"/>
        <v>45.56081163777192</v>
      </c>
      <c r="L22" s="16">
        <f t="shared" si="5"/>
        <v>225.56081163777191</v>
      </c>
      <c r="M22" s="16">
        <f t="shared" si="6"/>
        <v>-62.531210800945161</v>
      </c>
      <c r="N22" s="16">
        <f t="shared" si="7"/>
        <v>-63.767462906961804</v>
      </c>
      <c r="O22" s="16">
        <f>M22-'"0" цикл 24.06'!M21</f>
        <v>668.19239335490977</v>
      </c>
      <c r="P22" s="16">
        <f>N22-'"0" цикл 24.06'!N21</f>
        <v>-687.38169216988854</v>
      </c>
      <c r="Q22" s="16">
        <f t="shared" si="8"/>
        <v>958.6316629799486</v>
      </c>
      <c r="R22" s="16">
        <f t="shared" si="9"/>
        <v>-45.811016096106158</v>
      </c>
      <c r="S22" s="16">
        <f t="shared" si="10"/>
        <v>314.18898390389381</v>
      </c>
    </row>
    <row r="23" spans="1:19" x14ac:dyDescent="0.45">
      <c r="A23" s="7">
        <v>9.5</v>
      </c>
      <c r="B23" s="11" t="s">
        <v>143</v>
      </c>
      <c r="C23" s="11" t="s">
        <v>144</v>
      </c>
      <c r="D23" s="8">
        <f t="shared" si="3"/>
        <v>-3790.5</v>
      </c>
      <c r="E23" s="8">
        <f t="shared" si="0"/>
        <v>-53.046400068222404</v>
      </c>
      <c r="F23" s="11">
        <v>-5529</v>
      </c>
      <c r="G23" s="11">
        <v>2057</v>
      </c>
      <c r="H23" s="8">
        <f t="shared" si="11"/>
        <v>-3793</v>
      </c>
      <c r="I23" s="8">
        <f t="shared" si="1"/>
        <v>-54.281440358156942</v>
      </c>
      <c r="J23" s="16">
        <f t="shared" si="4"/>
        <v>75.897268248297678</v>
      </c>
      <c r="K23" s="16">
        <f t="shared" si="2"/>
        <v>45.659283488457241</v>
      </c>
      <c r="L23" s="16">
        <f t="shared" si="5"/>
        <v>225.65928348845725</v>
      </c>
      <c r="M23" s="16">
        <f t="shared" si="6"/>
        <v>-53.046400068222397</v>
      </c>
      <c r="N23" s="16">
        <f t="shared" si="7"/>
        <v>-54.281440358156942</v>
      </c>
      <c r="O23" s="16">
        <f>M23-'"0" цикл 24.06'!M22</f>
        <v>679.5683365452503</v>
      </c>
      <c r="P23" s="16">
        <f>N23-'"0" цикл 24.06'!N22</f>
        <v>-680.91919171629388</v>
      </c>
      <c r="Q23" s="16">
        <f t="shared" si="8"/>
        <v>962.01043117133065</v>
      </c>
      <c r="R23" s="16">
        <f t="shared" si="9"/>
        <v>-45.056890102254549</v>
      </c>
      <c r="S23" s="16">
        <f t="shared" si="10"/>
        <v>314.94310989774544</v>
      </c>
    </row>
    <row r="24" spans="1:19" x14ac:dyDescent="0.45">
      <c r="A24" s="7">
        <v>10</v>
      </c>
      <c r="B24" s="11" t="s">
        <v>145</v>
      </c>
      <c r="C24" s="11" t="s">
        <v>146</v>
      </c>
      <c r="D24" s="8">
        <f t="shared" si="3"/>
        <v>-3258.5</v>
      </c>
      <c r="E24" s="8">
        <f t="shared" si="0"/>
        <v>-43.858485937705197</v>
      </c>
      <c r="F24" s="11">
        <v>-4984</v>
      </c>
      <c r="G24" s="11">
        <v>1527</v>
      </c>
      <c r="H24" s="8">
        <f t="shared" si="11"/>
        <v>-3255.5</v>
      </c>
      <c r="I24" s="8">
        <f t="shared" si="1"/>
        <v>-45.087467080559463</v>
      </c>
      <c r="J24" s="16">
        <f t="shared" si="4"/>
        <v>62.900289955519426</v>
      </c>
      <c r="K24" s="16">
        <f t="shared" si="2"/>
        <v>45.791615015753926</v>
      </c>
      <c r="L24" s="16">
        <f t="shared" si="5"/>
        <v>225.79161501575393</v>
      </c>
      <c r="M24" s="16">
        <f t="shared" si="6"/>
        <v>-43.858485937705183</v>
      </c>
      <c r="N24" s="16">
        <f t="shared" si="7"/>
        <v>-45.087467080559485</v>
      </c>
      <c r="O24" s="16">
        <f>M24-'"0" цикл 24.06'!M23</f>
        <v>690.33528621040045</v>
      </c>
      <c r="P24" s="16">
        <f>N24-'"0" цикл 24.06'!N23</f>
        <v>-674.14067200613215</v>
      </c>
      <c r="Q24" s="16">
        <f t="shared" si="8"/>
        <v>964.89815682281983</v>
      </c>
      <c r="R24" s="16">
        <f t="shared" si="9"/>
        <v>-44.320003057981403</v>
      </c>
      <c r="S24" s="16">
        <f t="shared" si="10"/>
        <v>315.67999694201859</v>
      </c>
    </row>
    <row r="25" spans="1:19" x14ac:dyDescent="0.45">
      <c r="A25" s="7">
        <v>10.5</v>
      </c>
      <c r="B25" s="11" t="s">
        <v>147</v>
      </c>
      <c r="C25" s="11" t="s">
        <v>148</v>
      </c>
      <c r="D25" s="8">
        <f t="shared" si="3"/>
        <v>-2736.5</v>
      </c>
      <c r="E25" s="8">
        <f t="shared" si="0"/>
        <v>-35.959987580390411</v>
      </c>
      <c r="F25" s="11">
        <v>-4436</v>
      </c>
      <c r="G25" s="11">
        <v>1003</v>
      </c>
      <c r="H25" s="8">
        <f t="shared" si="11"/>
        <v>-2719.5</v>
      </c>
      <c r="I25" s="8">
        <f t="shared" si="1"/>
        <v>-37.196240021868263</v>
      </c>
      <c r="J25" s="16">
        <f t="shared" si="4"/>
        <v>51.736650244737213</v>
      </c>
      <c r="K25" s="16">
        <f t="shared" si="2"/>
        <v>45.968137755275222</v>
      </c>
      <c r="L25" s="16">
        <f t="shared" si="5"/>
        <v>225.96813775527522</v>
      </c>
      <c r="M25" s="16">
        <f t="shared" si="6"/>
        <v>-35.959987580390418</v>
      </c>
      <c r="N25" s="16">
        <f t="shared" si="7"/>
        <v>-37.196240021868263</v>
      </c>
      <c r="O25" s="16">
        <f>M25-'"0" цикл 24.06'!M24</f>
        <v>697.81902651109135</v>
      </c>
      <c r="P25" s="16">
        <f>N25-'"0" цикл 24.06'!N24</f>
        <v>-667.04078174806762</v>
      </c>
      <c r="Q25" s="16">
        <f t="shared" si="8"/>
        <v>965.34698335674125</v>
      </c>
      <c r="R25" s="16">
        <f t="shared" si="9"/>
        <v>-43.70817157559803</v>
      </c>
      <c r="S25" s="16">
        <f t="shared" si="10"/>
        <v>316.29182842440196</v>
      </c>
    </row>
    <row r="26" spans="1:19" x14ac:dyDescent="0.45">
      <c r="A26" s="7">
        <v>11</v>
      </c>
      <c r="B26" s="11" t="s">
        <v>149</v>
      </c>
      <c r="C26" s="11" t="s">
        <v>150</v>
      </c>
      <c r="D26" s="8">
        <f t="shared" si="3"/>
        <v>-2344.5</v>
      </c>
      <c r="E26" s="8">
        <f t="shared" si="0"/>
        <v>-29.326718981016064</v>
      </c>
      <c r="F26" s="11">
        <v>-4117</v>
      </c>
      <c r="G26" s="11">
        <v>601</v>
      </c>
      <c r="H26" s="8">
        <f t="shared" si="11"/>
        <v>-2359</v>
      </c>
      <c r="I26" s="8">
        <f t="shared" si="1"/>
        <v>-30.604176981284045</v>
      </c>
      <c r="J26" s="16">
        <f t="shared" si="4"/>
        <v>42.387168988896207</v>
      </c>
      <c r="K26" s="16">
        <f t="shared" si="2"/>
        <v>46.221104217842246</v>
      </c>
      <c r="L26" s="16">
        <f t="shared" si="5"/>
        <v>226.22110421784225</v>
      </c>
      <c r="M26" s="16">
        <f t="shared" si="6"/>
        <v>-29.326718981016064</v>
      </c>
      <c r="N26" s="16">
        <f t="shared" si="7"/>
        <v>-30.604176981284049</v>
      </c>
      <c r="O26" s="16">
        <f>M26-'"0" цикл 24.06'!M25</f>
        <v>704.79214947475486</v>
      </c>
      <c r="P26" s="16">
        <f>N26-'"0" цикл 24.06'!N25</f>
        <v>-661.94739675514745</v>
      </c>
      <c r="Q26" s="16">
        <f t="shared" si="8"/>
        <v>966.90554349024274</v>
      </c>
      <c r="R26" s="16">
        <f t="shared" si="9"/>
        <v>-43.204471464853398</v>
      </c>
      <c r="S26" s="16">
        <f t="shared" si="10"/>
        <v>316.79552853514662</v>
      </c>
    </row>
    <row r="27" spans="1:19" x14ac:dyDescent="0.45">
      <c r="A27" s="7">
        <v>11.5</v>
      </c>
      <c r="B27" s="11" t="s">
        <v>151</v>
      </c>
      <c r="C27" s="11" t="s">
        <v>152</v>
      </c>
      <c r="D27" s="8">
        <f t="shared" si="3"/>
        <v>-2394.5</v>
      </c>
      <c r="E27" s="8">
        <f t="shared" si="0"/>
        <v>-23.643612978802462</v>
      </c>
      <c r="F27" s="11">
        <v>-4106</v>
      </c>
      <c r="G27" s="11">
        <v>670</v>
      </c>
      <c r="H27" s="8">
        <f t="shared" si="11"/>
        <v>-2388</v>
      </c>
      <c r="I27" s="8">
        <f t="shared" si="1"/>
        <v>-24.88592427179745</v>
      </c>
      <c r="J27" s="16">
        <f t="shared" si="4"/>
        <v>34.326806748560713</v>
      </c>
      <c r="K27" s="16">
        <f t="shared" si="2"/>
        <v>46.466398730814802</v>
      </c>
      <c r="L27" s="16">
        <f t="shared" si="5"/>
        <v>226.4663987308148</v>
      </c>
      <c r="M27" s="16">
        <f t="shared" si="6"/>
        <v>-23.643612978802452</v>
      </c>
      <c r="N27" s="16">
        <f t="shared" si="7"/>
        <v>-24.885924271797453</v>
      </c>
      <c r="O27" s="16">
        <f>M27-'"0" цикл 24.06'!M26</f>
        <v>711.88036487880231</v>
      </c>
      <c r="P27" s="16">
        <f>N27-'"0" цикл 24.06'!N26</f>
        <v>-658.63162899764666</v>
      </c>
      <c r="Q27" s="16">
        <f t="shared" si="8"/>
        <v>969.82950904582731</v>
      </c>
      <c r="R27" s="16">
        <f t="shared" si="9"/>
        <v>-42.774996470065702</v>
      </c>
      <c r="S27" s="16">
        <f t="shared" si="10"/>
        <v>317.22500352993427</v>
      </c>
    </row>
    <row r="28" spans="1:19" x14ac:dyDescent="0.45">
      <c r="A28" s="7">
        <v>12</v>
      </c>
      <c r="B28" s="11" t="s">
        <v>153</v>
      </c>
      <c r="C28" s="11" t="s">
        <v>154</v>
      </c>
      <c r="D28" s="8">
        <f t="shared" si="3"/>
        <v>-2150</v>
      </c>
      <c r="E28" s="8">
        <f t="shared" si="0"/>
        <v>-17.839311553905922</v>
      </c>
      <c r="F28" s="11">
        <v>-3862</v>
      </c>
      <c r="G28" s="11">
        <v>414</v>
      </c>
      <c r="H28" s="8">
        <f t="shared" si="11"/>
        <v>-2138</v>
      </c>
      <c r="I28" s="8">
        <f t="shared" si="1"/>
        <v>-19.097378232714043</v>
      </c>
      <c r="J28" s="16">
        <f t="shared" si="4"/>
        <v>26.133329142699395</v>
      </c>
      <c r="K28" s="16">
        <f t="shared" si="2"/>
        <v>46.950744829290834</v>
      </c>
      <c r="L28" s="16">
        <f t="shared" si="5"/>
        <v>226.95074482929084</v>
      </c>
      <c r="M28" s="16">
        <f t="shared" si="6"/>
        <v>-17.839311553905919</v>
      </c>
      <c r="N28" s="16">
        <f t="shared" si="7"/>
        <v>-19.097378232714046</v>
      </c>
      <c r="O28" s="16">
        <f>M28-'"0" цикл 24.06'!M27</f>
        <v>720.05115424921905</v>
      </c>
      <c r="P28" s="16">
        <f>N28-'"0" цикл 24.06'!N27</f>
        <v>-656.22220859235961</v>
      </c>
      <c r="Q28" s="16">
        <f t="shared" si="8"/>
        <v>974.21827727951552</v>
      </c>
      <c r="R28" s="16">
        <f t="shared" si="9"/>
        <v>-42.344633268287815</v>
      </c>
      <c r="S28" s="16">
        <f t="shared" si="10"/>
        <v>317.65536673171221</v>
      </c>
    </row>
    <row r="29" spans="1:19" x14ac:dyDescent="0.45">
      <c r="A29" s="7">
        <v>12.5</v>
      </c>
      <c r="B29" s="11" t="s">
        <v>155</v>
      </c>
      <c r="C29" s="11" t="s">
        <v>156</v>
      </c>
      <c r="D29" s="8">
        <f t="shared" si="3"/>
        <v>-2247</v>
      </c>
      <c r="E29" s="8">
        <f t="shared" si="0"/>
        <v>-12.627658856850251</v>
      </c>
      <c r="F29" s="11">
        <v>-3978</v>
      </c>
      <c r="G29" s="11">
        <v>515</v>
      </c>
      <c r="H29" s="8">
        <f t="shared" si="11"/>
        <v>-2246.5</v>
      </c>
      <c r="I29" s="8">
        <f t="shared" si="1"/>
        <v>-13.914812785103628</v>
      </c>
      <c r="J29" s="16">
        <f t="shared" si="4"/>
        <v>18.790417319726348</v>
      </c>
      <c r="K29" s="16">
        <f t="shared" si="2"/>
        <v>47.776333687031688</v>
      </c>
      <c r="L29" s="16">
        <f t="shared" si="5"/>
        <v>227.77633368703169</v>
      </c>
      <c r="M29" s="16">
        <f t="shared" si="6"/>
        <v>-12.627658856850246</v>
      </c>
      <c r="N29" s="16">
        <f t="shared" si="7"/>
        <v>-13.914812785103631</v>
      </c>
      <c r="O29" s="16">
        <f>M29-'"0" цикл 24.06'!M28</f>
        <v>728.74349865630256</v>
      </c>
      <c r="P29" s="16">
        <f>N29-'"0" цикл 24.06'!N28</f>
        <v>-655.5311390849588</v>
      </c>
      <c r="Q29" s="16">
        <f t="shared" si="8"/>
        <v>980.19802139356113</v>
      </c>
      <c r="R29" s="16">
        <f t="shared" si="9"/>
        <v>-41.972526658968064</v>
      </c>
      <c r="S29" s="16">
        <f t="shared" si="10"/>
        <v>318.02747334103196</v>
      </c>
    </row>
    <row r="30" spans="1:19" x14ac:dyDescent="0.45">
      <c r="A30" s="7">
        <v>13</v>
      </c>
      <c r="B30" s="11" t="s">
        <v>157</v>
      </c>
      <c r="C30" s="11" t="s">
        <v>158</v>
      </c>
      <c r="D30" s="8">
        <f t="shared" si="3"/>
        <v>-1825.5</v>
      </c>
      <c r="E30" s="8">
        <f t="shared" si="0"/>
        <v>-7.1808848828924772</v>
      </c>
      <c r="F30" s="11">
        <v>-3529</v>
      </c>
      <c r="G30" s="11">
        <v>85</v>
      </c>
      <c r="H30" s="8">
        <f t="shared" si="11"/>
        <v>-1807</v>
      </c>
      <c r="I30" s="8">
        <f t="shared" si="1"/>
        <v>-8.4692507734468183</v>
      </c>
      <c r="J30" s="16">
        <f t="shared" si="4"/>
        <v>11.103752355167293</v>
      </c>
      <c r="K30" s="16">
        <f t="shared" si="2"/>
        <v>49.706147467571661</v>
      </c>
      <c r="L30" s="16">
        <f t="shared" si="5"/>
        <v>229.70614746757167</v>
      </c>
      <c r="M30" s="16">
        <f t="shared" si="6"/>
        <v>-7.1808848828924727</v>
      </c>
      <c r="N30" s="16">
        <f t="shared" si="7"/>
        <v>-8.4692507734468201</v>
      </c>
      <c r="O30" s="16">
        <f>M30-'"0" цикл 24.06'!M29</f>
        <v>738.53148219265722</v>
      </c>
      <c r="P30" s="16">
        <f>N30-'"0" цикл 24.06'!N29</f>
        <v>-655.6543954858663</v>
      </c>
      <c r="Q30" s="16">
        <f t="shared" si="8"/>
        <v>987.57857232203048</v>
      </c>
      <c r="R30" s="16">
        <f t="shared" si="9"/>
        <v>-41.598067767252637</v>
      </c>
      <c r="S30" s="16">
        <f t="shared" si="10"/>
        <v>318.40193223274736</v>
      </c>
    </row>
    <row r="31" spans="1:19" x14ac:dyDescent="0.45">
      <c r="A31" s="7">
        <v>13.5</v>
      </c>
      <c r="B31" s="11" t="s">
        <v>159</v>
      </c>
      <c r="C31" s="11" t="s">
        <v>160</v>
      </c>
      <c r="D31" s="8">
        <f t="shared" si="3"/>
        <v>-1092</v>
      </c>
      <c r="E31" s="8">
        <f t="shared" si="0"/>
        <v>-2.755805776543033</v>
      </c>
      <c r="F31" s="11">
        <v>-2796</v>
      </c>
      <c r="G31" s="11">
        <v>-647</v>
      </c>
      <c r="H31" s="8">
        <f t="shared" si="11"/>
        <v>-1074.5</v>
      </c>
      <c r="I31" s="8">
        <f t="shared" si="1"/>
        <v>-4.0890151940445794</v>
      </c>
      <c r="J31" s="16">
        <f t="shared" si="4"/>
        <v>4.930974623252018</v>
      </c>
      <c r="K31" s="16">
        <f t="shared" si="2"/>
        <v>56.021865085068292</v>
      </c>
      <c r="L31" s="16">
        <f t="shared" si="5"/>
        <v>236.0218650850683</v>
      </c>
      <c r="M31" s="16">
        <f t="shared" si="6"/>
        <v>-2.7558057765430344</v>
      </c>
      <c r="N31" s="16">
        <f t="shared" si="7"/>
        <v>-4.0890151940445785</v>
      </c>
      <c r="O31" s="16">
        <f>M31-'"0" цикл 24.06'!M30</f>
        <v>745.6339320579458</v>
      </c>
      <c r="P31" s="16">
        <f>N31-'"0" цикл 24.06'!N30</f>
        <v>-655.00525136829094</v>
      </c>
      <c r="Q31" s="16">
        <f t="shared" si="8"/>
        <v>992.47258902008537</v>
      </c>
      <c r="R31" s="16">
        <f t="shared" si="9"/>
        <v>-41.297824360738929</v>
      </c>
      <c r="S31" s="16">
        <f t="shared" si="10"/>
        <v>318.7021756392611</v>
      </c>
    </row>
    <row r="32" spans="1:19" x14ac:dyDescent="0.45">
      <c r="A32" s="7">
        <v>14</v>
      </c>
      <c r="B32" s="11" t="s">
        <v>161</v>
      </c>
      <c r="C32" s="11" t="s">
        <v>162</v>
      </c>
      <c r="D32" s="8">
        <f t="shared" si="3"/>
        <v>-441.5</v>
      </c>
      <c r="E32" s="8">
        <f t="shared" si="0"/>
        <v>-0.10873544315589911</v>
      </c>
      <c r="F32" s="11">
        <v>-2167</v>
      </c>
      <c r="G32" s="11">
        <v>-1278</v>
      </c>
      <c r="H32" s="8">
        <f t="shared" si="11"/>
        <v>-444.5</v>
      </c>
      <c r="I32" s="8">
        <f t="shared" si="1"/>
        <v>-1.4843654727375122</v>
      </c>
      <c r="J32" s="16">
        <f t="shared" si="4"/>
        <v>1.4883427875504918</v>
      </c>
      <c r="K32" s="16">
        <f t="shared" si="2"/>
        <v>85.810348570527722</v>
      </c>
      <c r="L32" s="16">
        <f t="shared" si="5"/>
        <v>265.81034857052771</v>
      </c>
      <c r="M32" s="16">
        <f t="shared" si="6"/>
        <v>-0.1087354431559022</v>
      </c>
      <c r="N32" s="16">
        <f t="shared" si="7"/>
        <v>-1.4843654727375122</v>
      </c>
      <c r="O32" s="16">
        <f>M32-'"0" цикл 24.06'!M31</f>
        <v>750.26327913713294</v>
      </c>
      <c r="P32" s="16">
        <f>N32-'"0" цикл 24.06'!N31</f>
        <v>-655.31637580224344</v>
      </c>
      <c r="Q32" s="16">
        <f t="shared" si="8"/>
        <v>996.15989701261844</v>
      </c>
      <c r="R32" s="16">
        <f t="shared" si="9"/>
        <v>-41.135540900038315</v>
      </c>
      <c r="S32" s="16">
        <f t="shared" si="10"/>
        <v>318.86445909996166</v>
      </c>
    </row>
    <row r="33" spans="1:19" x14ac:dyDescent="0.45">
      <c r="A33" s="7">
        <v>14.5</v>
      </c>
      <c r="B33" s="11" t="s">
        <v>163</v>
      </c>
      <c r="C33" s="11" t="s">
        <v>164</v>
      </c>
      <c r="D33" s="8">
        <f t="shared" si="3"/>
        <v>-644.5</v>
      </c>
      <c r="E33" s="8">
        <f t="shared" si="0"/>
        <v>0.96148994068019089</v>
      </c>
      <c r="F33" s="11">
        <v>-2401</v>
      </c>
      <c r="G33" s="11">
        <v>-1116</v>
      </c>
      <c r="H33" s="8">
        <f t="shared" si="11"/>
        <v>-642.5</v>
      </c>
      <c r="I33" s="8">
        <f t="shared" si="1"/>
        <v>-0.40686790045716359</v>
      </c>
      <c r="J33" s="16">
        <f t="shared" si="4"/>
        <v>1.0440327554495679</v>
      </c>
      <c r="K33" s="16">
        <f t="shared" si="2"/>
        <v>157.06366945794642</v>
      </c>
      <c r="L33" s="16">
        <f t="shared" si="5"/>
        <v>337.06366945794639</v>
      </c>
      <c r="M33" s="16">
        <f t="shared" si="6"/>
        <v>0.96148994068019078</v>
      </c>
      <c r="N33" s="16">
        <f t="shared" si="7"/>
        <v>-0.4068679004571637</v>
      </c>
      <c r="O33" s="16">
        <f>M33-'"0" цикл 24.06'!M32</f>
        <v>752.22277354672099</v>
      </c>
      <c r="P33" s="16">
        <f>N33-'"0" цикл 24.06'!N32</f>
        <v>-656.22515465713548</v>
      </c>
      <c r="Q33" s="16">
        <f t="shared" si="8"/>
        <v>998.23371744652206</v>
      </c>
      <c r="R33" s="16">
        <f t="shared" si="9"/>
        <v>-41.100839318939336</v>
      </c>
      <c r="S33" s="16">
        <f t="shared" si="10"/>
        <v>318.89916068106066</v>
      </c>
    </row>
    <row r="34" spans="1:19" x14ac:dyDescent="0.45">
      <c r="A34" s="7">
        <v>15</v>
      </c>
      <c r="B34" s="11" t="s">
        <v>165</v>
      </c>
      <c r="C34" s="11" t="s">
        <v>166</v>
      </c>
      <c r="D34" s="8">
        <f t="shared" si="3"/>
        <v>-879</v>
      </c>
      <c r="E34" s="8">
        <f t="shared" si="0"/>
        <v>2.523799485842833</v>
      </c>
      <c r="F34" s="11">
        <v>-2618</v>
      </c>
      <c r="G34" s="11">
        <v>-851</v>
      </c>
      <c r="H34" s="8">
        <f t="shared" si="11"/>
        <v>-883.5</v>
      </c>
      <c r="I34" s="8">
        <f t="shared" si="1"/>
        <v>1.1505935314878468</v>
      </c>
      <c r="J34" s="16">
        <f t="shared" si="4"/>
        <v>2.7737031779630321</v>
      </c>
      <c r="K34" s="16">
        <f t="shared" si="2"/>
        <v>204.50811728000249</v>
      </c>
      <c r="L34" s="16">
        <f t="shared" si="5"/>
        <v>24.508117280002466</v>
      </c>
      <c r="M34" s="16">
        <f t="shared" si="6"/>
        <v>2.5237994858428339</v>
      </c>
      <c r="N34" s="16">
        <f t="shared" si="7"/>
        <v>1.1505935314878453</v>
      </c>
      <c r="O34" s="16">
        <f>M34-'"0" цикл 24.06'!M33</f>
        <v>753.96058564084126</v>
      </c>
      <c r="P34" s="16">
        <f>N34-'"0" цикл 24.06'!N33</f>
        <v>-655.78264256431567</v>
      </c>
      <c r="Q34" s="16">
        <f t="shared" si="8"/>
        <v>999.25344081895321</v>
      </c>
      <c r="R34" s="16">
        <f t="shared" si="9"/>
        <v>-41.016214961015407</v>
      </c>
      <c r="S34" s="16">
        <f t="shared" si="10"/>
        <v>318.98378503898459</v>
      </c>
    </row>
    <row r="35" spans="1:19" x14ac:dyDescent="0.45">
      <c r="A35" s="7">
        <v>15.5</v>
      </c>
      <c r="B35" s="11" t="s">
        <v>167</v>
      </c>
      <c r="C35" s="11" t="s">
        <v>168</v>
      </c>
      <c r="D35" s="8">
        <f t="shared" si="3"/>
        <v>-1253.5</v>
      </c>
      <c r="E35" s="8">
        <f t="shared" si="0"/>
        <v>4.6545491650637052</v>
      </c>
      <c r="F35" s="11">
        <v>-2997</v>
      </c>
      <c r="G35" s="11">
        <v>-480</v>
      </c>
      <c r="H35" s="8">
        <f t="shared" si="11"/>
        <v>-1258.5</v>
      </c>
      <c r="I35" s="8">
        <f t="shared" si="1"/>
        <v>3.2922514189757979</v>
      </c>
      <c r="J35" s="16">
        <f t="shared" si="4"/>
        <v>5.7012057791087827</v>
      </c>
      <c r="K35" s="16">
        <f t="shared" si="2"/>
        <v>215.27249797146291</v>
      </c>
      <c r="L35" s="16">
        <f t="shared" si="5"/>
        <v>35.27249797146294</v>
      </c>
      <c r="M35" s="16">
        <f t="shared" si="6"/>
        <v>4.6545491650637025</v>
      </c>
      <c r="N35" s="16">
        <f t="shared" si="7"/>
        <v>3.292251418975801</v>
      </c>
      <c r="O35" s="16">
        <f>M35-'"0" цикл 24.06'!M34</f>
        <v>755.38156832929087</v>
      </c>
      <c r="P35" s="16">
        <f>N35-'"0" цикл 24.06'!N34</f>
        <v>-653.90157201862701</v>
      </c>
      <c r="Q35" s="16">
        <f t="shared" si="8"/>
        <v>999.09387930266632</v>
      </c>
      <c r="R35" s="16">
        <f t="shared" si="9"/>
        <v>-40.881340706418065</v>
      </c>
      <c r="S35" s="16">
        <f t="shared" si="10"/>
        <v>319.11865929358191</v>
      </c>
    </row>
    <row r="36" spans="1:19" x14ac:dyDescent="0.45">
      <c r="A36" s="7">
        <v>16</v>
      </c>
      <c r="B36" s="11" t="s">
        <v>169</v>
      </c>
      <c r="C36" s="11" t="s">
        <v>170</v>
      </c>
      <c r="D36" s="8">
        <f t="shared" si="3"/>
        <v>-1546.5</v>
      </c>
      <c r="E36" s="8">
        <f t="shared" si="0"/>
        <v>7.6931002082328206</v>
      </c>
      <c r="F36" s="11">
        <v>-3257</v>
      </c>
      <c r="G36" s="11">
        <v>-195</v>
      </c>
      <c r="H36" s="8">
        <f t="shared" si="11"/>
        <v>-1531</v>
      </c>
      <c r="I36" s="8">
        <f t="shared" si="1"/>
        <v>6.3429225794674515</v>
      </c>
      <c r="J36" s="16">
        <f t="shared" si="4"/>
        <v>9.9707801932963047</v>
      </c>
      <c r="K36" s="16">
        <f t="shared" si="2"/>
        <v>219.50541022898531</v>
      </c>
      <c r="L36" s="16">
        <f t="shared" si="5"/>
        <v>39.505410228985284</v>
      </c>
      <c r="M36" s="16">
        <f t="shared" si="6"/>
        <v>7.6931002082328233</v>
      </c>
      <c r="N36" s="16">
        <f t="shared" si="7"/>
        <v>6.3429225794674471</v>
      </c>
      <c r="O36" s="16">
        <f>M36-'"0" цикл 24.06'!M35</f>
        <v>757.95966764390812</v>
      </c>
      <c r="P36" s="16">
        <f>N36-'"0" цикл 24.06'!N35</f>
        <v>-651.25559903425392</v>
      </c>
      <c r="Q36" s="16">
        <f t="shared" si="8"/>
        <v>999.31812404675645</v>
      </c>
      <c r="R36" s="16">
        <f t="shared" si="9"/>
        <v>-40.669895854207589</v>
      </c>
      <c r="S36" s="16">
        <f t="shared" si="10"/>
        <v>319.3301041457924</v>
      </c>
    </row>
    <row r="37" spans="1:19" x14ac:dyDescent="0.45">
      <c r="A37" s="7">
        <v>16.5</v>
      </c>
      <c r="B37" s="11" t="s">
        <v>171</v>
      </c>
      <c r="C37" s="11" t="s">
        <v>172</v>
      </c>
      <c r="D37" s="8">
        <f t="shared" si="3"/>
        <v>-2229</v>
      </c>
      <c r="E37" s="8">
        <f t="shared" si="0"/>
        <v>11.441886874387798</v>
      </c>
      <c r="F37" s="11">
        <v>-3964</v>
      </c>
      <c r="G37" s="11">
        <v>513</v>
      </c>
      <c r="H37" s="8">
        <f t="shared" si="11"/>
        <v>-2238.5</v>
      </c>
      <c r="I37" s="8">
        <f t="shared" si="1"/>
        <v>10.054137230860658</v>
      </c>
      <c r="J37" s="16">
        <f t="shared" si="4"/>
        <v>15.231626659791337</v>
      </c>
      <c r="K37" s="16">
        <f t="shared" si="2"/>
        <v>221.30620019761295</v>
      </c>
      <c r="L37" s="16">
        <f t="shared" si="5"/>
        <v>41.306200197612952</v>
      </c>
      <c r="M37" s="16">
        <f t="shared" si="6"/>
        <v>11.441886874387796</v>
      </c>
      <c r="N37" s="16">
        <f t="shared" si="7"/>
        <v>10.054137230860659</v>
      </c>
      <c r="O37" s="16">
        <f>M37-'"0" цикл 24.06'!M36</f>
        <v>761.95001271727949</v>
      </c>
      <c r="P37" s="16">
        <f>N37-'"0" цикл 24.06'!N36</f>
        <v>-649.11942022451933</v>
      </c>
      <c r="Q37" s="16">
        <f t="shared" si="8"/>
        <v>1000.9614595939638</v>
      </c>
      <c r="R37" s="16">
        <f t="shared" si="9"/>
        <v>-40.428296265581096</v>
      </c>
      <c r="S37" s="16">
        <f t="shared" si="10"/>
        <v>319.57170373441892</v>
      </c>
    </row>
    <row r="38" spans="1:19" x14ac:dyDescent="0.45">
      <c r="A38" s="7">
        <v>17</v>
      </c>
      <c r="B38" s="11" t="s">
        <v>173</v>
      </c>
      <c r="C38" s="11" t="s">
        <v>174</v>
      </c>
      <c r="D38" s="8">
        <f t="shared" si="3"/>
        <v>-2590.5</v>
      </c>
      <c r="E38" s="8">
        <f t="shared" si="0"/>
        <v>16.845030185402528</v>
      </c>
      <c r="F38" s="11">
        <v>-3977</v>
      </c>
      <c r="G38" s="11">
        <v>1114</v>
      </c>
      <c r="H38" s="8">
        <f t="shared" si="11"/>
        <v>-2545.5</v>
      </c>
      <c r="I38" s="8">
        <f t="shared" si="1"/>
        <v>15.480307841355062</v>
      </c>
      <c r="J38" s="16">
        <f t="shared" si="4"/>
        <v>22.877827099841483</v>
      </c>
      <c r="K38" s="16">
        <f t="shared" si="2"/>
        <v>222.58250251244323</v>
      </c>
      <c r="L38" s="16">
        <f t="shared" si="5"/>
        <v>42.582502512443227</v>
      </c>
      <c r="M38" s="16">
        <f t="shared" si="6"/>
        <v>16.845030185402525</v>
      </c>
      <c r="N38" s="16">
        <f t="shared" si="7"/>
        <v>15.480307841355064</v>
      </c>
      <c r="O38" s="16">
        <f>M38-'"0" цикл 24.06'!M37</f>
        <v>768.08558803508492</v>
      </c>
      <c r="P38" s="16">
        <f>N38-'"0" цикл 24.06'!N37</f>
        <v>-645.46027060004053</v>
      </c>
      <c r="Q38" s="16">
        <f t="shared" si="8"/>
        <v>1003.2818305293282</v>
      </c>
      <c r="R38" s="16">
        <f t="shared" si="9"/>
        <v>-40.041994886063925</v>
      </c>
      <c r="S38" s="16">
        <f t="shared" si="10"/>
        <v>319.95800511393605</v>
      </c>
    </row>
    <row r="39" spans="1:19" x14ac:dyDescent="0.45">
      <c r="A39" s="7">
        <v>17.5</v>
      </c>
      <c r="B39" s="11" t="s">
        <v>175</v>
      </c>
      <c r="C39" s="11" t="s">
        <v>176</v>
      </c>
      <c r="D39" s="8">
        <f t="shared" si="3"/>
        <v>-2458</v>
      </c>
      <c r="E39" s="8">
        <f t="shared" si="0"/>
        <v>23.124414311395782</v>
      </c>
      <c r="F39" s="11">
        <v>-4542</v>
      </c>
      <c r="G39" s="11">
        <v>532</v>
      </c>
      <c r="H39" s="8">
        <f t="shared" si="11"/>
        <v>-2537</v>
      </c>
      <c r="I39" s="8">
        <f t="shared" si="1"/>
        <v>21.650617343301523</v>
      </c>
      <c r="J39" s="16">
        <f t="shared" si="4"/>
        <v>31.677875064327701</v>
      </c>
      <c r="K39" s="16">
        <f t="shared" si="2"/>
        <v>223.11475577250411</v>
      </c>
      <c r="L39" s="16">
        <f t="shared" si="5"/>
        <v>43.114755772504111</v>
      </c>
      <c r="M39" s="16">
        <f t="shared" si="6"/>
        <v>23.124414311395775</v>
      </c>
      <c r="N39" s="16">
        <f t="shared" si="7"/>
        <v>21.65061734330153</v>
      </c>
      <c r="O39" s="16">
        <f>M39-'"0" цикл 24.06'!M38</f>
        <v>774.30764294341225</v>
      </c>
      <c r="P39" s="16">
        <f>N39-'"0" цикл 24.06'!N38</f>
        <v>-640.19813782686515</v>
      </c>
      <c r="Q39" s="16">
        <f t="shared" si="8"/>
        <v>1004.6919834444627</v>
      </c>
      <c r="R39" s="16">
        <f t="shared" si="9"/>
        <v>-39.583968010810729</v>
      </c>
      <c r="S39" s="16">
        <f t="shared" si="10"/>
        <v>320.41603198918926</v>
      </c>
    </row>
    <row r="40" spans="1:19" x14ac:dyDescent="0.45">
      <c r="A40" s="7">
        <v>18</v>
      </c>
      <c r="B40" s="11" t="s">
        <v>167</v>
      </c>
      <c r="C40" s="11" t="s">
        <v>177</v>
      </c>
      <c r="D40" s="8">
        <f t="shared" si="3"/>
        <v>-1256.5</v>
      </c>
      <c r="E40" s="8">
        <f t="shared" si="0"/>
        <v>29.082633430544753</v>
      </c>
      <c r="F40" s="11">
        <v>-3074</v>
      </c>
      <c r="G40" s="11">
        <v>-370</v>
      </c>
      <c r="H40" s="8">
        <f t="shared" si="11"/>
        <v>-1352</v>
      </c>
      <c r="I40" s="8">
        <f t="shared" si="1"/>
        <v>27.800323827572097</v>
      </c>
      <c r="J40" s="16">
        <f t="shared" si="4"/>
        <v>40.232543695040114</v>
      </c>
      <c r="K40" s="16">
        <f t="shared" si="2"/>
        <v>223.70860289237987</v>
      </c>
      <c r="L40" s="16">
        <f t="shared" si="5"/>
        <v>43.708602892379872</v>
      </c>
      <c r="M40" s="16">
        <f t="shared" si="6"/>
        <v>29.082633430544757</v>
      </c>
      <c r="N40" s="16">
        <f t="shared" si="7"/>
        <v>27.800323827572093</v>
      </c>
      <c r="O40" s="16">
        <f>M40-'"0" цикл 24.06'!M39</f>
        <v>778.96753248358243</v>
      </c>
      <c r="P40" s="16">
        <f>N40-'"0" цикл 24.06'!N39</f>
        <v>-633.74930131919359</v>
      </c>
      <c r="Q40" s="16">
        <f t="shared" si="8"/>
        <v>1004.2054538719291</v>
      </c>
      <c r="R40" s="16">
        <f t="shared" si="9"/>
        <v>-39.13097508637992</v>
      </c>
      <c r="S40" s="16">
        <f t="shared" si="10"/>
        <v>320.86902491362008</v>
      </c>
    </row>
    <row r="41" spans="1:19" x14ac:dyDescent="0.45">
      <c r="A41" s="7">
        <v>18.5</v>
      </c>
      <c r="B41" s="11" t="s">
        <v>178</v>
      </c>
      <c r="C41" s="11" t="s">
        <v>179</v>
      </c>
      <c r="D41" s="8">
        <f t="shared" si="3"/>
        <v>-46</v>
      </c>
      <c r="E41" s="8">
        <f t="shared" si="0"/>
        <v>32.128456544322106</v>
      </c>
      <c r="F41" s="11">
        <v>-1529</v>
      </c>
      <c r="G41" s="11">
        <v>-1464</v>
      </c>
      <c r="H41" s="8">
        <f t="shared" si="11"/>
        <v>-32.5</v>
      </c>
      <c r="I41" s="8">
        <f t="shared" si="1"/>
        <v>31.077640844066188</v>
      </c>
      <c r="J41" s="16">
        <f t="shared" si="4"/>
        <v>44.699636244081056</v>
      </c>
      <c r="K41" s="16">
        <f t="shared" si="2"/>
        <v>224.04753242147299</v>
      </c>
      <c r="L41" s="16">
        <f t="shared" si="5"/>
        <v>44.047532421472965</v>
      </c>
      <c r="M41" s="16">
        <f t="shared" si="6"/>
        <v>32.128456544322113</v>
      </c>
      <c r="N41" s="16">
        <f t="shared" si="7"/>
        <v>31.077640844066174</v>
      </c>
      <c r="O41" s="16">
        <f>M41-'"0" цикл 24.06'!M40</f>
        <v>778.78985176231606</v>
      </c>
      <c r="P41" s="16">
        <f>N41-'"0" цикл 24.06'!N40</f>
        <v>-628.13761490866273</v>
      </c>
      <c r="Q41" s="16">
        <f t="shared" si="8"/>
        <v>1000.5351050668405</v>
      </c>
      <c r="R41" s="16">
        <f t="shared" si="9"/>
        <v>-38.88811969192939</v>
      </c>
      <c r="S41" s="16">
        <f t="shared" si="10"/>
        <v>321.11188030807062</v>
      </c>
    </row>
    <row r="42" spans="1:19" x14ac:dyDescent="0.45">
      <c r="A42" s="7">
        <v>19</v>
      </c>
      <c r="B42" s="11" t="s">
        <v>180</v>
      </c>
      <c r="C42" s="11" t="s">
        <v>181</v>
      </c>
      <c r="D42" s="8">
        <f t="shared" si="3"/>
        <v>391</v>
      </c>
      <c r="E42" s="8">
        <f t="shared" si="0"/>
        <v>32.239963690052988</v>
      </c>
      <c r="F42" s="11">
        <v>-803</v>
      </c>
      <c r="G42" s="11">
        <v>-1810</v>
      </c>
      <c r="H42" s="8">
        <f t="shared" si="11"/>
        <v>503.5</v>
      </c>
      <c r="I42" s="8">
        <f t="shared" si="1"/>
        <v>31.156423066920507</v>
      </c>
      <c r="J42" s="16">
        <f t="shared" si="4"/>
        <v>44.834562081734127</v>
      </c>
      <c r="K42" s="16">
        <f t="shared" si="2"/>
        <v>224.02082336692882</v>
      </c>
      <c r="L42" s="16">
        <f t="shared" si="5"/>
        <v>44.020823366928823</v>
      </c>
      <c r="M42" s="16">
        <f t="shared" si="6"/>
        <v>32.239963690052996</v>
      </c>
      <c r="N42" s="16">
        <f t="shared" si="7"/>
        <v>31.156423066920503</v>
      </c>
      <c r="O42" s="16">
        <f>M42-'"0" цикл 24.06'!M41</f>
        <v>774.33544712045625</v>
      </c>
      <c r="P42" s="16">
        <f>N42-'"0" цикл 24.06'!N41</f>
        <v>-624.52408558061791</v>
      </c>
      <c r="Q42" s="16">
        <f t="shared" si="8"/>
        <v>994.79933561374264</v>
      </c>
      <c r="R42" s="16">
        <f t="shared" si="9"/>
        <v>-38.887187097232434</v>
      </c>
      <c r="S42" s="16">
        <f t="shared" si="10"/>
        <v>321.11281290276759</v>
      </c>
    </row>
    <row r="43" spans="1:19" x14ac:dyDescent="0.45">
      <c r="A43" s="7">
        <v>19.5</v>
      </c>
      <c r="B43" s="11" t="s">
        <v>182</v>
      </c>
      <c r="C43" s="11" t="s">
        <v>183</v>
      </c>
      <c r="D43" s="8">
        <f t="shared" si="3"/>
        <v>726.5</v>
      </c>
      <c r="E43" s="8">
        <f t="shared" si="0"/>
        <v>31.292153511124571</v>
      </c>
      <c r="F43" s="11">
        <v>-900</v>
      </c>
      <c r="G43" s="11">
        <v>-2345</v>
      </c>
      <c r="H43" s="8">
        <f t="shared" si="11"/>
        <v>722.5</v>
      </c>
      <c r="I43" s="8">
        <f t="shared" si="1"/>
        <v>29.935905836836177</v>
      </c>
      <c r="J43" s="16">
        <f t="shared" si="4"/>
        <v>43.305396079884872</v>
      </c>
      <c r="K43" s="16">
        <f t="shared" si="2"/>
        <v>223.73106279861994</v>
      </c>
      <c r="L43" s="16">
        <f t="shared" si="5"/>
        <v>43.731062798619973</v>
      </c>
      <c r="M43" s="16">
        <f t="shared" si="6"/>
        <v>31.292153511124553</v>
      </c>
      <c r="N43" s="16">
        <f t="shared" si="7"/>
        <v>29.935905836836195</v>
      </c>
      <c r="O43" s="16">
        <f>M43-'"0" цикл 24.06'!M42</f>
        <v>771.53565291439395</v>
      </c>
      <c r="P43" s="16">
        <f>N43-'"0" цикл 24.06'!N42</f>
        <v>-625.0754389271101</v>
      </c>
      <c r="Q43" s="16">
        <f t="shared" si="8"/>
        <v>992.96856348424217</v>
      </c>
      <c r="R43" s="16">
        <f t="shared" si="9"/>
        <v>-39.013371410089462</v>
      </c>
      <c r="S43" s="16">
        <f t="shared" si="10"/>
        <v>320.98662858991054</v>
      </c>
    </row>
    <row r="44" spans="1:19" x14ac:dyDescent="0.45">
      <c r="A44" s="7">
        <v>20</v>
      </c>
      <c r="B44" s="11" t="s">
        <v>184</v>
      </c>
      <c r="C44" s="11" t="s">
        <v>185</v>
      </c>
      <c r="D44" s="8">
        <f t="shared" si="3"/>
        <v>1107.5</v>
      </c>
      <c r="E44" s="8">
        <f t="shared" si="0"/>
        <v>29.531071455739514</v>
      </c>
      <c r="F44" s="11">
        <v>-548</v>
      </c>
      <c r="G44" s="11">
        <v>-2662</v>
      </c>
      <c r="H44" s="8">
        <f t="shared" si="11"/>
        <v>1057</v>
      </c>
      <c r="I44" s="8">
        <f t="shared" si="1"/>
        <v>28.184519995259421</v>
      </c>
      <c r="J44" s="16">
        <f t="shared" si="4"/>
        <v>40.822191865297619</v>
      </c>
      <c r="K44" s="16">
        <f t="shared" si="2"/>
        <v>223.66348555676493</v>
      </c>
      <c r="L44" s="16">
        <f t="shared" si="5"/>
        <v>43.663485556764954</v>
      </c>
      <c r="M44" s="16">
        <f t="shared" si="6"/>
        <v>29.531071455739504</v>
      </c>
      <c r="N44" s="16">
        <f t="shared" si="7"/>
        <v>28.184519995259432</v>
      </c>
      <c r="O44" s="16">
        <f>M44-'"0" цикл 24.06'!M43</f>
        <v>768.03009357017277</v>
      </c>
      <c r="P44" s="16">
        <f>N44-'"0" цикл 24.06'!N43</f>
        <v>-626.25171466628308</v>
      </c>
      <c r="Q44" s="16">
        <f t="shared" si="8"/>
        <v>990.99012848356267</v>
      </c>
      <c r="R44" s="16">
        <f t="shared" si="9"/>
        <v>-39.193801492185038</v>
      </c>
      <c r="S44" s="16">
        <f t="shared" si="10"/>
        <v>320.80619850781494</v>
      </c>
    </row>
    <row r="45" spans="1:19" x14ac:dyDescent="0.45">
      <c r="A45" s="7">
        <v>20.5</v>
      </c>
      <c r="B45" s="11" t="s">
        <v>184</v>
      </c>
      <c r="C45" s="11" t="s">
        <v>185</v>
      </c>
      <c r="D45" s="8">
        <f t="shared" si="3"/>
        <v>1107.5</v>
      </c>
      <c r="E45" s="8">
        <f t="shared" si="0"/>
        <v>26.846428596126831</v>
      </c>
      <c r="F45" s="11">
        <v>-548</v>
      </c>
      <c r="G45" s="11">
        <v>-2662</v>
      </c>
      <c r="H45" s="8">
        <f t="shared" si="11"/>
        <v>1057</v>
      </c>
      <c r="I45" s="8">
        <f t="shared" si="1"/>
        <v>25.622290904781291</v>
      </c>
      <c r="J45" s="16">
        <f t="shared" si="4"/>
        <v>37.111083513906927</v>
      </c>
      <c r="K45" s="16">
        <f t="shared" si="2"/>
        <v>223.66348555676493</v>
      </c>
      <c r="L45" s="16">
        <f t="shared" si="5"/>
        <v>43.663485556764954</v>
      </c>
      <c r="M45" s="16">
        <f t="shared" si="6"/>
        <v>26.846428596126824</v>
      </c>
      <c r="N45" s="16">
        <f t="shared" si="7"/>
        <v>25.622290904781302</v>
      </c>
      <c r="O45" s="16">
        <f>M45-'"0" цикл 24.06'!M44</f>
        <v>763.12719298958018</v>
      </c>
      <c r="P45" s="16">
        <f>N45-'"0" цикл 24.06'!N44</f>
        <v>-627.63621121098072</v>
      </c>
      <c r="Q45" s="16">
        <f t="shared" si="8"/>
        <v>988.07404899806511</v>
      </c>
      <c r="R45" s="16">
        <f t="shared" si="9"/>
        <v>-39.435688741714593</v>
      </c>
      <c r="S45" s="16">
        <f t="shared" si="10"/>
        <v>320.56431125828539</v>
      </c>
    </row>
    <row r="46" spans="1:19" x14ac:dyDescent="0.45">
      <c r="A46" s="7">
        <v>21</v>
      </c>
      <c r="B46" s="11" t="s">
        <v>184</v>
      </c>
      <c r="C46" s="11" t="s">
        <v>185</v>
      </c>
      <c r="D46" s="8">
        <f t="shared" si="3"/>
        <v>1107.5</v>
      </c>
      <c r="E46" s="8">
        <f t="shared" si="0"/>
        <v>24.161785736514148</v>
      </c>
      <c r="F46" s="11">
        <v>-548</v>
      </c>
      <c r="G46" s="11">
        <v>-2662</v>
      </c>
      <c r="H46" s="8">
        <f t="shared" si="11"/>
        <v>1057</v>
      </c>
      <c r="I46" s="8">
        <f t="shared" si="1"/>
        <v>23.060061814303161</v>
      </c>
      <c r="J46" s="16">
        <f t="shared" si="4"/>
        <v>33.399975162516235</v>
      </c>
      <c r="K46" s="16">
        <f t="shared" si="2"/>
        <v>223.66348555676493</v>
      </c>
      <c r="L46" s="16">
        <f t="shared" si="5"/>
        <v>43.663485556764954</v>
      </c>
      <c r="M46" s="16">
        <f t="shared" si="6"/>
        <v>24.16178573651414</v>
      </c>
      <c r="N46" s="16">
        <f t="shared" si="7"/>
        <v>23.060061814303172</v>
      </c>
      <c r="O46" s="16">
        <f>M46-'"0" цикл 24.06'!M45</f>
        <v>757.42775452192336</v>
      </c>
      <c r="P46" s="16">
        <f>N46-'"0" цикл 24.06'!N45</f>
        <v>-628.01836128856098</v>
      </c>
      <c r="Q46" s="16">
        <f t="shared" si="8"/>
        <v>983.92269281468066</v>
      </c>
      <c r="R46" s="16">
        <f t="shared" si="9"/>
        <v>-39.663696662208423</v>
      </c>
      <c r="S46" s="16">
        <f t="shared" si="10"/>
        <v>320.33630333779161</v>
      </c>
    </row>
    <row r="47" spans="1:19" x14ac:dyDescent="0.45">
      <c r="A47" s="7">
        <v>21.5</v>
      </c>
      <c r="B47" s="11" t="s">
        <v>184</v>
      </c>
      <c r="C47" s="11" t="s">
        <v>185</v>
      </c>
      <c r="D47" s="8">
        <f t="shared" si="3"/>
        <v>1107.5</v>
      </c>
      <c r="E47" s="8">
        <f t="shared" si="0"/>
        <v>21.477142876901464</v>
      </c>
      <c r="F47" s="11">
        <v>-548</v>
      </c>
      <c r="G47" s="11">
        <v>-2662</v>
      </c>
      <c r="H47" s="8">
        <f t="shared" si="11"/>
        <v>1057</v>
      </c>
      <c r="I47" s="8">
        <f t="shared" si="1"/>
        <v>20.497832723825031</v>
      </c>
      <c r="J47" s="16">
        <f t="shared" si="4"/>
        <v>29.688866811125539</v>
      </c>
      <c r="K47" s="16">
        <f t="shared" si="2"/>
        <v>223.66348555676493</v>
      </c>
      <c r="L47" s="16">
        <f t="shared" si="5"/>
        <v>43.663485556764954</v>
      </c>
      <c r="M47" s="16">
        <f t="shared" si="6"/>
        <v>21.477142876901457</v>
      </c>
      <c r="N47" s="16">
        <f t="shared" si="7"/>
        <v>20.497832723825038</v>
      </c>
      <c r="O47" s="16">
        <f>M47-'"0" цикл 24.06'!M46</f>
        <v>750.90294024903551</v>
      </c>
      <c r="P47" s="16">
        <f>N47-'"0" цикл 24.06'!N46</f>
        <v>-627.93485326460063</v>
      </c>
      <c r="Q47" s="16">
        <f t="shared" si="8"/>
        <v>978.85515047890613</v>
      </c>
      <c r="R47" s="16">
        <f t="shared" si="9"/>
        <v>-39.903706494898394</v>
      </c>
      <c r="S47" s="16">
        <f t="shared" si="10"/>
        <v>320.09629350510158</v>
      </c>
    </row>
    <row r="48" spans="1:19" x14ac:dyDescent="0.45">
      <c r="A48" s="7">
        <v>22</v>
      </c>
      <c r="B48" s="11" t="s">
        <v>184</v>
      </c>
      <c r="C48" s="11" t="s">
        <v>185</v>
      </c>
      <c r="D48" s="8">
        <f t="shared" si="3"/>
        <v>1107.5</v>
      </c>
      <c r="E48" s="8">
        <f t="shared" si="0"/>
        <v>18.792500017288781</v>
      </c>
      <c r="F48" s="11">
        <v>-548</v>
      </c>
      <c r="G48" s="11">
        <v>-2662</v>
      </c>
      <c r="H48" s="8">
        <f t="shared" si="11"/>
        <v>1057</v>
      </c>
      <c r="I48" s="8">
        <f t="shared" si="1"/>
        <v>17.935603633346901</v>
      </c>
      <c r="J48" s="16">
        <f t="shared" si="4"/>
        <v>25.977758459734847</v>
      </c>
      <c r="K48" s="16">
        <f t="shared" si="2"/>
        <v>223.66348555676493</v>
      </c>
      <c r="L48" s="16">
        <f t="shared" si="5"/>
        <v>43.663485556764954</v>
      </c>
      <c r="M48" s="16">
        <f t="shared" si="6"/>
        <v>18.792500017288774</v>
      </c>
      <c r="N48" s="16">
        <f t="shared" si="7"/>
        <v>17.935603633346911</v>
      </c>
      <c r="O48" s="16">
        <f>M48-'"0" цикл 24.06'!M47</f>
        <v>745.34894336730531</v>
      </c>
      <c r="P48" s="16">
        <f>N48-'"0" цикл 24.06'!N47</f>
        <v>-628.59988976993338</v>
      </c>
      <c r="Q48" s="16">
        <f t="shared" si="8"/>
        <v>975.02967585480746</v>
      </c>
      <c r="R48" s="16">
        <f t="shared" si="9"/>
        <v>-40.143052297290083</v>
      </c>
      <c r="S48" s="16">
        <f t="shared" si="10"/>
        <v>319.85694770270993</v>
      </c>
    </row>
    <row r="49" spans="1:19" x14ac:dyDescent="0.45">
      <c r="A49" s="7">
        <v>22.5</v>
      </c>
      <c r="B49" s="11" t="s">
        <v>184</v>
      </c>
      <c r="C49" s="11" t="s">
        <v>185</v>
      </c>
      <c r="D49" s="8">
        <f t="shared" si="3"/>
        <v>1107.5</v>
      </c>
      <c r="E49" s="8">
        <f t="shared" si="0"/>
        <v>16.107857157676097</v>
      </c>
      <c r="F49" s="11">
        <v>-548</v>
      </c>
      <c r="G49" s="11">
        <v>-2662</v>
      </c>
      <c r="H49" s="8">
        <f t="shared" si="11"/>
        <v>1057</v>
      </c>
      <c r="I49" s="8">
        <f t="shared" si="1"/>
        <v>15.373374542868772</v>
      </c>
      <c r="J49" s="16">
        <f t="shared" si="4"/>
        <v>22.266650108344155</v>
      </c>
      <c r="K49" s="16">
        <f t="shared" si="2"/>
        <v>223.66348555676493</v>
      </c>
      <c r="L49" s="16">
        <f t="shared" si="5"/>
        <v>43.663485556764954</v>
      </c>
      <c r="M49" s="16">
        <f t="shared" si="6"/>
        <v>16.107857157676094</v>
      </c>
      <c r="N49" s="16">
        <f t="shared" si="7"/>
        <v>15.373374542868779</v>
      </c>
      <c r="O49" s="16">
        <f>M49-'"0" цикл 24.06'!M48</f>
        <v>742.26857138180162</v>
      </c>
      <c r="P49" s="16">
        <f>N49-'"0" цикл 24.06'!N48</f>
        <v>-631.92012476047285</v>
      </c>
      <c r="Q49" s="16">
        <f t="shared" si="8"/>
        <v>974.82597223220944</v>
      </c>
      <c r="R49" s="16">
        <f t="shared" si="9"/>
        <v>-40.408954387780987</v>
      </c>
      <c r="S49" s="16">
        <f t="shared" si="10"/>
        <v>319.59104561221903</v>
      </c>
    </row>
    <row r="50" spans="1:19" x14ac:dyDescent="0.45">
      <c r="A50" s="7">
        <v>23</v>
      </c>
      <c r="B50" s="11" t="s">
        <v>184</v>
      </c>
      <c r="C50" s="11" t="s">
        <v>185</v>
      </c>
      <c r="D50" s="8">
        <f t="shared" si="3"/>
        <v>1107.5</v>
      </c>
      <c r="E50" s="8">
        <f t="shared" si="0"/>
        <v>13.423214298063415</v>
      </c>
      <c r="F50" s="11">
        <v>-548</v>
      </c>
      <c r="G50" s="11">
        <v>-2662</v>
      </c>
      <c r="H50" s="8">
        <f t="shared" si="11"/>
        <v>1057</v>
      </c>
      <c r="I50" s="8">
        <f t="shared" si="1"/>
        <v>12.811145452390644</v>
      </c>
      <c r="J50" s="16">
        <f t="shared" si="4"/>
        <v>18.555541756953463</v>
      </c>
      <c r="K50" s="16">
        <f t="shared" si="2"/>
        <v>223.66348555676493</v>
      </c>
      <c r="L50" s="16">
        <f t="shared" si="5"/>
        <v>43.663485556764954</v>
      </c>
      <c r="M50" s="16">
        <f t="shared" si="6"/>
        <v>13.423214298063412</v>
      </c>
      <c r="N50" s="16">
        <f t="shared" si="7"/>
        <v>12.811145452390651</v>
      </c>
      <c r="O50" s="16">
        <f>M50-'"0" цикл 24.06'!M49</f>
        <v>738.19009099428786</v>
      </c>
      <c r="P50" s="16">
        <f>N50-'"0" цикл 24.06'!N49</f>
        <v>-634.04650640683019</v>
      </c>
      <c r="Q50" s="16">
        <f t="shared" si="8"/>
        <v>973.10820710179075</v>
      </c>
      <c r="R50" s="16">
        <f t="shared" si="9"/>
        <v>-40.659953180758016</v>
      </c>
      <c r="S50" s="16">
        <f t="shared" si="10"/>
        <v>319.34004681924199</v>
      </c>
    </row>
    <row r="51" spans="1:19" x14ac:dyDescent="0.45">
      <c r="A51" s="7">
        <v>23.5</v>
      </c>
      <c r="B51" s="11" t="s">
        <v>184</v>
      </c>
      <c r="C51" s="11" t="s">
        <v>185</v>
      </c>
      <c r="D51" s="8">
        <f t="shared" si="3"/>
        <v>1107.5</v>
      </c>
      <c r="E51" s="8">
        <f t="shared" si="0"/>
        <v>10.738571438450732</v>
      </c>
      <c r="F51" s="11">
        <v>-548</v>
      </c>
      <c r="G51" s="11">
        <v>-2662</v>
      </c>
      <c r="H51" s="8">
        <f t="shared" si="11"/>
        <v>1057</v>
      </c>
      <c r="I51" s="8">
        <f t="shared" si="1"/>
        <v>10.248916361912515</v>
      </c>
      <c r="J51" s="16">
        <f t="shared" si="4"/>
        <v>14.84443340556277</v>
      </c>
      <c r="K51" s="16">
        <f t="shared" si="2"/>
        <v>223.66348555676493</v>
      </c>
      <c r="L51" s="16">
        <f t="shared" si="5"/>
        <v>43.663485556764954</v>
      </c>
      <c r="M51" s="16">
        <f t="shared" si="6"/>
        <v>10.738571438450728</v>
      </c>
      <c r="N51" s="16">
        <f t="shared" si="7"/>
        <v>10.248916361912519</v>
      </c>
      <c r="O51" s="16">
        <f>M51-'"0" цикл 24.06'!M50</f>
        <v>730.84972843158835</v>
      </c>
      <c r="P51" s="16">
        <f>N51-'"0" цикл 24.06'!N50</f>
        <v>-633.05399033035246</v>
      </c>
      <c r="Q51" s="16">
        <f t="shared" si="8"/>
        <v>966.90158766117895</v>
      </c>
      <c r="R51" s="16">
        <f t="shared" si="9"/>
        <v>-40.898750200497979</v>
      </c>
      <c r="S51" s="16">
        <f t="shared" si="10"/>
        <v>319.101249799502</v>
      </c>
    </row>
    <row r="52" spans="1:19" x14ac:dyDescent="0.45">
      <c r="A52" s="7">
        <v>24</v>
      </c>
      <c r="B52" s="11" t="s">
        <v>184</v>
      </c>
      <c r="C52" s="11" t="s">
        <v>185</v>
      </c>
      <c r="D52" s="8">
        <f t="shared" si="3"/>
        <v>1107.5</v>
      </c>
      <c r="E52" s="8">
        <f t="shared" si="0"/>
        <v>8.0539285788380486</v>
      </c>
      <c r="F52" s="11">
        <v>-548</v>
      </c>
      <c r="G52" s="11">
        <v>-2662</v>
      </c>
      <c r="H52" s="8">
        <f t="shared" si="11"/>
        <v>1057</v>
      </c>
      <c r="I52" s="8">
        <f t="shared" si="1"/>
        <v>7.686687271434387</v>
      </c>
      <c r="J52" s="16">
        <f t="shared" si="4"/>
        <v>11.133325054172078</v>
      </c>
      <c r="K52" s="16">
        <f t="shared" si="2"/>
        <v>223.66348555676493</v>
      </c>
      <c r="L52" s="16">
        <f t="shared" si="5"/>
        <v>43.663485556764954</v>
      </c>
      <c r="M52" s="16">
        <f t="shared" si="6"/>
        <v>8.0539285788380468</v>
      </c>
      <c r="N52" s="16">
        <f t="shared" si="7"/>
        <v>7.6866872714343897</v>
      </c>
      <c r="O52" s="16">
        <f>M52-'"0" цикл 24.06'!M51</f>
        <v>719.14803994150998</v>
      </c>
      <c r="P52" s="16">
        <f>N52-'"0" цикл 24.06'!N51</f>
        <v>-627.53581795735852</v>
      </c>
      <c r="Q52" s="16">
        <f t="shared" si="8"/>
        <v>954.4501590817232</v>
      </c>
      <c r="R52" s="16">
        <f t="shared" si="9"/>
        <v>-41.108278171863041</v>
      </c>
      <c r="S52" s="16">
        <f t="shared" si="10"/>
        <v>318.89172182813695</v>
      </c>
    </row>
    <row r="53" spans="1:19" x14ac:dyDescent="0.45">
      <c r="A53" s="7">
        <v>24.5</v>
      </c>
      <c r="B53" s="11" t="s">
        <v>184</v>
      </c>
      <c r="C53" s="11" t="s">
        <v>185</v>
      </c>
      <c r="D53" s="8">
        <f t="shared" si="3"/>
        <v>1107.5</v>
      </c>
      <c r="E53" s="8">
        <f t="shared" si="0"/>
        <v>5.369285719225366</v>
      </c>
      <c r="F53" s="11">
        <v>-548</v>
      </c>
      <c r="G53" s="11">
        <v>-2662</v>
      </c>
      <c r="H53" s="8">
        <f t="shared" si="11"/>
        <v>1057</v>
      </c>
      <c r="I53" s="8">
        <f t="shared" si="1"/>
        <v>5.1244581809562577</v>
      </c>
      <c r="J53" s="16">
        <f t="shared" si="4"/>
        <v>7.4222167027813848</v>
      </c>
      <c r="K53" s="16">
        <f t="shared" si="2"/>
        <v>223.66348555676493</v>
      </c>
      <c r="L53" s="16">
        <f t="shared" si="5"/>
        <v>43.663485556764954</v>
      </c>
      <c r="M53" s="16">
        <f t="shared" si="6"/>
        <v>5.3692857192253642</v>
      </c>
      <c r="N53" s="16">
        <f t="shared" si="7"/>
        <v>5.1244581809562595</v>
      </c>
      <c r="O53" s="16">
        <f>M53-'"0" цикл 24.06'!M52</f>
        <v>703.71030195204014</v>
      </c>
      <c r="P53" s="16">
        <f>N53-'"0" цикл 24.06'!N52</f>
        <v>-618.16730879633565</v>
      </c>
      <c r="Q53" s="16">
        <f t="shared" si="8"/>
        <v>936.66376610709983</v>
      </c>
      <c r="R53" s="16">
        <f t="shared" si="9"/>
        <v>-41.29736690741597</v>
      </c>
      <c r="S53" s="16">
        <f t="shared" si="10"/>
        <v>318.70263309258405</v>
      </c>
    </row>
    <row r="54" spans="1:19" x14ac:dyDescent="0.45">
      <c r="A54" s="7">
        <v>25</v>
      </c>
      <c r="B54" s="11" t="s">
        <v>184</v>
      </c>
      <c r="C54" s="11" t="s">
        <v>185</v>
      </c>
      <c r="D54" s="8">
        <f t="shared" si="3"/>
        <v>1107.5</v>
      </c>
      <c r="E54" s="8">
        <f t="shared" si="0"/>
        <v>2.684642859612683</v>
      </c>
      <c r="F54" s="11">
        <v>-548</v>
      </c>
      <c r="G54" s="11">
        <v>-2662</v>
      </c>
      <c r="H54" s="8">
        <f t="shared" si="11"/>
        <v>1057</v>
      </c>
      <c r="I54" s="8">
        <f t="shared" si="1"/>
        <v>2.5622290904781289</v>
      </c>
      <c r="J54" s="16">
        <f t="shared" si="4"/>
        <v>3.7111083513906924</v>
      </c>
      <c r="K54" s="16">
        <f t="shared" si="2"/>
        <v>223.66348555676493</v>
      </c>
      <c r="L54" s="16">
        <v>0</v>
      </c>
      <c r="M54" s="16">
        <f t="shared" si="6"/>
        <v>3.7111083513906924</v>
      </c>
      <c r="N54" s="16">
        <f t="shared" si="7"/>
        <v>0</v>
      </c>
      <c r="O54" s="16">
        <f>M54-'"0" цикл 24.06'!M53</f>
        <v>687.02370976008342</v>
      </c>
      <c r="P54" s="16">
        <f>N54-'"0" цикл 24.06'!N53</f>
        <v>-609.23571912388809</v>
      </c>
      <c r="Q54" s="16">
        <f t="shared" si="8"/>
        <v>918.24274526342344</v>
      </c>
      <c r="R54" s="16">
        <f t="shared" si="9"/>
        <v>-41.565822416474546</v>
      </c>
      <c r="S54" s="16">
        <f t="shared" si="10"/>
        <v>318.43417758352547</v>
      </c>
    </row>
  </sheetData>
  <mergeCells count="2">
    <mergeCell ref="B1:I1"/>
    <mergeCell ref="M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54"/>
  <sheetViews>
    <sheetView zoomScale="70" zoomScaleNormal="70" workbookViewId="0">
      <selection sqref="A1:XFD1048576"/>
    </sheetView>
  </sheetViews>
  <sheetFormatPr defaultRowHeight="14.25" x14ac:dyDescent="0.45"/>
  <cols>
    <col min="1" max="1" width="9.1328125" style="7"/>
    <col min="2" max="3" width="9.3984375" style="12" customWidth="1"/>
    <col min="4" max="5" width="9.3984375" style="13" customWidth="1"/>
    <col min="6" max="7" width="9.3984375" style="12" customWidth="1"/>
    <col min="8" max="9" width="9.3984375" style="13" customWidth="1"/>
    <col min="10" max="19" width="9.1328125" style="16"/>
  </cols>
  <sheetData>
    <row r="1" spans="1:19" x14ac:dyDescent="0.45">
      <c r="B1" s="53" t="s">
        <v>195</v>
      </c>
      <c r="C1" s="53"/>
      <c r="D1" s="53"/>
      <c r="E1" s="53"/>
      <c r="F1" s="53"/>
      <c r="G1" s="53"/>
      <c r="H1" s="53"/>
      <c r="I1" s="53"/>
      <c r="K1" s="16" t="s">
        <v>1</v>
      </c>
      <c r="L1" s="18">
        <v>180</v>
      </c>
      <c r="M1" s="54"/>
      <c r="N1" s="55"/>
      <c r="O1" s="55"/>
      <c r="P1" s="55"/>
      <c r="Q1" s="55"/>
      <c r="R1" s="55"/>
      <c r="S1" s="56"/>
    </row>
    <row r="2" spans="1:19" ht="99.75" x14ac:dyDescent="0.45">
      <c r="A2" s="7" t="s">
        <v>2</v>
      </c>
      <c r="B2" s="9" t="s">
        <v>99</v>
      </c>
      <c r="C2" s="9" t="s">
        <v>100</v>
      </c>
      <c r="D2" s="10" t="s">
        <v>101</v>
      </c>
      <c r="E2" s="10" t="s">
        <v>102</v>
      </c>
      <c r="F2" s="9" t="s">
        <v>187</v>
      </c>
      <c r="G2" s="9" t="s">
        <v>188</v>
      </c>
      <c r="H2" s="10" t="s">
        <v>189</v>
      </c>
      <c r="I2" s="10" t="s">
        <v>186</v>
      </c>
      <c r="J2" s="10" t="s">
        <v>191</v>
      </c>
      <c r="K2" s="10" t="s">
        <v>192</v>
      </c>
      <c r="L2" s="10" t="s">
        <v>193</v>
      </c>
      <c r="M2" s="15" t="s">
        <v>17</v>
      </c>
      <c r="N2" s="15" t="s">
        <v>18</v>
      </c>
      <c r="O2" s="14" t="s">
        <v>19</v>
      </c>
      <c r="P2" s="14" t="s">
        <v>20</v>
      </c>
      <c r="Q2" s="14" t="s">
        <v>21</v>
      </c>
      <c r="R2" s="14"/>
      <c r="S2" s="14" t="s">
        <v>22</v>
      </c>
    </row>
    <row r="3" spans="1:19" x14ac:dyDescent="0.45">
      <c r="A3" s="7">
        <v>-0.5</v>
      </c>
      <c r="B3" s="11" t="s">
        <v>103</v>
      </c>
      <c r="C3" s="11" t="s">
        <v>104</v>
      </c>
      <c r="D3" s="8">
        <f>(B3-C3)/2</f>
        <v>-1963.5</v>
      </c>
      <c r="E3" s="8">
        <f t="shared" ref="E3:E54" si="0">0.5*SIN(D3/3600*PI()/180)*1000+E4</f>
        <v>-200.38155580556699</v>
      </c>
      <c r="F3" s="11">
        <v>-3702</v>
      </c>
      <c r="G3" s="11">
        <v>228</v>
      </c>
      <c r="H3" s="8">
        <f>(F3-G3)/2</f>
        <v>-1965</v>
      </c>
      <c r="I3" s="8">
        <f t="shared" ref="I3:I54" si="1">0.5*SIN(H3/3600*PI()/180)*1000+I4</f>
        <v>-202.18379614515277</v>
      </c>
      <c r="J3" s="16">
        <f>SQRT(E3^2+I3^2)</f>
        <v>284.65954284148677</v>
      </c>
      <c r="K3" s="16">
        <f t="shared" ref="K3:K54" si="2">IF(E3&gt;=0,180-DEGREES(ASIN(-I3/J3)),IF(E3&lt;0,DEGREES(ASIN(-I3/J3)),360-DEGREES(ASIN(I3/J3))))</f>
        <v>45.256505123367646</v>
      </c>
      <c r="L3" s="16">
        <f>IF((K3+$L$1)&lt;=360,K3+$L$1,K3+$L$1-360)</f>
        <v>225.25650512336765</v>
      </c>
      <c r="M3" s="16">
        <f>J3*COS(RADIANS(L3))</f>
        <v>-200.38155580556702</v>
      </c>
      <c r="N3" s="16">
        <f>J3*SIN(RADIANS(L3))</f>
        <v>-202.18379614515271</v>
      </c>
      <c r="O3" s="16" t="e">
        <f>M3-'"0" цикл 24.06'!#REF!</f>
        <v>#REF!</v>
      </c>
      <c r="P3" s="16" t="e">
        <f>N3-'"0" цикл 24.06'!#REF!</f>
        <v>#REF!</v>
      </c>
      <c r="Q3" s="16" t="e">
        <f>SQRT(O3^2+P3^2)</f>
        <v>#REF!</v>
      </c>
      <c r="R3" s="16" t="e">
        <f>IF(Q3=0,0,IF(O3&gt;=0,DEGREES(ASIN(P3/Q3)),(180-DEGREES(ASIN(P3/Q3)))))</f>
        <v>#REF!</v>
      </c>
      <c r="S3" s="16" t="e">
        <f>IF(R3&lt;0,360+R3,R3)</f>
        <v>#REF!</v>
      </c>
    </row>
    <row r="4" spans="1:19" x14ac:dyDescent="0.45">
      <c r="A4" s="7">
        <v>0</v>
      </c>
      <c r="B4" s="11" t="s">
        <v>105</v>
      </c>
      <c r="C4" s="11" t="s">
        <v>106</v>
      </c>
      <c r="D4" s="8">
        <f t="shared" ref="D4:D54" si="3">(B4-C4)/2</f>
        <v>-1325</v>
      </c>
      <c r="E4" s="8">
        <f t="shared" si="0"/>
        <v>-195.62196937558332</v>
      </c>
      <c r="F4" s="11">
        <v>-3010</v>
      </c>
      <c r="G4" s="11">
        <v>-428</v>
      </c>
      <c r="H4" s="8">
        <f>(F4-G4)/2</f>
        <v>-1291</v>
      </c>
      <c r="I4" s="8">
        <f t="shared" si="1"/>
        <v>-197.42057377743248</v>
      </c>
      <c r="J4" s="16">
        <f t="shared" ref="J4:J54" si="4">SQRT(E4^2+I4^2)</f>
        <v>277.92595750126026</v>
      </c>
      <c r="K4" s="16">
        <f t="shared" si="2"/>
        <v>45.262189739284302</v>
      </c>
      <c r="L4" s="16">
        <f t="shared" ref="L4:L53" si="5">IF((K4+$L$1)&lt;=360,K4+$L$1,K4+$L$1-360)</f>
        <v>225.26218973928431</v>
      </c>
      <c r="M4" s="16">
        <f t="shared" ref="M4:M54" si="6">J4*COS(RADIANS(L4))</f>
        <v>-195.62196937558326</v>
      </c>
      <c r="N4" s="16">
        <f t="shared" ref="N4:N54" si="7">J4*SIN(RADIANS(L4))</f>
        <v>-197.42057377743254</v>
      </c>
      <c r="O4" s="16">
        <f>M4-'"0" цикл 24.06'!M3</f>
        <v>516.9218412305147</v>
      </c>
      <c r="P4" s="16">
        <f>N4-'"0" цикл 24.06'!N3</f>
        <v>-784.12197418385415</v>
      </c>
      <c r="Q4" s="16">
        <f t="shared" ref="Q4:Q54" si="8">SQRT(O4^2+P4^2)</f>
        <v>939.17807701155925</v>
      </c>
      <c r="R4" s="16">
        <f t="shared" ref="R4:R54" si="9">IF(Q4=0,0,IF(O4&gt;=0,DEGREES(ASIN(P4/Q4)),(180-DEGREES(ASIN(P4/Q4)))))</f>
        <v>-56.605670538043313</v>
      </c>
      <c r="S4" s="16">
        <f t="shared" ref="S4:S54" si="10">IF(R4&lt;0,360+R4,R4)</f>
        <v>303.39432946195666</v>
      </c>
    </row>
    <row r="5" spans="1:19" x14ac:dyDescent="0.45">
      <c r="A5" s="7">
        <v>0.5</v>
      </c>
      <c r="B5" s="11" t="s">
        <v>107</v>
      </c>
      <c r="C5" s="11" t="s">
        <v>108</v>
      </c>
      <c r="D5" s="8">
        <f t="shared" si="3"/>
        <v>-587</v>
      </c>
      <c r="E5" s="8">
        <f t="shared" si="0"/>
        <v>-192.41010082794665</v>
      </c>
      <c r="F5" s="11">
        <v>-2302</v>
      </c>
      <c r="G5" s="11">
        <v>-1171</v>
      </c>
      <c r="H5" s="8">
        <f t="shared" ref="H5:H54" si="11">(F5-G5)/2</f>
        <v>-565.5</v>
      </c>
      <c r="I5" s="8">
        <f t="shared" si="1"/>
        <v>-194.2911218983574</v>
      </c>
      <c r="J5" s="16">
        <f t="shared" si="4"/>
        <v>273.44229180787482</v>
      </c>
      <c r="K5" s="16">
        <f t="shared" si="2"/>
        <v>45.27870022685164</v>
      </c>
      <c r="L5" s="16">
        <f t="shared" si="5"/>
        <v>225.27870022685164</v>
      </c>
      <c r="M5" s="16">
        <f t="shared" si="6"/>
        <v>-192.41010082794665</v>
      </c>
      <c r="N5" s="16">
        <f t="shared" si="7"/>
        <v>-194.2911218983574</v>
      </c>
      <c r="O5" s="16">
        <f>M5-'"0" цикл 24.06'!M4</f>
        <v>524.61381305537861</v>
      </c>
      <c r="P5" s="16">
        <f>N5-'"0" цикл 24.06'!N4</f>
        <v>-786.51213515400218</v>
      </c>
      <c r="Q5" s="16">
        <f t="shared" si="8"/>
        <v>945.42106576541391</v>
      </c>
      <c r="R5" s="16">
        <f t="shared" si="9"/>
        <v>-56.296197194784135</v>
      </c>
      <c r="S5" s="16">
        <f t="shared" si="10"/>
        <v>303.70380280521584</v>
      </c>
    </row>
    <row r="6" spans="1:19" x14ac:dyDescent="0.45">
      <c r="A6" s="7">
        <v>1</v>
      </c>
      <c r="B6" s="11" t="s">
        <v>109</v>
      </c>
      <c r="C6" s="11" t="s">
        <v>110</v>
      </c>
      <c r="D6" s="8">
        <f t="shared" si="3"/>
        <v>-1149.5</v>
      </c>
      <c r="E6" s="8">
        <f t="shared" si="0"/>
        <v>-190.98717459458109</v>
      </c>
      <c r="F6" s="11">
        <v>-2912</v>
      </c>
      <c r="G6" s="11">
        <v>-547</v>
      </c>
      <c r="H6" s="8">
        <f t="shared" si="11"/>
        <v>-1182.5</v>
      </c>
      <c r="I6" s="8">
        <f t="shared" si="1"/>
        <v>-192.92031293229982</v>
      </c>
      <c r="J6" s="16">
        <f t="shared" si="4"/>
        <v>271.4670293083812</v>
      </c>
      <c r="K6" s="16">
        <f t="shared" si="2"/>
        <v>45.288506308022626</v>
      </c>
      <c r="L6" s="16">
        <f t="shared" si="5"/>
        <v>225.28850630802262</v>
      </c>
      <c r="M6" s="16">
        <f t="shared" si="6"/>
        <v>-190.98717459458115</v>
      </c>
      <c r="N6" s="16">
        <f t="shared" si="7"/>
        <v>-192.92031293229979</v>
      </c>
      <c r="O6" s="16">
        <f>M6-'"0" цикл 24.06'!M5</f>
        <v>532.66297870773963</v>
      </c>
      <c r="P6" s="16">
        <f>N6-'"0" цикл 24.06'!N5</f>
        <v>-792.60717942324163</v>
      </c>
      <c r="Q6" s="16">
        <f t="shared" si="8"/>
        <v>954.9638683002978</v>
      </c>
      <c r="R6" s="16">
        <f t="shared" si="9"/>
        <v>-56.097357786009781</v>
      </c>
      <c r="S6" s="16">
        <f t="shared" si="10"/>
        <v>303.90264221399025</v>
      </c>
    </row>
    <row r="7" spans="1:19" x14ac:dyDescent="0.45">
      <c r="A7" s="7">
        <v>1.5</v>
      </c>
      <c r="B7" s="11" t="s">
        <v>111</v>
      </c>
      <c r="C7" s="11" t="s">
        <v>112</v>
      </c>
      <c r="D7" s="8">
        <f t="shared" si="3"/>
        <v>-1497</v>
      </c>
      <c r="E7" s="8">
        <f t="shared" si="0"/>
        <v>-188.20072238586908</v>
      </c>
      <c r="F7" s="11">
        <v>-3200</v>
      </c>
      <c r="G7" s="11">
        <v>-222</v>
      </c>
      <c r="H7" s="8">
        <f t="shared" si="11"/>
        <v>-1489</v>
      </c>
      <c r="I7" s="8">
        <f t="shared" si="1"/>
        <v>-190.05386774441848</v>
      </c>
      <c r="J7" s="16">
        <f t="shared" si="4"/>
        <v>267.46959556401151</v>
      </c>
      <c r="K7" s="16">
        <f t="shared" si="2"/>
        <v>45.280701308472246</v>
      </c>
      <c r="L7" s="16">
        <f t="shared" si="5"/>
        <v>225.28070130847226</v>
      </c>
      <c r="M7" s="16">
        <f t="shared" si="6"/>
        <v>-188.20072238586908</v>
      </c>
      <c r="N7" s="16">
        <f t="shared" si="7"/>
        <v>-190.05386774441851</v>
      </c>
      <c r="O7" s="16">
        <f>M7-'"0" цикл 24.06'!M6</f>
        <v>540.03849158715775</v>
      </c>
      <c r="P7" s="16">
        <f>N7-'"0" цикл 24.06'!N6</f>
        <v>-795.54479326974933</v>
      </c>
      <c r="Q7" s="16">
        <f t="shared" si="8"/>
        <v>961.52643775111085</v>
      </c>
      <c r="R7" s="16">
        <f t="shared" si="9"/>
        <v>-55.830220765292331</v>
      </c>
      <c r="S7" s="16">
        <f t="shared" si="10"/>
        <v>304.16977923470768</v>
      </c>
    </row>
    <row r="8" spans="1:19" x14ac:dyDescent="0.45">
      <c r="A8" s="7">
        <v>2</v>
      </c>
      <c r="B8" s="11" t="s">
        <v>113</v>
      </c>
      <c r="C8" s="11" t="s">
        <v>114</v>
      </c>
      <c r="D8" s="8">
        <f t="shared" si="3"/>
        <v>-1174.5</v>
      </c>
      <c r="E8" s="8">
        <f t="shared" si="0"/>
        <v>-184.57192383996491</v>
      </c>
      <c r="F8" s="11">
        <v>-2928</v>
      </c>
      <c r="G8" s="11">
        <v>-615</v>
      </c>
      <c r="H8" s="8">
        <f t="shared" si="11"/>
        <v>-1156.5</v>
      </c>
      <c r="I8" s="8">
        <f t="shared" si="1"/>
        <v>-186.44446123774742</v>
      </c>
      <c r="J8" s="16">
        <f t="shared" si="4"/>
        <v>262.35154315578114</v>
      </c>
      <c r="K8" s="16">
        <f t="shared" si="2"/>
        <v>45.289172077640984</v>
      </c>
      <c r="L8" s="16">
        <f t="shared" si="5"/>
        <v>225.28917207764098</v>
      </c>
      <c r="M8" s="16">
        <f t="shared" si="6"/>
        <v>-184.57192383996488</v>
      </c>
      <c r="N8" s="16">
        <f t="shared" si="7"/>
        <v>-186.44446123774745</v>
      </c>
      <c r="O8" s="16">
        <f>M8-'"0" цикл 24.06'!M7</f>
        <v>545.91233354311657</v>
      </c>
      <c r="P8" s="16">
        <f>N8-'"0" цикл 24.06'!N7</f>
        <v>-795.19852328271327</v>
      </c>
      <c r="Q8" s="16">
        <f t="shared" si="8"/>
        <v>964.55221079291448</v>
      </c>
      <c r="R8" s="16">
        <f t="shared" si="9"/>
        <v>-55.529983016096239</v>
      </c>
      <c r="S8" s="16">
        <f t="shared" si="10"/>
        <v>304.47001698390375</v>
      </c>
    </row>
    <row r="9" spans="1:19" x14ac:dyDescent="0.45">
      <c r="A9" s="7">
        <v>2.5</v>
      </c>
      <c r="B9" s="11" t="s">
        <v>115</v>
      </c>
      <c r="C9" s="11" t="s">
        <v>116</v>
      </c>
      <c r="D9" s="8">
        <f t="shared" si="3"/>
        <v>-1837</v>
      </c>
      <c r="E9" s="8">
        <f t="shared" si="0"/>
        <v>-181.7248708827984</v>
      </c>
      <c r="F9" s="11">
        <v>-3558</v>
      </c>
      <c r="G9" s="11">
        <v>171</v>
      </c>
      <c r="H9" s="8">
        <f t="shared" si="11"/>
        <v>-1864.5</v>
      </c>
      <c r="I9" s="8">
        <f t="shared" si="1"/>
        <v>-183.64104081530374</v>
      </c>
      <c r="J9" s="16">
        <f t="shared" si="4"/>
        <v>258.35626675019478</v>
      </c>
      <c r="K9" s="16">
        <f t="shared" si="2"/>
        <v>45.300486279332638</v>
      </c>
      <c r="L9" s="16">
        <f t="shared" si="5"/>
        <v>225.30048627933263</v>
      </c>
      <c r="M9" s="16">
        <f t="shared" si="6"/>
        <v>-181.7248708827984</v>
      </c>
      <c r="N9" s="16">
        <f t="shared" si="7"/>
        <v>-183.64104081530374</v>
      </c>
      <c r="O9" s="16">
        <f>M9-'"0" цикл 24.06'!M8</f>
        <v>549.50854456071329</v>
      </c>
      <c r="P9" s="16">
        <f>N9-'"0" цикл 24.06'!N8</f>
        <v>-794.29799196503689</v>
      </c>
      <c r="Q9" s="16">
        <f t="shared" si="8"/>
        <v>965.85140709372217</v>
      </c>
      <c r="R9" s="16">
        <f t="shared" si="9"/>
        <v>-55.323871393433436</v>
      </c>
      <c r="S9" s="16">
        <f t="shared" si="10"/>
        <v>304.67612860656658</v>
      </c>
    </row>
    <row r="10" spans="1:19" x14ac:dyDescent="0.45">
      <c r="A10" s="7">
        <v>3</v>
      </c>
      <c r="B10" s="11" t="s">
        <v>117</v>
      </c>
      <c r="C10" s="11" t="s">
        <v>118</v>
      </c>
      <c r="D10" s="8">
        <f t="shared" si="3"/>
        <v>-2058</v>
      </c>
      <c r="E10" s="8">
        <f t="shared" si="0"/>
        <v>-177.27191608842742</v>
      </c>
      <c r="F10" s="11">
        <v>-3765</v>
      </c>
      <c r="G10" s="11">
        <v>350</v>
      </c>
      <c r="H10" s="8">
        <f t="shared" si="11"/>
        <v>-2057.5</v>
      </c>
      <c r="I10" s="8">
        <f t="shared" si="1"/>
        <v>-179.12142682325731</v>
      </c>
      <c r="J10" s="16">
        <f t="shared" si="4"/>
        <v>252.01154295163144</v>
      </c>
      <c r="K10" s="16">
        <f t="shared" si="2"/>
        <v>45.297334981427682</v>
      </c>
      <c r="L10" s="16">
        <f t="shared" si="5"/>
        <v>225.2973349814277</v>
      </c>
      <c r="M10" s="16">
        <f t="shared" si="6"/>
        <v>-177.27191608842736</v>
      </c>
      <c r="N10" s="16">
        <f t="shared" si="7"/>
        <v>-179.12142682325734</v>
      </c>
      <c r="O10" s="16">
        <f>M10-'"0" цикл 24.06'!M9</f>
        <v>553.01344676975089</v>
      </c>
      <c r="P10" s="16">
        <f>N10-'"0" цикл 24.06'!N9</f>
        <v>-789.97315186445019</v>
      </c>
      <c r="Q10" s="16">
        <f t="shared" si="8"/>
        <v>964.30361037113914</v>
      </c>
      <c r="R10" s="16">
        <f t="shared" si="9"/>
        <v>-55.006410461610592</v>
      </c>
      <c r="S10" s="16">
        <f t="shared" si="10"/>
        <v>304.99358953838941</v>
      </c>
    </row>
    <row r="11" spans="1:19" x14ac:dyDescent="0.45">
      <c r="A11" s="7">
        <v>3.5</v>
      </c>
      <c r="B11" s="11" t="s">
        <v>119</v>
      </c>
      <c r="C11" s="11" t="s">
        <v>120</v>
      </c>
      <c r="D11" s="8">
        <f t="shared" si="3"/>
        <v>-2136.5</v>
      </c>
      <c r="E11" s="8">
        <f t="shared" si="0"/>
        <v>-172.28326608063912</v>
      </c>
      <c r="F11" s="11">
        <v>-4262</v>
      </c>
      <c r="G11" s="11">
        <v>374</v>
      </c>
      <c r="H11" s="8">
        <f t="shared" si="11"/>
        <v>-2318</v>
      </c>
      <c r="I11" s="8">
        <f t="shared" si="1"/>
        <v>-174.13398878935806</v>
      </c>
      <c r="J11" s="16">
        <f t="shared" si="4"/>
        <v>244.95748574620978</v>
      </c>
      <c r="K11" s="16">
        <f t="shared" si="2"/>
        <v>45.30609789187934</v>
      </c>
      <c r="L11" s="16">
        <f t="shared" si="5"/>
        <v>225.30609789187935</v>
      </c>
      <c r="M11" s="16">
        <f t="shared" si="6"/>
        <v>-172.28326608063909</v>
      </c>
      <c r="N11" s="16">
        <f t="shared" si="7"/>
        <v>-174.13398878935806</v>
      </c>
      <c r="O11" s="16">
        <f>M11-'"0" цикл 24.06'!M10</f>
        <v>555.08753463588187</v>
      </c>
      <c r="P11" s="16">
        <f>N11-'"0" цикл 24.06'!N10</f>
        <v>-783.11373137774262</v>
      </c>
      <c r="Q11" s="16">
        <f t="shared" si="8"/>
        <v>959.89024757026914</v>
      </c>
      <c r="R11" s="16">
        <f t="shared" si="9"/>
        <v>-54.670181157173651</v>
      </c>
      <c r="S11" s="16">
        <f t="shared" si="10"/>
        <v>305.32981884282634</v>
      </c>
    </row>
    <row r="12" spans="1:19" x14ac:dyDescent="0.45">
      <c r="A12" s="7">
        <v>4</v>
      </c>
      <c r="B12" s="11" t="s">
        <v>121</v>
      </c>
      <c r="C12" s="11" t="s">
        <v>122</v>
      </c>
      <c r="D12" s="8">
        <f t="shared" si="3"/>
        <v>-2731.5</v>
      </c>
      <c r="E12" s="8">
        <f t="shared" si="0"/>
        <v>-167.10433654044473</v>
      </c>
      <c r="F12" s="11">
        <v>-4510</v>
      </c>
      <c r="G12" s="11">
        <v>1097</v>
      </c>
      <c r="H12" s="8">
        <f t="shared" si="11"/>
        <v>-2803.5</v>
      </c>
      <c r="I12" s="8">
        <f t="shared" si="1"/>
        <v>-168.51511649701695</v>
      </c>
      <c r="J12" s="16">
        <f t="shared" si="4"/>
        <v>237.3208877840832</v>
      </c>
      <c r="K12" s="16">
        <f t="shared" si="2"/>
        <v>45.240842002813665</v>
      </c>
      <c r="L12" s="16">
        <f t="shared" si="5"/>
        <v>225.24084200281368</v>
      </c>
      <c r="M12" s="16">
        <f t="shared" si="6"/>
        <v>-167.10433654044471</v>
      </c>
      <c r="N12" s="16">
        <f t="shared" si="7"/>
        <v>-168.51511649701698</v>
      </c>
      <c r="O12" s="16">
        <f>M12-'"0" цикл 24.06'!M11</f>
        <v>555.61013848216317</v>
      </c>
      <c r="P12" s="16">
        <f>N12-'"0" цикл 24.06'!N11</f>
        <v>-773.5926333809814</v>
      </c>
      <c r="Q12" s="16">
        <f t="shared" si="8"/>
        <v>952.44327306432797</v>
      </c>
      <c r="R12" s="16">
        <f t="shared" si="9"/>
        <v>-54.313315161928578</v>
      </c>
      <c r="S12" s="16">
        <f t="shared" si="10"/>
        <v>305.68668483807141</v>
      </c>
    </row>
    <row r="13" spans="1:19" x14ac:dyDescent="0.45">
      <c r="A13" s="7">
        <v>4.5</v>
      </c>
      <c r="B13" s="11" t="s">
        <v>123</v>
      </c>
      <c r="C13" s="11" t="s">
        <v>124</v>
      </c>
      <c r="D13" s="8">
        <f t="shared" si="3"/>
        <v>-3916</v>
      </c>
      <c r="E13" s="8">
        <f t="shared" si="0"/>
        <v>-160.48318721840269</v>
      </c>
      <c r="F13" s="11">
        <v>-5668</v>
      </c>
      <c r="G13" s="11">
        <v>2227</v>
      </c>
      <c r="H13" s="8">
        <f t="shared" si="11"/>
        <v>-3947.5</v>
      </c>
      <c r="I13" s="8">
        <f t="shared" si="1"/>
        <v>-161.71944996028762</v>
      </c>
      <c r="J13" s="16">
        <f t="shared" si="4"/>
        <v>227.83334671473108</v>
      </c>
      <c r="K13" s="16">
        <f t="shared" si="2"/>
        <v>45.219837709914366</v>
      </c>
      <c r="L13" s="16">
        <f t="shared" si="5"/>
        <v>225.21983770991437</v>
      </c>
      <c r="M13" s="16">
        <f t="shared" si="6"/>
        <v>-160.48318721840266</v>
      </c>
      <c r="N13" s="16">
        <f t="shared" si="7"/>
        <v>-161.71944996028768</v>
      </c>
      <c r="O13" s="16">
        <f>M13-'"0" цикл 24.06'!M12</f>
        <v>558.02182154286027</v>
      </c>
      <c r="P13" s="16">
        <f>N13-'"0" цикл 24.06'!N12</f>
        <v>-763.81477436997375</v>
      </c>
      <c r="Q13" s="16">
        <f t="shared" si="8"/>
        <v>945.93940760699138</v>
      </c>
      <c r="R13" s="16">
        <f t="shared" si="9"/>
        <v>-53.849175257390819</v>
      </c>
      <c r="S13" s="16">
        <f t="shared" si="10"/>
        <v>306.15082474260919</v>
      </c>
    </row>
    <row r="14" spans="1:19" x14ac:dyDescent="0.45">
      <c r="A14" s="7">
        <v>5</v>
      </c>
      <c r="B14" s="11" t="s">
        <v>125</v>
      </c>
      <c r="C14" s="11" t="s">
        <v>126</v>
      </c>
      <c r="D14" s="8">
        <f t="shared" si="3"/>
        <v>-5273.5</v>
      </c>
      <c r="E14" s="8">
        <f t="shared" si="0"/>
        <v>-150.99110559002344</v>
      </c>
      <c r="F14" s="11">
        <v>-7005</v>
      </c>
      <c r="G14" s="11">
        <v>3515</v>
      </c>
      <c r="H14" s="8">
        <f t="shared" si="11"/>
        <v>-5260</v>
      </c>
      <c r="I14" s="8">
        <f t="shared" si="1"/>
        <v>-152.15102404903928</v>
      </c>
      <c r="J14" s="16">
        <f t="shared" si="4"/>
        <v>214.35542467236263</v>
      </c>
      <c r="K14" s="16">
        <f t="shared" si="2"/>
        <v>45.219230853955821</v>
      </c>
      <c r="L14" s="16">
        <f t="shared" si="5"/>
        <v>225.21923085395582</v>
      </c>
      <c r="M14" s="16">
        <f t="shared" si="6"/>
        <v>-150.99110559002344</v>
      </c>
      <c r="N14" s="16">
        <f t="shared" si="7"/>
        <v>-152.15102404903925</v>
      </c>
      <c r="O14" s="16">
        <f>M14-'"0" цикл 24.06'!M13</f>
        <v>564.94294754947418</v>
      </c>
      <c r="P14" s="16">
        <f>N14-'"0" цикл 24.06'!N13</f>
        <v>-752.69167469194667</v>
      </c>
      <c r="Q14" s="16">
        <f t="shared" si="8"/>
        <v>941.11916946604333</v>
      </c>
      <c r="R14" s="16">
        <f t="shared" si="9"/>
        <v>-53.109442369134847</v>
      </c>
      <c r="S14" s="16">
        <f t="shared" si="10"/>
        <v>306.89055763086515</v>
      </c>
    </row>
    <row r="15" spans="1:19" x14ac:dyDescent="0.45">
      <c r="A15" s="7">
        <v>5.5</v>
      </c>
      <c r="B15" s="11" t="s">
        <v>127</v>
      </c>
      <c r="C15" s="11" t="s">
        <v>128</v>
      </c>
      <c r="D15" s="8">
        <f t="shared" si="3"/>
        <v>-6288.5</v>
      </c>
      <c r="E15" s="8">
        <f t="shared" si="0"/>
        <v>-138.2091734521515</v>
      </c>
      <c r="F15" s="11">
        <v>-8031</v>
      </c>
      <c r="G15" s="11">
        <v>4599</v>
      </c>
      <c r="H15" s="8">
        <f t="shared" si="11"/>
        <v>-6315</v>
      </c>
      <c r="I15" s="8">
        <f t="shared" si="1"/>
        <v>-139.4018061671969</v>
      </c>
      <c r="J15" s="16">
        <f t="shared" si="4"/>
        <v>196.30241768506988</v>
      </c>
      <c r="K15" s="16">
        <f t="shared" si="2"/>
        <v>45.246144445704807</v>
      </c>
      <c r="L15" s="16">
        <f t="shared" si="5"/>
        <v>225.2461444457048</v>
      </c>
      <c r="M15" s="16">
        <f t="shared" si="6"/>
        <v>-138.20917345215156</v>
      </c>
      <c r="N15" s="16">
        <f t="shared" si="7"/>
        <v>-139.40180616719684</v>
      </c>
      <c r="O15" s="16">
        <f>M15-'"0" цикл 24.06'!M14</f>
        <v>577.62452325603044</v>
      </c>
      <c r="P15" s="16">
        <f>N15-'"0" цикл 24.06'!N14</f>
        <v>-740.84117968752594</v>
      </c>
      <c r="Q15" s="16">
        <f t="shared" si="8"/>
        <v>939.41244583386344</v>
      </c>
      <c r="R15" s="16">
        <f t="shared" si="9"/>
        <v>-52.056906992074786</v>
      </c>
      <c r="S15" s="16">
        <f t="shared" si="10"/>
        <v>307.9430930079252</v>
      </c>
    </row>
    <row r="16" spans="1:19" x14ac:dyDescent="0.45">
      <c r="A16" s="7">
        <v>6</v>
      </c>
      <c r="B16" s="11" t="s">
        <v>129</v>
      </c>
      <c r="C16" s="11" t="s">
        <v>130</v>
      </c>
      <c r="D16" s="8">
        <f t="shared" si="3"/>
        <v>-6174.5</v>
      </c>
      <c r="E16" s="8">
        <f t="shared" si="0"/>
        <v>-122.96778065563274</v>
      </c>
      <c r="F16" s="11">
        <v>-7865</v>
      </c>
      <c r="G16" s="11">
        <v>4444</v>
      </c>
      <c r="H16" s="8">
        <f t="shared" si="11"/>
        <v>-6154.5</v>
      </c>
      <c r="I16" s="8">
        <f t="shared" si="1"/>
        <v>-124.09620553572584</v>
      </c>
      <c r="J16" s="16">
        <f t="shared" si="4"/>
        <v>174.70244219167893</v>
      </c>
      <c r="K16" s="16">
        <f t="shared" si="2"/>
        <v>45.261687405582485</v>
      </c>
      <c r="L16" s="16">
        <f t="shared" si="5"/>
        <v>225.26168740558248</v>
      </c>
      <c r="M16" s="16">
        <f t="shared" si="6"/>
        <v>-122.96778065563272</v>
      </c>
      <c r="N16" s="16">
        <f t="shared" si="7"/>
        <v>-124.09620553572584</v>
      </c>
      <c r="O16" s="16">
        <f>M16-'"0" цикл 24.06'!M15</f>
        <v>594.65681396122932</v>
      </c>
      <c r="P16" s="16">
        <f>N16-'"0" цикл 24.06'!N15</f>
        <v>-728.36675462113396</v>
      </c>
      <c r="Q16" s="16">
        <f t="shared" si="8"/>
        <v>940.28445463478943</v>
      </c>
      <c r="R16" s="16">
        <f t="shared" si="9"/>
        <v>-50.77094101946313</v>
      </c>
      <c r="S16" s="16">
        <f t="shared" si="10"/>
        <v>309.22905898053688</v>
      </c>
    </row>
    <row r="17" spans="1:19" x14ac:dyDescent="0.45">
      <c r="A17" s="7">
        <v>6.5</v>
      </c>
      <c r="B17" s="11" t="s">
        <v>131</v>
      </c>
      <c r="C17" s="11" t="s">
        <v>132</v>
      </c>
      <c r="D17" s="8">
        <f t="shared" si="3"/>
        <v>-5283.5</v>
      </c>
      <c r="E17" s="8">
        <f t="shared" si="0"/>
        <v>-108.00260555193182</v>
      </c>
      <c r="F17" s="11">
        <v>-6979</v>
      </c>
      <c r="G17" s="11">
        <v>3516</v>
      </c>
      <c r="H17" s="8">
        <f t="shared" si="11"/>
        <v>-5247.5</v>
      </c>
      <c r="I17" s="8">
        <f t="shared" si="1"/>
        <v>-109.17949015011231</v>
      </c>
      <c r="J17" s="16">
        <f t="shared" si="4"/>
        <v>153.573187358486</v>
      </c>
      <c r="K17" s="16">
        <f t="shared" si="2"/>
        <v>45.310476147799271</v>
      </c>
      <c r="L17" s="16">
        <f t="shared" si="5"/>
        <v>225.31047614779928</v>
      </c>
      <c r="M17" s="16">
        <f t="shared" si="6"/>
        <v>-108.00260555193178</v>
      </c>
      <c r="N17" s="16">
        <f t="shared" si="7"/>
        <v>-109.17949015011233</v>
      </c>
      <c r="O17" s="16">
        <f>M17-'"0" цикл 24.06'!M16</f>
        <v>612.27814952700885</v>
      </c>
      <c r="P17" s="16">
        <f>N17-'"0" цикл 24.06'!N16</f>
        <v>-717.1711922928655</v>
      </c>
      <c r="Q17" s="16">
        <f t="shared" si="8"/>
        <v>942.98412046173314</v>
      </c>
      <c r="R17" s="16">
        <f t="shared" si="9"/>
        <v>-49.511269391482337</v>
      </c>
      <c r="S17" s="16">
        <f t="shared" si="10"/>
        <v>310.48873060851764</v>
      </c>
    </row>
    <row r="18" spans="1:19" x14ac:dyDescent="0.45">
      <c r="A18" s="7">
        <v>7</v>
      </c>
      <c r="B18" s="11" t="s">
        <v>133</v>
      </c>
      <c r="C18" s="11" t="s">
        <v>134</v>
      </c>
      <c r="D18" s="8">
        <f t="shared" si="3"/>
        <v>-3972.5</v>
      </c>
      <c r="E18" s="8">
        <f t="shared" si="0"/>
        <v>-95.196440667108746</v>
      </c>
      <c r="F18" s="11">
        <v>-5692</v>
      </c>
      <c r="G18" s="11">
        <v>2257</v>
      </c>
      <c r="H18" s="8">
        <f t="shared" si="11"/>
        <v>-3974.5</v>
      </c>
      <c r="I18" s="8">
        <f t="shared" si="1"/>
        <v>-96.46056329477338</v>
      </c>
      <c r="J18" s="16">
        <f t="shared" si="4"/>
        <v>135.5249150039628</v>
      </c>
      <c r="K18" s="16">
        <f t="shared" si="2"/>
        <v>45.377903439828913</v>
      </c>
      <c r="L18" s="16">
        <f t="shared" si="5"/>
        <v>225.37790343982891</v>
      </c>
      <c r="M18" s="16">
        <f t="shared" si="6"/>
        <v>-95.196440667108774</v>
      </c>
      <c r="N18" s="16">
        <f t="shared" si="7"/>
        <v>-96.46056329477338</v>
      </c>
      <c r="O18" s="16">
        <f>M18-'"0" цикл 24.06'!M17</f>
        <v>628.27315478135415</v>
      </c>
      <c r="P18" s="16">
        <f>N18-'"0" цикл 24.06'!N17</f>
        <v>-708.48974989507406</v>
      </c>
      <c r="Q18" s="16">
        <f t="shared" si="8"/>
        <v>946.93446590843871</v>
      </c>
      <c r="R18" s="16">
        <f t="shared" si="9"/>
        <v>-48.434092496623634</v>
      </c>
      <c r="S18" s="16">
        <f t="shared" si="10"/>
        <v>311.56590750337637</v>
      </c>
    </row>
    <row r="19" spans="1:19" x14ac:dyDescent="0.45">
      <c r="A19" s="7">
        <v>7.5</v>
      </c>
      <c r="B19" s="11" t="s">
        <v>135</v>
      </c>
      <c r="C19" s="11" t="s">
        <v>136</v>
      </c>
      <c r="D19" s="8">
        <f t="shared" si="3"/>
        <v>-3002</v>
      </c>
      <c r="E19" s="8">
        <f t="shared" si="0"/>
        <v>-85.567424213919381</v>
      </c>
      <c r="F19" s="11">
        <v>-4692</v>
      </c>
      <c r="G19" s="11">
        <v>1275</v>
      </c>
      <c r="H19" s="8">
        <f t="shared" si="11"/>
        <v>-2983.5</v>
      </c>
      <c r="I19" s="8">
        <f t="shared" si="1"/>
        <v>-86.8266996043277</v>
      </c>
      <c r="J19" s="16">
        <f t="shared" si="4"/>
        <v>121.90430612076423</v>
      </c>
      <c r="K19" s="16">
        <f t="shared" si="2"/>
        <v>45.41851706013226</v>
      </c>
      <c r="L19" s="16">
        <f t="shared" si="5"/>
        <v>225.41851706013227</v>
      </c>
      <c r="M19" s="16">
        <f t="shared" si="6"/>
        <v>-85.567424213919395</v>
      </c>
      <c r="N19" s="16">
        <f t="shared" si="7"/>
        <v>-86.826699604327686</v>
      </c>
      <c r="O19" s="16">
        <f>M19-'"0" цикл 24.06'!M18</f>
        <v>639.71076472794743</v>
      </c>
      <c r="P19" s="16">
        <f>N19-'"0" цикл 24.06'!N18</f>
        <v>-701.87286343455025</v>
      </c>
      <c r="Q19" s="16">
        <f t="shared" si="8"/>
        <v>949.66066515078433</v>
      </c>
      <c r="R19" s="16">
        <f t="shared" si="9"/>
        <v>-47.652894879828452</v>
      </c>
      <c r="S19" s="16">
        <f t="shared" si="10"/>
        <v>312.34710512017153</v>
      </c>
    </row>
    <row r="20" spans="1:19" x14ac:dyDescent="0.45">
      <c r="A20" s="7">
        <v>8</v>
      </c>
      <c r="B20" s="11" t="s">
        <v>137</v>
      </c>
      <c r="C20" s="11" t="s">
        <v>138</v>
      </c>
      <c r="D20" s="8">
        <f t="shared" si="3"/>
        <v>-3003</v>
      </c>
      <c r="E20" s="8">
        <f t="shared" si="0"/>
        <v>-78.290627764436962</v>
      </c>
      <c r="F20" s="11">
        <v>-4692</v>
      </c>
      <c r="G20" s="11">
        <v>1309</v>
      </c>
      <c r="H20" s="8">
        <f t="shared" si="11"/>
        <v>-3000.5</v>
      </c>
      <c r="I20" s="8">
        <f t="shared" si="1"/>
        <v>-79.594743700032922</v>
      </c>
      <c r="J20" s="16">
        <f t="shared" si="4"/>
        <v>111.64562517368765</v>
      </c>
      <c r="K20" s="16">
        <f t="shared" si="2"/>
        <v>45.473246122785248</v>
      </c>
      <c r="L20" s="16">
        <f t="shared" si="5"/>
        <v>225.47324612278524</v>
      </c>
      <c r="M20" s="16">
        <f t="shared" si="6"/>
        <v>-78.290627764436962</v>
      </c>
      <c r="N20" s="16">
        <f t="shared" si="7"/>
        <v>-79.594743700032907</v>
      </c>
      <c r="O20" s="16">
        <f>M20-'"0" цикл 24.06'!M19</f>
        <v>648.76258153900278</v>
      </c>
      <c r="P20" s="16">
        <f>N20-'"0" цикл 24.06'!N19</f>
        <v>-697.36094127167758</v>
      </c>
      <c r="Q20" s="16">
        <f t="shared" si="8"/>
        <v>952.47318577294936</v>
      </c>
      <c r="R20" s="16">
        <f t="shared" si="9"/>
        <v>-47.067620132819023</v>
      </c>
      <c r="S20" s="16">
        <f t="shared" si="10"/>
        <v>312.932379867181</v>
      </c>
    </row>
    <row r="21" spans="1:19" x14ac:dyDescent="0.45">
      <c r="A21" s="7">
        <v>8.5</v>
      </c>
      <c r="B21" s="11" t="s">
        <v>139</v>
      </c>
      <c r="C21" s="11" t="s">
        <v>140</v>
      </c>
      <c r="D21" s="8">
        <f t="shared" si="3"/>
        <v>-3498.5</v>
      </c>
      <c r="E21" s="8">
        <f t="shared" si="0"/>
        <v>-71.011407503365533</v>
      </c>
      <c r="F21" s="11">
        <v>-5273</v>
      </c>
      <c r="G21" s="11">
        <v>1785</v>
      </c>
      <c r="H21" s="8">
        <f t="shared" si="11"/>
        <v>-3529</v>
      </c>
      <c r="I21" s="8">
        <f t="shared" si="1"/>
        <v>-72.321582968254702</v>
      </c>
      <c r="J21" s="16">
        <f t="shared" si="4"/>
        <v>101.35596360670243</v>
      </c>
      <c r="K21" s="16">
        <f t="shared" si="2"/>
        <v>45.523713582546556</v>
      </c>
      <c r="L21" s="16">
        <f t="shared" si="5"/>
        <v>225.52371358254655</v>
      </c>
      <c r="M21" s="16">
        <f t="shared" si="6"/>
        <v>-71.011407503365561</v>
      </c>
      <c r="N21" s="16">
        <f t="shared" si="7"/>
        <v>-72.321582968254674</v>
      </c>
      <c r="O21" s="16">
        <f>M21-'"0" цикл 24.06'!M20</f>
        <v>657.77088634739846</v>
      </c>
      <c r="P21" s="16">
        <f>N21-'"0" цикл 24.06'!N20</f>
        <v>-693.02864337286917</v>
      </c>
      <c r="Q21" s="16">
        <f t="shared" si="8"/>
        <v>955.48481906385177</v>
      </c>
      <c r="R21" s="16">
        <f t="shared" si="9"/>
        <v>-46.495160501384973</v>
      </c>
      <c r="S21" s="16">
        <f t="shared" si="10"/>
        <v>313.50483949861501</v>
      </c>
    </row>
    <row r="22" spans="1:19" x14ac:dyDescent="0.45">
      <c r="A22" s="7">
        <v>9</v>
      </c>
      <c r="B22" s="11" t="s">
        <v>141</v>
      </c>
      <c r="C22" s="11" t="s">
        <v>142</v>
      </c>
      <c r="D22" s="8">
        <f t="shared" si="3"/>
        <v>-3913</v>
      </c>
      <c r="E22" s="8">
        <f t="shared" si="0"/>
        <v>-62.531210800945146</v>
      </c>
      <c r="F22" s="11">
        <v>-5626</v>
      </c>
      <c r="G22" s="11">
        <v>2201</v>
      </c>
      <c r="H22" s="8">
        <f t="shared" si="11"/>
        <v>-3913.5</v>
      </c>
      <c r="I22" s="8">
        <f t="shared" si="1"/>
        <v>-63.767462906961811</v>
      </c>
      <c r="J22" s="16">
        <f t="shared" si="4"/>
        <v>89.310926822102729</v>
      </c>
      <c r="K22" s="16">
        <f t="shared" si="2"/>
        <v>45.56081163777192</v>
      </c>
      <c r="L22" s="16">
        <f t="shared" si="5"/>
        <v>225.56081163777191</v>
      </c>
      <c r="M22" s="16">
        <f t="shared" si="6"/>
        <v>-62.531210800945161</v>
      </c>
      <c r="N22" s="16">
        <f t="shared" si="7"/>
        <v>-63.767462906961804</v>
      </c>
      <c r="O22" s="16">
        <f>M22-'"0" цикл 24.06'!M21</f>
        <v>668.19239335490977</v>
      </c>
      <c r="P22" s="16">
        <f>N22-'"0" цикл 24.06'!N21</f>
        <v>-687.38169216988854</v>
      </c>
      <c r="Q22" s="16">
        <f t="shared" si="8"/>
        <v>958.6316629799486</v>
      </c>
      <c r="R22" s="16">
        <f t="shared" si="9"/>
        <v>-45.811016096106158</v>
      </c>
      <c r="S22" s="16">
        <f t="shared" si="10"/>
        <v>314.18898390389381</v>
      </c>
    </row>
    <row r="23" spans="1:19" x14ac:dyDescent="0.45">
      <c r="A23" s="7">
        <v>9.5</v>
      </c>
      <c r="B23" s="11" t="s">
        <v>143</v>
      </c>
      <c r="C23" s="11" t="s">
        <v>144</v>
      </c>
      <c r="D23" s="8">
        <f t="shared" si="3"/>
        <v>-3790.5</v>
      </c>
      <c r="E23" s="8">
        <f t="shared" si="0"/>
        <v>-53.046400068222404</v>
      </c>
      <c r="F23" s="11">
        <v>-5529</v>
      </c>
      <c r="G23" s="11">
        <v>2057</v>
      </c>
      <c r="H23" s="8">
        <f t="shared" si="11"/>
        <v>-3793</v>
      </c>
      <c r="I23" s="8">
        <f t="shared" si="1"/>
        <v>-54.281440358156942</v>
      </c>
      <c r="J23" s="16">
        <f t="shared" si="4"/>
        <v>75.897268248297678</v>
      </c>
      <c r="K23" s="16">
        <f t="shared" si="2"/>
        <v>45.659283488457241</v>
      </c>
      <c r="L23" s="16">
        <f t="shared" si="5"/>
        <v>225.65928348845725</v>
      </c>
      <c r="M23" s="16">
        <f t="shared" si="6"/>
        <v>-53.046400068222397</v>
      </c>
      <c r="N23" s="16">
        <f t="shared" si="7"/>
        <v>-54.281440358156942</v>
      </c>
      <c r="O23" s="16">
        <f>M23-'"0" цикл 24.06'!M22</f>
        <v>679.5683365452503</v>
      </c>
      <c r="P23" s="16">
        <f>N23-'"0" цикл 24.06'!N22</f>
        <v>-680.91919171629388</v>
      </c>
      <c r="Q23" s="16">
        <f t="shared" si="8"/>
        <v>962.01043117133065</v>
      </c>
      <c r="R23" s="16">
        <f t="shared" si="9"/>
        <v>-45.056890102254549</v>
      </c>
      <c r="S23" s="16">
        <f t="shared" si="10"/>
        <v>314.94310989774544</v>
      </c>
    </row>
    <row r="24" spans="1:19" x14ac:dyDescent="0.45">
      <c r="A24" s="7">
        <v>10</v>
      </c>
      <c r="B24" s="11" t="s">
        <v>145</v>
      </c>
      <c r="C24" s="11" t="s">
        <v>146</v>
      </c>
      <c r="D24" s="8">
        <f t="shared" si="3"/>
        <v>-3258.5</v>
      </c>
      <c r="E24" s="8">
        <f t="shared" si="0"/>
        <v>-43.858485937705197</v>
      </c>
      <c r="F24" s="11">
        <v>-4984</v>
      </c>
      <c r="G24" s="11">
        <v>1527</v>
      </c>
      <c r="H24" s="8">
        <f t="shared" si="11"/>
        <v>-3255.5</v>
      </c>
      <c r="I24" s="8">
        <f t="shared" si="1"/>
        <v>-45.087467080559463</v>
      </c>
      <c r="J24" s="16">
        <f t="shared" si="4"/>
        <v>62.900289955519426</v>
      </c>
      <c r="K24" s="16">
        <f t="shared" si="2"/>
        <v>45.791615015753926</v>
      </c>
      <c r="L24" s="16">
        <f t="shared" si="5"/>
        <v>225.79161501575393</v>
      </c>
      <c r="M24" s="16">
        <f t="shared" si="6"/>
        <v>-43.858485937705183</v>
      </c>
      <c r="N24" s="16">
        <f t="shared" si="7"/>
        <v>-45.087467080559485</v>
      </c>
      <c r="O24" s="16">
        <f>M24-'"0" цикл 24.06'!M23</f>
        <v>690.33528621040045</v>
      </c>
      <c r="P24" s="16">
        <f>N24-'"0" цикл 24.06'!N23</f>
        <v>-674.14067200613215</v>
      </c>
      <c r="Q24" s="16">
        <f t="shared" si="8"/>
        <v>964.89815682281983</v>
      </c>
      <c r="R24" s="16">
        <f t="shared" si="9"/>
        <v>-44.320003057981403</v>
      </c>
      <c r="S24" s="16">
        <f t="shared" si="10"/>
        <v>315.67999694201859</v>
      </c>
    </row>
    <row r="25" spans="1:19" x14ac:dyDescent="0.45">
      <c r="A25" s="7">
        <v>10.5</v>
      </c>
      <c r="B25" s="11" t="s">
        <v>147</v>
      </c>
      <c r="C25" s="11" t="s">
        <v>148</v>
      </c>
      <c r="D25" s="8">
        <f t="shared" si="3"/>
        <v>-2736.5</v>
      </c>
      <c r="E25" s="8">
        <f t="shared" si="0"/>
        <v>-35.959987580390411</v>
      </c>
      <c r="F25" s="11">
        <v>-4436</v>
      </c>
      <c r="G25" s="11">
        <v>1003</v>
      </c>
      <c r="H25" s="8">
        <f t="shared" si="11"/>
        <v>-2719.5</v>
      </c>
      <c r="I25" s="8">
        <f t="shared" si="1"/>
        <v>-37.196240021868263</v>
      </c>
      <c r="J25" s="16">
        <f t="shared" si="4"/>
        <v>51.736650244737213</v>
      </c>
      <c r="K25" s="16">
        <f t="shared" si="2"/>
        <v>45.968137755275222</v>
      </c>
      <c r="L25" s="16">
        <f t="shared" si="5"/>
        <v>225.96813775527522</v>
      </c>
      <c r="M25" s="16">
        <f t="shared" si="6"/>
        <v>-35.959987580390418</v>
      </c>
      <c r="N25" s="16">
        <f t="shared" si="7"/>
        <v>-37.196240021868263</v>
      </c>
      <c r="O25" s="16">
        <f>M25-'"0" цикл 24.06'!M24</f>
        <v>697.81902651109135</v>
      </c>
      <c r="P25" s="16">
        <f>N25-'"0" цикл 24.06'!N24</f>
        <v>-667.04078174806762</v>
      </c>
      <c r="Q25" s="16">
        <f t="shared" si="8"/>
        <v>965.34698335674125</v>
      </c>
      <c r="R25" s="16">
        <f t="shared" si="9"/>
        <v>-43.70817157559803</v>
      </c>
      <c r="S25" s="16">
        <f t="shared" si="10"/>
        <v>316.29182842440196</v>
      </c>
    </row>
    <row r="26" spans="1:19" x14ac:dyDescent="0.45">
      <c r="A26" s="7">
        <v>11</v>
      </c>
      <c r="B26" s="11" t="s">
        <v>149</v>
      </c>
      <c r="C26" s="11" t="s">
        <v>150</v>
      </c>
      <c r="D26" s="8">
        <f t="shared" si="3"/>
        <v>-2344.5</v>
      </c>
      <c r="E26" s="8">
        <f t="shared" si="0"/>
        <v>-29.326718981016064</v>
      </c>
      <c r="F26" s="11">
        <v>-4117</v>
      </c>
      <c r="G26" s="11">
        <v>601</v>
      </c>
      <c r="H26" s="8">
        <f t="shared" si="11"/>
        <v>-2359</v>
      </c>
      <c r="I26" s="8">
        <f t="shared" si="1"/>
        <v>-30.604176981284045</v>
      </c>
      <c r="J26" s="16">
        <f t="shared" si="4"/>
        <v>42.387168988896207</v>
      </c>
      <c r="K26" s="16">
        <f t="shared" si="2"/>
        <v>46.221104217842246</v>
      </c>
      <c r="L26" s="16">
        <f t="shared" si="5"/>
        <v>226.22110421784225</v>
      </c>
      <c r="M26" s="16">
        <f t="shared" si="6"/>
        <v>-29.326718981016064</v>
      </c>
      <c r="N26" s="16">
        <f t="shared" si="7"/>
        <v>-30.604176981284049</v>
      </c>
      <c r="O26" s="16">
        <f>M26-'"0" цикл 24.06'!M25</f>
        <v>704.79214947475486</v>
      </c>
      <c r="P26" s="16">
        <f>N26-'"0" цикл 24.06'!N25</f>
        <v>-661.94739675514745</v>
      </c>
      <c r="Q26" s="16">
        <f t="shared" si="8"/>
        <v>966.90554349024274</v>
      </c>
      <c r="R26" s="16">
        <f t="shared" si="9"/>
        <v>-43.204471464853398</v>
      </c>
      <c r="S26" s="16">
        <f t="shared" si="10"/>
        <v>316.79552853514662</v>
      </c>
    </row>
    <row r="27" spans="1:19" x14ac:dyDescent="0.45">
      <c r="A27" s="7">
        <v>11.5</v>
      </c>
      <c r="B27" s="11" t="s">
        <v>151</v>
      </c>
      <c r="C27" s="11" t="s">
        <v>152</v>
      </c>
      <c r="D27" s="8">
        <f t="shared" si="3"/>
        <v>-2394.5</v>
      </c>
      <c r="E27" s="8">
        <f t="shared" si="0"/>
        <v>-23.643612978802462</v>
      </c>
      <c r="F27" s="11">
        <v>-4106</v>
      </c>
      <c r="G27" s="11">
        <v>670</v>
      </c>
      <c r="H27" s="8">
        <f t="shared" si="11"/>
        <v>-2388</v>
      </c>
      <c r="I27" s="8">
        <f t="shared" si="1"/>
        <v>-24.88592427179745</v>
      </c>
      <c r="J27" s="16">
        <f t="shared" si="4"/>
        <v>34.326806748560713</v>
      </c>
      <c r="K27" s="16">
        <f t="shared" si="2"/>
        <v>46.466398730814802</v>
      </c>
      <c r="L27" s="16">
        <f t="shared" si="5"/>
        <v>226.4663987308148</v>
      </c>
      <c r="M27" s="16">
        <f t="shared" si="6"/>
        <v>-23.643612978802452</v>
      </c>
      <c r="N27" s="16">
        <f t="shared" si="7"/>
        <v>-24.885924271797453</v>
      </c>
      <c r="O27" s="16">
        <f>M27-'"0" цикл 24.06'!M26</f>
        <v>711.88036487880231</v>
      </c>
      <c r="P27" s="16">
        <f>N27-'"0" цикл 24.06'!N26</f>
        <v>-658.63162899764666</v>
      </c>
      <c r="Q27" s="16">
        <f t="shared" si="8"/>
        <v>969.82950904582731</v>
      </c>
      <c r="R27" s="16">
        <f t="shared" si="9"/>
        <v>-42.774996470065702</v>
      </c>
      <c r="S27" s="16">
        <f t="shared" si="10"/>
        <v>317.22500352993427</v>
      </c>
    </row>
    <row r="28" spans="1:19" x14ac:dyDescent="0.45">
      <c r="A28" s="7">
        <v>12</v>
      </c>
      <c r="B28" s="11" t="s">
        <v>153</v>
      </c>
      <c r="C28" s="11" t="s">
        <v>154</v>
      </c>
      <c r="D28" s="8">
        <f t="shared" si="3"/>
        <v>-2150</v>
      </c>
      <c r="E28" s="8">
        <f t="shared" si="0"/>
        <v>-17.839311553905922</v>
      </c>
      <c r="F28" s="11">
        <v>-3862</v>
      </c>
      <c r="G28" s="11">
        <v>414</v>
      </c>
      <c r="H28" s="8">
        <f t="shared" si="11"/>
        <v>-2138</v>
      </c>
      <c r="I28" s="8">
        <f t="shared" si="1"/>
        <v>-19.097378232714043</v>
      </c>
      <c r="J28" s="16">
        <f t="shared" si="4"/>
        <v>26.133329142699395</v>
      </c>
      <c r="K28" s="16">
        <f t="shared" si="2"/>
        <v>46.950744829290834</v>
      </c>
      <c r="L28" s="16">
        <f t="shared" si="5"/>
        <v>226.95074482929084</v>
      </c>
      <c r="M28" s="16">
        <f t="shared" si="6"/>
        <v>-17.839311553905919</v>
      </c>
      <c r="N28" s="16">
        <f t="shared" si="7"/>
        <v>-19.097378232714046</v>
      </c>
      <c r="O28" s="16">
        <f>M28-'"0" цикл 24.06'!M27</f>
        <v>720.05115424921905</v>
      </c>
      <c r="P28" s="16">
        <f>N28-'"0" цикл 24.06'!N27</f>
        <v>-656.22220859235961</v>
      </c>
      <c r="Q28" s="16">
        <f t="shared" si="8"/>
        <v>974.21827727951552</v>
      </c>
      <c r="R28" s="16">
        <f t="shared" si="9"/>
        <v>-42.344633268287815</v>
      </c>
      <c r="S28" s="16">
        <f t="shared" si="10"/>
        <v>317.65536673171221</v>
      </c>
    </row>
    <row r="29" spans="1:19" x14ac:dyDescent="0.45">
      <c r="A29" s="7">
        <v>12.5</v>
      </c>
      <c r="B29" s="11" t="s">
        <v>155</v>
      </c>
      <c r="C29" s="11" t="s">
        <v>156</v>
      </c>
      <c r="D29" s="8">
        <f t="shared" si="3"/>
        <v>-2247</v>
      </c>
      <c r="E29" s="8">
        <f t="shared" si="0"/>
        <v>-12.627658856850251</v>
      </c>
      <c r="F29" s="11">
        <v>-3978</v>
      </c>
      <c r="G29" s="11">
        <v>515</v>
      </c>
      <c r="H29" s="8">
        <f t="shared" si="11"/>
        <v>-2246.5</v>
      </c>
      <c r="I29" s="8">
        <f t="shared" si="1"/>
        <v>-13.914812785103628</v>
      </c>
      <c r="J29" s="16">
        <f t="shared" si="4"/>
        <v>18.790417319726348</v>
      </c>
      <c r="K29" s="16">
        <f t="shared" si="2"/>
        <v>47.776333687031688</v>
      </c>
      <c r="L29" s="16">
        <f t="shared" si="5"/>
        <v>227.77633368703169</v>
      </c>
      <c r="M29" s="16">
        <f t="shared" si="6"/>
        <v>-12.627658856850246</v>
      </c>
      <c r="N29" s="16">
        <f t="shared" si="7"/>
        <v>-13.914812785103631</v>
      </c>
      <c r="O29" s="16">
        <f>M29-'"0" цикл 24.06'!M28</f>
        <v>728.74349865630256</v>
      </c>
      <c r="P29" s="16">
        <f>N29-'"0" цикл 24.06'!N28</f>
        <v>-655.5311390849588</v>
      </c>
      <c r="Q29" s="16">
        <f t="shared" si="8"/>
        <v>980.19802139356113</v>
      </c>
      <c r="R29" s="16">
        <f t="shared" si="9"/>
        <v>-41.972526658968064</v>
      </c>
      <c r="S29" s="16">
        <f t="shared" si="10"/>
        <v>318.02747334103196</v>
      </c>
    </row>
    <row r="30" spans="1:19" x14ac:dyDescent="0.45">
      <c r="A30" s="7">
        <v>13</v>
      </c>
      <c r="B30" s="11" t="s">
        <v>157</v>
      </c>
      <c r="C30" s="11" t="s">
        <v>158</v>
      </c>
      <c r="D30" s="8">
        <f t="shared" si="3"/>
        <v>-1825.5</v>
      </c>
      <c r="E30" s="8">
        <f t="shared" si="0"/>
        <v>-7.1808848828924772</v>
      </c>
      <c r="F30" s="11">
        <v>-3529</v>
      </c>
      <c r="G30" s="11">
        <v>85</v>
      </c>
      <c r="H30" s="8">
        <f t="shared" si="11"/>
        <v>-1807</v>
      </c>
      <c r="I30" s="8">
        <f t="shared" si="1"/>
        <v>-8.4692507734468183</v>
      </c>
      <c r="J30" s="16">
        <f t="shared" si="4"/>
        <v>11.103752355167293</v>
      </c>
      <c r="K30" s="16">
        <f t="shared" si="2"/>
        <v>49.706147467571661</v>
      </c>
      <c r="L30" s="16">
        <f t="shared" si="5"/>
        <v>229.70614746757167</v>
      </c>
      <c r="M30" s="16">
        <f t="shared" si="6"/>
        <v>-7.1808848828924727</v>
      </c>
      <c r="N30" s="16">
        <f t="shared" si="7"/>
        <v>-8.4692507734468201</v>
      </c>
      <c r="O30" s="16">
        <f>M30-'"0" цикл 24.06'!M29</f>
        <v>738.53148219265722</v>
      </c>
      <c r="P30" s="16">
        <f>N30-'"0" цикл 24.06'!N29</f>
        <v>-655.6543954858663</v>
      </c>
      <c r="Q30" s="16">
        <f t="shared" si="8"/>
        <v>987.57857232203048</v>
      </c>
      <c r="R30" s="16">
        <f t="shared" si="9"/>
        <v>-41.598067767252637</v>
      </c>
      <c r="S30" s="16">
        <f t="shared" si="10"/>
        <v>318.40193223274736</v>
      </c>
    </row>
    <row r="31" spans="1:19" x14ac:dyDescent="0.45">
      <c r="A31" s="7">
        <v>13.5</v>
      </c>
      <c r="B31" s="11" t="s">
        <v>159</v>
      </c>
      <c r="C31" s="11" t="s">
        <v>160</v>
      </c>
      <c r="D31" s="8">
        <f t="shared" si="3"/>
        <v>-1092</v>
      </c>
      <c r="E31" s="8">
        <f t="shared" si="0"/>
        <v>-2.755805776543033</v>
      </c>
      <c r="F31" s="11">
        <v>-2796</v>
      </c>
      <c r="G31" s="11">
        <v>-647</v>
      </c>
      <c r="H31" s="8">
        <f t="shared" si="11"/>
        <v>-1074.5</v>
      </c>
      <c r="I31" s="8">
        <f t="shared" si="1"/>
        <v>-4.0890151940445794</v>
      </c>
      <c r="J31" s="16">
        <f t="shared" si="4"/>
        <v>4.930974623252018</v>
      </c>
      <c r="K31" s="16">
        <f t="shared" si="2"/>
        <v>56.021865085068292</v>
      </c>
      <c r="L31" s="16">
        <f t="shared" si="5"/>
        <v>236.0218650850683</v>
      </c>
      <c r="M31" s="16">
        <f t="shared" si="6"/>
        <v>-2.7558057765430344</v>
      </c>
      <c r="N31" s="16">
        <f t="shared" si="7"/>
        <v>-4.0890151940445785</v>
      </c>
      <c r="O31" s="16">
        <f>M31-'"0" цикл 24.06'!M30</f>
        <v>745.6339320579458</v>
      </c>
      <c r="P31" s="16">
        <f>N31-'"0" цикл 24.06'!N30</f>
        <v>-655.00525136829094</v>
      </c>
      <c r="Q31" s="16">
        <f t="shared" si="8"/>
        <v>992.47258902008537</v>
      </c>
      <c r="R31" s="16">
        <f t="shared" si="9"/>
        <v>-41.297824360738929</v>
      </c>
      <c r="S31" s="16">
        <f t="shared" si="10"/>
        <v>318.7021756392611</v>
      </c>
    </row>
    <row r="32" spans="1:19" x14ac:dyDescent="0.45">
      <c r="A32" s="7">
        <v>14</v>
      </c>
      <c r="B32" s="11" t="s">
        <v>161</v>
      </c>
      <c r="C32" s="11" t="s">
        <v>162</v>
      </c>
      <c r="D32" s="8">
        <f t="shared" si="3"/>
        <v>-441.5</v>
      </c>
      <c r="E32" s="8">
        <f t="shared" si="0"/>
        <v>-0.10873544315589911</v>
      </c>
      <c r="F32" s="11">
        <v>-2167</v>
      </c>
      <c r="G32" s="11">
        <v>-1278</v>
      </c>
      <c r="H32" s="8">
        <f t="shared" si="11"/>
        <v>-444.5</v>
      </c>
      <c r="I32" s="8">
        <f t="shared" si="1"/>
        <v>-1.4843654727375122</v>
      </c>
      <c r="J32" s="16">
        <f t="shared" si="4"/>
        <v>1.4883427875504918</v>
      </c>
      <c r="K32" s="16">
        <f t="shared" si="2"/>
        <v>85.810348570527722</v>
      </c>
      <c r="L32" s="16">
        <f t="shared" si="5"/>
        <v>265.81034857052771</v>
      </c>
      <c r="M32" s="16">
        <f t="shared" si="6"/>
        <v>-0.1087354431559022</v>
      </c>
      <c r="N32" s="16">
        <f t="shared" si="7"/>
        <v>-1.4843654727375122</v>
      </c>
      <c r="O32" s="16">
        <f>M32-'"0" цикл 24.06'!M31</f>
        <v>750.26327913713294</v>
      </c>
      <c r="P32" s="16">
        <f>N32-'"0" цикл 24.06'!N31</f>
        <v>-655.31637580224344</v>
      </c>
      <c r="Q32" s="16">
        <f t="shared" si="8"/>
        <v>996.15989701261844</v>
      </c>
      <c r="R32" s="16">
        <f t="shared" si="9"/>
        <v>-41.135540900038315</v>
      </c>
      <c r="S32" s="16">
        <f t="shared" si="10"/>
        <v>318.86445909996166</v>
      </c>
    </row>
    <row r="33" spans="1:19" x14ac:dyDescent="0.45">
      <c r="A33" s="7">
        <v>14.5</v>
      </c>
      <c r="B33" s="11" t="s">
        <v>163</v>
      </c>
      <c r="C33" s="11" t="s">
        <v>164</v>
      </c>
      <c r="D33" s="8">
        <f t="shared" si="3"/>
        <v>-644.5</v>
      </c>
      <c r="E33" s="8">
        <f t="shared" si="0"/>
        <v>0.96148994068019089</v>
      </c>
      <c r="F33" s="11">
        <v>-2401</v>
      </c>
      <c r="G33" s="11">
        <v>-1116</v>
      </c>
      <c r="H33" s="8">
        <f t="shared" si="11"/>
        <v>-642.5</v>
      </c>
      <c r="I33" s="8">
        <f t="shared" si="1"/>
        <v>-0.40686790045716359</v>
      </c>
      <c r="J33" s="16">
        <f t="shared" si="4"/>
        <v>1.0440327554495679</v>
      </c>
      <c r="K33" s="16">
        <f t="shared" si="2"/>
        <v>157.06366945794642</v>
      </c>
      <c r="L33" s="16">
        <f t="shared" si="5"/>
        <v>337.06366945794639</v>
      </c>
      <c r="M33" s="16">
        <f t="shared" si="6"/>
        <v>0.96148994068019078</v>
      </c>
      <c r="N33" s="16">
        <f t="shared" si="7"/>
        <v>-0.4068679004571637</v>
      </c>
      <c r="O33" s="16">
        <f>M33-'"0" цикл 24.06'!M32</f>
        <v>752.22277354672099</v>
      </c>
      <c r="P33" s="16">
        <f>N33-'"0" цикл 24.06'!N32</f>
        <v>-656.22515465713548</v>
      </c>
      <c r="Q33" s="16">
        <f t="shared" si="8"/>
        <v>998.23371744652206</v>
      </c>
      <c r="R33" s="16">
        <f t="shared" si="9"/>
        <v>-41.100839318939336</v>
      </c>
      <c r="S33" s="16">
        <f t="shared" si="10"/>
        <v>318.89916068106066</v>
      </c>
    </row>
    <row r="34" spans="1:19" x14ac:dyDescent="0.45">
      <c r="A34" s="7">
        <v>15</v>
      </c>
      <c r="B34" s="11" t="s">
        <v>165</v>
      </c>
      <c r="C34" s="11" t="s">
        <v>166</v>
      </c>
      <c r="D34" s="8">
        <f t="shared" si="3"/>
        <v>-879</v>
      </c>
      <c r="E34" s="8">
        <f t="shared" si="0"/>
        <v>2.523799485842833</v>
      </c>
      <c r="F34" s="11">
        <v>-2618</v>
      </c>
      <c r="G34" s="11">
        <v>-851</v>
      </c>
      <c r="H34" s="8">
        <f t="shared" si="11"/>
        <v>-883.5</v>
      </c>
      <c r="I34" s="8">
        <f t="shared" si="1"/>
        <v>1.1505935314878468</v>
      </c>
      <c r="J34" s="16">
        <f t="shared" si="4"/>
        <v>2.7737031779630321</v>
      </c>
      <c r="K34" s="16">
        <f t="shared" si="2"/>
        <v>204.50811728000249</v>
      </c>
      <c r="L34" s="16">
        <f t="shared" si="5"/>
        <v>24.508117280002466</v>
      </c>
      <c r="M34" s="16">
        <f t="shared" si="6"/>
        <v>2.5237994858428339</v>
      </c>
      <c r="N34" s="16">
        <f t="shared" si="7"/>
        <v>1.1505935314878453</v>
      </c>
      <c r="O34" s="16">
        <f>M34-'"0" цикл 24.06'!M33</f>
        <v>753.96058564084126</v>
      </c>
      <c r="P34" s="16">
        <f>N34-'"0" цикл 24.06'!N33</f>
        <v>-655.78264256431567</v>
      </c>
      <c r="Q34" s="16">
        <f t="shared" si="8"/>
        <v>999.25344081895321</v>
      </c>
      <c r="R34" s="16">
        <f t="shared" si="9"/>
        <v>-41.016214961015407</v>
      </c>
      <c r="S34" s="16">
        <f t="shared" si="10"/>
        <v>318.98378503898459</v>
      </c>
    </row>
    <row r="35" spans="1:19" x14ac:dyDescent="0.45">
      <c r="A35" s="7">
        <v>15.5</v>
      </c>
      <c r="B35" s="11" t="s">
        <v>167</v>
      </c>
      <c r="C35" s="11" t="s">
        <v>168</v>
      </c>
      <c r="D35" s="8">
        <f t="shared" si="3"/>
        <v>-1253.5</v>
      </c>
      <c r="E35" s="8">
        <f t="shared" si="0"/>
        <v>4.6545491650637052</v>
      </c>
      <c r="F35" s="11">
        <v>-2997</v>
      </c>
      <c r="G35" s="11">
        <v>-480</v>
      </c>
      <c r="H35" s="8">
        <f t="shared" si="11"/>
        <v>-1258.5</v>
      </c>
      <c r="I35" s="8">
        <f t="shared" si="1"/>
        <v>3.2922514189757979</v>
      </c>
      <c r="J35" s="16">
        <f t="shared" si="4"/>
        <v>5.7012057791087827</v>
      </c>
      <c r="K35" s="16">
        <f t="shared" si="2"/>
        <v>215.27249797146291</v>
      </c>
      <c r="L35" s="16">
        <f t="shared" si="5"/>
        <v>35.27249797146294</v>
      </c>
      <c r="M35" s="16">
        <f t="shared" si="6"/>
        <v>4.6545491650637025</v>
      </c>
      <c r="N35" s="16">
        <f t="shared" si="7"/>
        <v>3.292251418975801</v>
      </c>
      <c r="O35" s="16">
        <f>M35-'"0" цикл 24.06'!M34</f>
        <v>755.38156832929087</v>
      </c>
      <c r="P35" s="16">
        <f>N35-'"0" цикл 24.06'!N34</f>
        <v>-653.90157201862701</v>
      </c>
      <c r="Q35" s="16">
        <f t="shared" si="8"/>
        <v>999.09387930266632</v>
      </c>
      <c r="R35" s="16">
        <f t="shared" si="9"/>
        <v>-40.881340706418065</v>
      </c>
      <c r="S35" s="16">
        <f t="shared" si="10"/>
        <v>319.11865929358191</v>
      </c>
    </row>
    <row r="36" spans="1:19" x14ac:dyDescent="0.45">
      <c r="A36" s="7">
        <v>16</v>
      </c>
      <c r="B36" s="11" t="s">
        <v>169</v>
      </c>
      <c r="C36" s="11" t="s">
        <v>170</v>
      </c>
      <c r="D36" s="8">
        <f t="shared" si="3"/>
        <v>-1546.5</v>
      </c>
      <c r="E36" s="8">
        <f t="shared" si="0"/>
        <v>7.6931002082328206</v>
      </c>
      <c r="F36" s="11">
        <v>-3257</v>
      </c>
      <c r="G36" s="11">
        <v>-195</v>
      </c>
      <c r="H36" s="8">
        <f t="shared" si="11"/>
        <v>-1531</v>
      </c>
      <c r="I36" s="8">
        <f t="shared" si="1"/>
        <v>6.3429225794674515</v>
      </c>
      <c r="J36" s="16">
        <f t="shared" si="4"/>
        <v>9.9707801932963047</v>
      </c>
      <c r="K36" s="16">
        <f t="shared" si="2"/>
        <v>219.50541022898531</v>
      </c>
      <c r="L36" s="16">
        <f t="shared" si="5"/>
        <v>39.505410228985284</v>
      </c>
      <c r="M36" s="16">
        <f t="shared" si="6"/>
        <v>7.6931002082328233</v>
      </c>
      <c r="N36" s="16">
        <f t="shared" si="7"/>
        <v>6.3429225794674471</v>
      </c>
      <c r="O36" s="16">
        <f>M36-'"0" цикл 24.06'!M35</f>
        <v>757.95966764390812</v>
      </c>
      <c r="P36" s="16">
        <f>N36-'"0" цикл 24.06'!N35</f>
        <v>-651.25559903425392</v>
      </c>
      <c r="Q36" s="16">
        <f t="shared" si="8"/>
        <v>999.31812404675645</v>
      </c>
      <c r="R36" s="16">
        <f t="shared" si="9"/>
        <v>-40.669895854207589</v>
      </c>
      <c r="S36" s="16">
        <f t="shared" si="10"/>
        <v>319.3301041457924</v>
      </c>
    </row>
    <row r="37" spans="1:19" x14ac:dyDescent="0.45">
      <c r="A37" s="7">
        <v>16.5</v>
      </c>
      <c r="B37" s="11" t="s">
        <v>171</v>
      </c>
      <c r="C37" s="11" t="s">
        <v>172</v>
      </c>
      <c r="D37" s="8">
        <f t="shared" si="3"/>
        <v>-2229</v>
      </c>
      <c r="E37" s="8">
        <f t="shared" si="0"/>
        <v>11.441886874387798</v>
      </c>
      <c r="F37" s="11">
        <v>-3964</v>
      </c>
      <c r="G37" s="11">
        <v>513</v>
      </c>
      <c r="H37" s="8">
        <f t="shared" si="11"/>
        <v>-2238.5</v>
      </c>
      <c r="I37" s="8">
        <f t="shared" si="1"/>
        <v>10.054137230860658</v>
      </c>
      <c r="J37" s="16">
        <f t="shared" si="4"/>
        <v>15.231626659791337</v>
      </c>
      <c r="K37" s="16">
        <f t="shared" si="2"/>
        <v>221.30620019761295</v>
      </c>
      <c r="L37" s="16">
        <f t="shared" si="5"/>
        <v>41.306200197612952</v>
      </c>
      <c r="M37" s="16">
        <f t="shared" si="6"/>
        <v>11.441886874387796</v>
      </c>
      <c r="N37" s="16">
        <f t="shared" si="7"/>
        <v>10.054137230860659</v>
      </c>
      <c r="O37" s="16">
        <f>M37-'"0" цикл 24.06'!M36</f>
        <v>761.95001271727949</v>
      </c>
      <c r="P37" s="16">
        <f>N37-'"0" цикл 24.06'!N36</f>
        <v>-649.11942022451933</v>
      </c>
      <c r="Q37" s="16">
        <f t="shared" si="8"/>
        <v>1000.9614595939638</v>
      </c>
      <c r="R37" s="16">
        <f t="shared" si="9"/>
        <v>-40.428296265581096</v>
      </c>
      <c r="S37" s="16">
        <f t="shared" si="10"/>
        <v>319.57170373441892</v>
      </c>
    </row>
    <row r="38" spans="1:19" x14ac:dyDescent="0.45">
      <c r="A38" s="7">
        <v>17</v>
      </c>
      <c r="B38" s="11" t="s">
        <v>173</v>
      </c>
      <c r="C38" s="11" t="s">
        <v>174</v>
      </c>
      <c r="D38" s="8">
        <f t="shared" si="3"/>
        <v>-2590.5</v>
      </c>
      <c r="E38" s="8">
        <f t="shared" si="0"/>
        <v>16.845030185402528</v>
      </c>
      <c r="F38" s="11">
        <v>-3977</v>
      </c>
      <c r="G38" s="11">
        <v>1114</v>
      </c>
      <c r="H38" s="8">
        <f t="shared" si="11"/>
        <v>-2545.5</v>
      </c>
      <c r="I38" s="8">
        <f t="shared" si="1"/>
        <v>15.480307841355062</v>
      </c>
      <c r="J38" s="16">
        <f t="shared" si="4"/>
        <v>22.877827099841483</v>
      </c>
      <c r="K38" s="16">
        <f t="shared" si="2"/>
        <v>222.58250251244323</v>
      </c>
      <c r="L38" s="16">
        <f t="shared" si="5"/>
        <v>42.582502512443227</v>
      </c>
      <c r="M38" s="16">
        <f t="shared" si="6"/>
        <v>16.845030185402525</v>
      </c>
      <c r="N38" s="16">
        <f t="shared" si="7"/>
        <v>15.480307841355064</v>
      </c>
      <c r="O38" s="16">
        <f>M38-'"0" цикл 24.06'!M37</f>
        <v>768.08558803508492</v>
      </c>
      <c r="P38" s="16">
        <f>N38-'"0" цикл 24.06'!N37</f>
        <v>-645.46027060004053</v>
      </c>
      <c r="Q38" s="16">
        <f t="shared" si="8"/>
        <v>1003.2818305293282</v>
      </c>
      <c r="R38" s="16">
        <f t="shared" si="9"/>
        <v>-40.041994886063925</v>
      </c>
      <c r="S38" s="16">
        <f t="shared" si="10"/>
        <v>319.95800511393605</v>
      </c>
    </row>
    <row r="39" spans="1:19" x14ac:dyDescent="0.45">
      <c r="A39" s="7">
        <v>17.5</v>
      </c>
      <c r="B39" s="11" t="s">
        <v>175</v>
      </c>
      <c r="C39" s="11" t="s">
        <v>176</v>
      </c>
      <c r="D39" s="8">
        <f t="shared" si="3"/>
        <v>-2458</v>
      </c>
      <c r="E39" s="8">
        <f t="shared" si="0"/>
        <v>23.124414311395782</v>
      </c>
      <c r="F39" s="11">
        <v>-4542</v>
      </c>
      <c r="G39" s="11">
        <v>532</v>
      </c>
      <c r="H39" s="8">
        <f t="shared" si="11"/>
        <v>-2537</v>
      </c>
      <c r="I39" s="8">
        <f t="shared" si="1"/>
        <v>21.650617343301523</v>
      </c>
      <c r="J39" s="16">
        <f t="shared" si="4"/>
        <v>31.677875064327701</v>
      </c>
      <c r="K39" s="16">
        <f t="shared" si="2"/>
        <v>223.11475577250411</v>
      </c>
      <c r="L39" s="16">
        <f t="shared" si="5"/>
        <v>43.114755772504111</v>
      </c>
      <c r="M39" s="16">
        <f t="shared" si="6"/>
        <v>23.124414311395775</v>
      </c>
      <c r="N39" s="16">
        <f t="shared" si="7"/>
        <v>21.65061734330153</v>
      </c>
      <c r="O39" s="16">
        <f>M39-'"0" цикл 24.06'!M38</f>
        <v>774.30764294341225</v>
      </c>
      <c r="P39" s="16">
        <f>N39-'"0" цикл 24.06'!N38</f>
        <v>-640.19813782686515</v>
      </c>
      <c r="Q39" s="16">
        <f t="shared" si="8"/>
        <v>1004.6919834444627</v>
      </c>
      <c r="R39" s="16">
        <f t="shared" si="9"/>
        <v>-39.583968010810729</v>
      </c>
      <c r="S39" s="16">
        <f t="shared" si="10"/>
        <v>320.41603198918926</v>
      </c>
    </row>
    <row r="40" spans="1:19" x14ac:dyDescent="0.45">
      <c r="A40" s="7">
        <v>18</v>
      </c>
      <c r="B40" s="11" t="s">
        <v>167</v>
      </c>
      <c r="C40" s="11" t="s">
        <v>177</v>
      </c>
      <c r="D40" s="8">
        <f t="shared" si="3"/>
        <v>-1256.5</v>
      </c>
      <c r="E40" s="8">
        <f t="shared" si="0"/>
        <v>29.082633430544753</v>
      </c>
      <c r="F40" s="11">
        <v>-3074</v>
      </c>
      <c r="G40" s="11">
        <v>-370</v>
      </c>
      <c r="H40" s="8">
        <f t="shared" si="11"/>
        <v>-1352</v>
      </c>
      <c r="I40" s="8">
        <f t="shared" si="1"/>
        <v>27.800323827572097</v>
      </c>
      <c r="J40" s="16">
        <f t="shared" si="4"/>
        <v>40.232543695040114</v>
      </c>
      <c r="K40" s="16">
        <f t="shared" si="2"/>
        <v>223.70860289237987</v>
      </c>
      <c r="L40" s="16">
        <f t="shared" si="5"/>
        <v>43.708602892379872</v>
      </c>
      <c r="M40" s="16">
        <f t="shared" si="6"/>
        <v>29.082633430544757</v>
      </c>
      <c r="N40" s="16">
        <f t="shared" si="7"/>
        <v>27.800323827572093</v>
      </c>
      <c r="O40" s="16">
        <f>M40-'"0" цикл 24.06'!M39</f>
        <v>778.96753248358243</v>
      </c>
      <c r="P40" s="16">
        <f>N40-'"0" цикл 24.06'!N39</f>
        <v>-633.74930131919359</v>
      </c>
      <c r="Q40" s="16">
        <f t="shared" si="8"/>
        <v>1004.2054538719291</v>
      </c>
      <c r="R40" s="16">
        <f t="shared" si="9"/>
        <v>-39.13097508637992</v>
      </c>
      <c r="S40" s="16">
        <f t="shared" si="10"/>
        <v>320.86902491362008</v>
      </c>
    </row>
    <row r="41" spans="1:19" x14ac:dyDescent="0.45">
      <c r="A41" s="7">
        <v>18.5</v>
      </c>
      <c r="B41" s="11" t="s">
        <v>178</v>
      </c>
      <c r="C41" s="11" t="s">
        <v>179</v>
      </c>
      <c r="D41" s="8">
        <f t="shared" si="3"/>
        <v>-46</v>
      </c>
      <c r="E41" s="8">
        <f t="shared" si="0"/>
        <v>32.128456544322106</v>
      </c>
      <c r="F41" s="11">
        <v>-1529</v>
      </c>
      <c r="G41" s="11">
        <v>-1464</v>
      </c>
      <c r="H41" s="8">
        <f t="shared" si="11"/>
        <v>-32.5</v>
      </c>
      <c r="I41" s="8">
        <f t="shared" si="1"/>
        <v>31.077640844066188</v>
      </c>
      <c r="J41" s="16">
        <f t="shared" si="4"/>
        <v>44.699636244081056</v>
      </c>
      <c r="K41" s="16">
        <f t="shared" si="2"/>
        <v>224.04753242147299</v>
      </c>
      <c r="L41" s="16">
        <f t="shared" si="5"/>
        <v>44.047532421472965</v>
      </c>
      <c r="M41" s="16">
        <f t="shared" si="6"/>
        <v>32.128456544322113</v>
      </c>
      <c r="N41" s="16">
        <f t="shared" si="7"/>
        <v>31.077640844066174</v>
      </c>
      <c r="O41" s="16">
        <f>M41-'"0" цикл 24.06'!M40</f>
        <v>778.78985176231606</v>
      </c>
      <c r="P41" s="16">
        <f>N41-'"0" цикл 24.06'!N40</f>
        <v>-628.13761490866273</v>
      </c>
      <c r="Q41" s="16">
        <f t="shared" si="8"/>
        <v>1000.5351050668405</v>
      </c>
      <c r="R41" s="16">
        <f t="shared" si="9"/>
        <v>-38.88811969192939</v>
      </c>
      <c r="S41" s="16">
        <f t="shared" si="10"/>
        <v>321.11188030807062</v>
      </c>
    </row>
    <row r="42" spans="1:19" x14ac:dyDescent="0.45">
      <c r="A42" s="7">
        <v>19</v>
      </c>
      <c r="B42" s="11" t="s">
        <v>180</v>
      </c>
      <c r="C42" s="11" t="s">
        <v>181</v>
      </c>
      <c r="D42" s="8">
        <f t="shared" si="3"/>
        <v>391</v>
      </c>
      <c r="E42" s="8">
        <f t="shared" si="0"/>
        <v>32.239963690052988</v>
      </c>
      <c r="F42" s="11">
        <v>-803</v>
      </c>
      <c r="G42" s="11">
        <v>-1810</v>
      </c>
      <c r="H42" s="8">
        <f t="shared" si="11"/>
        <v>503.5</v>
      </c>
      <c r="I42" s="8">
        <f t="shared" si="1"/>
        <v>31.156423066920507</v>
      </c>
      <c r="J42" s="16">
        <f t="shared" si="4"/>
        <v>44.834562081734127</v>
      </c>
      <c r="K42" s="16">
        <f t="shared" si="2"/>
        <v>224.02082336692882</v>
      </c>
      <c r="L42" s="16">
        <f t="shared" si="5"/>
        <v>44.020823366928823</v>
      </c>
      <c r="M42" s="16">
        <f t="shared" si="6"/>
        <v>32.239963690052996</v>
      </c>
      <c r="N42" s="16">
        <f t="shared" si="7"/>
        <v>31.156423066920503</v>
      </c>
      <c r="O42" s="16">
        <f>M42-'"0" цикл 24.06'!M41</f>
        <v>774.33544712045625</v>
      </c>
      <c r="P42" s="16">
        <f>N42-'"0" цикл 24.06'!N41</f>
        <v>-624.52408558061791</v>
      </c>
      <c r="Q42" s="16">
        <f t="shared" si="8"/>
        <v>994.79933561374264</v>
      </c>
      <c r="R42" s="16">
        <f t="shared" si="9"/>
        <v>-38.887187097232434</v>
      </c>
      <c r="S42" s="16">
        <f t="shared" si="10"/>
        <v>321.11281290276759</v>
      </c>
    </row>
    <row r="43" spans="1:19" x14ac:dyDescent="0.45">
      <c r="A43" s="7">
        <v>19.5</v>
      </c>
      <c r="B43" s="11" t="s">
        <v>182</v>
      </c>
      <c r="C43" s="11" t="s">
        <v>183</v>
      </c>
      <c r="D43" s="8">
        <f t="shared" si="3"/>
        <v>726.5</v>
      </c>
      <c r="E43" s="8">
        <f t="shared" si="0"/>
        <v>31.292153511124571</v>
      </c>
      <c r="F43" s="11">
        <v>-900</v>
      </c>
      <c r="G43" s="11">
        <v>-2345</v>
      </c>
      <c r="H43" s="8">
        <f t="shared" si="11"/>
        <v>722.5</v>
      </c>
      <c r="I43" s="8">
        <f t="shared" si="1"/>
        <v>29.935905836836177</v>
      </c>
      <c r="J43" s="16">
        <f t="shared" si="4"/>
        <v>43.305396079884872</v>
      </c>
      <c r="K43" s="16">
        <f t="shared" si="2"/>
        <v>223.73106279861994</v>
      </c>
      <c r="L43" s="16">
        <f t="shared" si="5"/>
        <v>43.731062798619973</v>
      </c>
      <c r="M43" s="16">
        <f t="shared" si="6"/>
        <v>31.292153511124553</v>
      </c>
      <c r="N43" s="16">
        <f t="shared" si="7"/>
        <v>29.935905836836195</v>
      </c>
      <c r="O43" s="16">
        <f>M43-'"0" цикл 24.06'!M42</f>
        <v>771.53565291439395</v>
      </c>
      <c r="P43" s="16">
        <f>N43-'"0" цикл 24.06'!N42</f>
        <v>-625.0754389271101</v>
      </c>
      <c r="Q43" s="16">
        <f t="shared" si="8"/>
        <v>992.96856348424217</v>
      </c>
      <c r="R43" s="16">
        <f t="shared" si="9"/>
        <v>-39.013371410089462</v>
      </c>
      <c r="S43" s="16">
        <f t="shared" si="10"/>
        <v>320.98662858991054</v>
      </c>
    </row>
    <row r="44" spans="1:19" x14ac:dyDescent="0.45">
      <c r="A44" s="7">
        <v>20</v>
      </c>
      <c r="B44" s="11" t="s">
        <v>184</v>
      </c>
      <c r="C44" s="11" t="s">
        <v>185</v>
      </c>
      <c r="D44" s="8">
        <f t="shared" si="3"/>
        <v>1107.5</v>
      </c>
      <c r="E44" s="8">
        <f t="shared" si="0"/>
        <v>29.531071455739514</v>
      </c>
      <c r="F44" s="11">
        <v>-548</v>
      </c>
      <c r="G44" s="11">
        <v>-2662</v>
      </c>
      <c r="H44" s="8">
        <f t="shared" si="11"/>
        <v>1057</v>
      </c>
      <c r="I44" s="8">
        <f t="shared" si="1"/>
        <v>28.184519995259421</v>
      </c>
      <c r="J44" s="16">
        <f t="shared" si="4"/>
        <v>40.822191865297619</v>
      </c>
      <c r="K44" s="16">
        <f t="shared" si="2"/>
        <v>223.66348555676493</v>
      </c>
      <c r="L44" s="16">
        <f t="shared" si="5"/>
        <v>43.663485556764954</v>
      </c>
      <c r="M44" s="16">
        <f t="shared" si="6"/>
        <v>29.531071455739504</v>
      </c>
      <c r="N44" s="16">
        <f t="shared" si="7"/>
        <v>28.184519995259432</v>
      </c>
      <c r="O44" s="16">
        <f>M44-'"0" цикл 24.06'!M43</f>
        <v>768.03009357017277</v>
      </c>
      <c r="P44" s="16">
        <f>N44-'"0" цикл 24.06'!N43</f>
        <v>-626.25171466628308</v>
      </c>
      <c r="Q44" s="16">
        <f t="shared" si="8"/>
        <v>990.99012848356267</v>
      </c>
      <c r="R44" s="16">
        <f t="shared" si="9"/>
        <v>-39.193801492185038</v>
      </c>
      <c r="S44" s="16">
        <f t="shared" si="10"/>
        <v>320.80619850781494</v>
      </c>
    </row>
    <row r="45" spans="1:19" x14ac:dyDescent="0.45">
      <c r="A45" s="7">
        <v>20.5</v>
      </c>
      <c r="B45" s="11" t="s">
        <v>184</v>
      </c>
      <c r="C45" s="11" t="s">
        <v>185</v>
      </c>
      <c r="D45" s="8">
        <f t="shared" si="3"/>
        <v>1107.5</v>
      </c>
      <c r="E45" s="8">
        <f t="shared" si="0"/>
        <v>26.846428596126831</v>
      </c>
      <c r="F45" s="11">
        <v>-548</v>
      </c>
      <c r="G45" s="11">
        <v>-2662</v>
      </c>
      <c r="H45" s="8">
        <f t="shared" si="11"/>
        <v>1057</v>
      </c>
      <c r="I45" s="8">
        <f t="shared" si="1"/>
        <v>25.622290904781291</v>
      </c>
      <c r="J45" s="16">
        <f t="shared" si="4"/>
        <v>37.111083513906927</v>
      </c>
      <c r="K45" s="16">
        <f t="shared" si="2"/>
        <v>223.66348555676493</v>
      </c>
      <c r="L45" s="16">
        <f t="shared" si="5"/>
        <v>43.663485556764954</v>
      </c>
      <c r="M45" s="16">
        <f t="shared" si="6"/>
        <v>26.846428596126824</v>
      </c>
      <c r="N45" s="16">
        <f t="shared" si="7"/>
        <v>25.622290904781302</v>
      </c>
      <c r="O45" s="16">
        <f>M45-'"0" цикл 24.06'!M44</f>
        <v>763.12719298958018</v>
      </c>
      <c r="P45" s="16">
        <f>N45-'"0" цикл 24.06'!N44</f>
        <v>-627.63621121098072</v>
      </c>
      <c r="Q45" s="16">
        <f t="shared" si="8"/>
        <v>988.07404899806511</v>
      </c>
      <c r="R45" s="16">
        <f t="shared" si="9"/>
        <v>-39.435688741714593</v>
      </c>
      <c r="S45" s="16">
        <f t="shared" si="10"/>
        <v>320.56431125828539</v>
      </c>
    </row>
    <row r="46" spans="1:19" x14ac:dyDescent="0.45">
      <c r="A46" s="7">
        <v>21</v>
      </c>
      <c r="B46" s="11" t="s">
        <v>184</v>
      </c>
      <c r="C46" s="11" t="s">
        <v>185</v>
      </c>
      <c r="D46" s="8">
        <f t="shared" si="3"/>
        <v>1107.5</v>
      </c>
      <c r="E46" s="8">
        <f t="shared" si="0"/>
        <v>24.161785736514148</v>
      </c>
      <c r="F46" s="11">
        <v>-548</v>
      </c>
      <c r="G46" s="11">
        <v>-2662</v>
      </c>
      <c r="H46" s="8">
        <f t="shared" si="11"/>
        <v>1057</v>
      </c>
      <c r="I46" s="8">
        <f t="shared" si="1"/>
        <v>23.060061814303161</v>
      </c>
      <c r="J46" s="16">
        <f t="shared" si="4"/>
        <v>33.399975162516235</v>
      </c>
      <c r="K46" s="16">
        <f t="shared" si="2"/>
        <v>223.66348555676493</v>
      </c>
      <c r="L46" s="16">
        <f t="shared" si="5"/>
        <v>43.663485556764954</v>
      </c>
      <c r="M46" s="16">
        <f t="shared" si="6"/>
        <v>24.16178573651414</v>
      </c>
      <c r="N46" s="16">
        <f t="shared" si="7"/>
        <v>23.060061814303172</v>
      </c>
      <c r="O46" s="16">
        <f>M46-'"0" цикл 24.06'!M45</f>
        <v>757.42775452192336</v>
      </c>
      <c r="P46" s="16">
        <f>N46-'"0" цикл 24.06'!N45</f>
        <v>-628.01836128856098</v>
      </c>
      <c r="Q46" s="16">
        <f t="shared" si="8"/>
        <v>983.92269281468066</v>
      </c>
      <c r="R46" s="16">
        <f t="shared" si="9"/>
        <v>-39.663696662208423</v>
      </c>
      <c r="S46" s="16">
        <f t="shared" si="10"/>
        <v>320.33630333779161</v>
      </c>
    </row>
    <row r="47" spans="1:19" x14ac:dyDescent="0.45">
      <c r="A47" s="7">
        <v>21.5</v>
      </c>
      <c r="B47" s="11" t="s">
        <v>184</v>
      </c>
      <c r="C47" s="11" t="s">
        <v>185</v>
      </c>
      <c r="D47" s="8">
        <f t="shared" si="3"/>
        <v>1107.5</v>
      </c>
      <c r="E47" s="8">
        <f t="shared" si="0"/>
        <v>21.477142876901464</v>
      </c>
      <c r="F47" s="11">
        <v>-548</v>
      </c>
      <c r="G47" s="11">
        <v>-2662</v>
      </c>
      <c r="H47" s="8">
        <f t="shared" si="11"/>
        <v>1057</v>
      </c>
      <c r="I47" s="8">
        <f t="shared" si="1"/>
        <v>20.497832723825031</v>
      </c>
      <c r="J47" s="16">
        <f t="shared" si="4"/>
        <v>29.688866811125539</v>
      </c>
      <c r="K47" s="16">
        <f t="shared" si="2"/>
        <v>223.66348555676493</v>
      </c>
      <c r="L47" s="16">
        <f t="shared" si="5"/>
        <v>43.663485556764954</v>
      </c>
      <c r="M47" s="16">
        <f t="shared" si="6"/>
        <v>21.477142876901457</v>
      </c>
      <c r="N47" s="16">
        <f t="shared" si="7"/>
        <v>20.497832723825038</v>
      </c>
      <c r="O47" s="16">
        <f>M47-'"0" цикл 24.06'!M46</f>
        <v>750.90294024903551</v>
      </c>
      <c r="P47" s="16">
        <f>N47-'"0" цикл 24.06'!N46</f>
        <v>-627.93485326460063</v>
      </c>
      <c r="Q47" s="16">
        <f t="shared" si="8"/>
        <v>978.85515047890613</v>
      </c>
      <c r="R47" s="16">
        <f t="shared" si="9"/>
        <v>-39.903706494898394</v>
      </c>
      <c r="S47" s="16">
        <f t="shared" si="10"/>
        <v>320.09629350510158</v>
      </c>
    </row>
    <row r="48" spans="1:19" x14ac:dyDescent="0.45">
      <c r="A48" s="7">
        <v>22</v>
      </c>
      <c r="B48" s="11" t="s">
        <v>184</v>
      </c>
      <c r="C48" s="11" t="s">
        <v>185</v>
      </c>
      <c r="D48" s="8">
        <f t="shared" si="3"/>
        <v>1107.5</v>
      </c>
      <c r="E48" s="8">
        <f t="shared" si="0"/>
        <v>18.792500017288781</v>
      </c>
      <c r="F48" s="11">
        <v>-548</v>
      </c>
      <c r="G48" s="11">
        <v>-2662</v>
      </c>
      <c r="H48" s="8">
        <f t="shared" si="11"/>
        <v>1057</v>
      </c>
      <c r="I48" s="8">
        <f t="shared" si="1"/>
        <v>17.935603633346901</v>
      </c>
      <c r="J48" s="16">
        <f t="shared" si="4"/>
        <v>25.977758459734847</v>
      </c>
      <c r="K48" s="16">
        <f t="shared" si="2"/>
        <v>223.66348555676493</v>
      </c>
      <c r="L48" s="16">
        <f t="shared" si="5"/>
        <v>43.663485556764954</v>
      </c>
      <c r="M48" s="16">
        <f t="shared" si="6"/>
        <v>18.792500017288774</v>
      </c>
      <c r="N48" s="16">
        <f t="shared" si="7"/>
        <v>17.935603633346911</v>
      </c>
      <c r="O48" s="16">
        <f>M48-'"0" цикл 24.06'!M47</f>
        <v>745.34894336730531</v>
      </c>
      <c r="P48" s="16">
        <f>N48-'"0" цикл 24.06'!N47</f>
        <v>-628.59988976993338</v>
      </c>
      <c r="Q48" s="16">
        <f t="shared" si="8"/>
        <v>975.02967585480746</v>
      </c>
      <c r="R48" s="16">
        <f t="shared" si="9"/>
        <v>-40.143052297290083</v>
      </c>
      <c r="S48" s="16">
        <f t="shared" si="10"/>
        <v>319.85694770270993</v>
      </c>
    </row>
    <row r="49" spans="1:19" x14ac:dyDescent="0.45">
      <c r="A49" s="7">
        <v>22.5</v>
      </c>
      <c r="B49" s="11" t="s">
        <v>184</v>
      </c>
      <c r="C49" s="11" t="s">
        <v>185</v>
      </c>
      <c r="D49" s="8">
        <f t="shared" si="3"/>
        <v>1107.5</v>
      </c>
      <c r="E49" s="8">
        <f t="shared" si="0"/>
        <v>16.107857157676097</v>
      </c>
      <c r="F49" s="11">
        <v>-548</v>
      </c>
      <c r="G49" s="11">
        <v>-2662</v>
      </c>
      <c r="H49" s="8">
        <f t="shared" si="11"/>
        <v>1057</v>
      </c>
      <c r="I49" s="8">
        <f t="shared" si="1"/>
        <v>15.373374542868772</v>
      </c>
      <c r="J49" s="16">
        <f t="shared" si="4"/>
        <v>22.266650108344155</v>
      </c>
      <c r="K49" s="16">
        <f t="shared" si="2"/>
        <v>223.66348555676493</v>
      </c>
      <c r="L49" s="16">
        <f t="shared" si="5"/>
        <v>43.663485556764954</v>
      </c>
      <c r="M49" s="16">
        <f t="shared" si="6"/>
        <v>16.107857157676094</v>
      </c>
      <c r="N49" s="16">
        <f t="shared" si="7"/>
        <v>15.373374542868779</v>
      </c>
      <c r="O49" s="16">
        <f>M49-'"0" цикл 24.06'!M48</f>
        <v>742.26857138180162</v>
      </c>
      <c r="P49" s="16">
        <f>N49-'"0" цикл 24.06'!N48</f>
        <v>-631.92012476047285</v>
      </c>
      <c r="Q49" s="16">
        <f t="shared" si="8"/>
        <v>974.82597223220944</v>
      </c>
      <c r="R49" s="16">
        <f t="shared" si="9"/>
        <v>-40.408954387780987</v>
      </c>
      <c r="S49" s="16">
        <f t="shared" si="10"/>
        <v>319.59104561221903</v>
      </c>
    </row>
    <row r="50" spans="1:19" x14ac:dyDescent="0.45">
      <c r="A50" s="7">
        <v>23</v>
      </c>
      <c r="B50" s="11" t="s">
        <v>184</v>
      </c>
      <c r="C50" s="11" t="s">
        <v>185</v>
      </c>
      <c r="D50" s="8">
        <f t="shared" si="3"/>
        <v>1107.5</v>
      </c>
      <c r="E50" s="8">
        <f t="shared" si="0"/>
        <v>13.423214298063415</v>
      </c>
      <c r="F50" s="11">
        <v>-548</v>
      </c>
      <c r="G50" s="11">
        <v>-2662</v>
      </c>
      <c r="H50" s="8">
        <f t="shared" si="11"/>
        <v>1057</v>
      </c>
      <c r="I50" s="8">
        <f t="shared" si="1"/>
        <v>12.811145452390644</v>
      </c>
      <c r="J50" s="16">
        <f t="shared" si="4"/>
        <v>18.555541756953463</v>
      </c>
      <c r="K50" s="16">
        <f t="shared" si="2"/>
        <v>223.66348555676493</v>
      </c>
      <c r="L50" s="16">
        <f t="shared" si="5"/>
        <v>43.663485556764954</v>
      </c>
      <c r="M50" s="16">
        <f t="shared" si="6"/>
        <v>13.423214298063412</v>
      </c>
      <c r="N50" s="16">
        <f t="shared" si="7"/>
        <v>12.811145452390651</v>
      </c>
      <c r="O50" s="16">
        <f>M50-'"0" цикл 24.06'!M49</f>
        <v>738.19009099428786</v>
      </c>
      <c r="P50" s="16">
        <f>N50-'"0" цикл 24.06'!N49</f>
        <v>-634.04650640683019</v>
      </c>
      <c r="Q50" s="16">
        <f t="shared" si="8"/>
        <v>973.10820710179075</v>
      </c>
      <c r="R50" s="16">
        <f t="shared" si="9"/>
        <v>-40.659953180758016</v>
      </c>
      <c r="S50" s="16">
        <f t="shared" si="10"/>
        <v>319.34004681924199</v>
      </c>
    </row>
    <row r="51" spans="1:19" x14ac:dyDescent="0.45">
      <c r="A51" s="7">
        <v>23.5</v>
      </c>
      <c r="B51" s="11" t="s">
        <v>184</v>
      </c>
      <c r="C51" s="11" t="s">
        <v>185</v>
      </c>
      <c r="D51" s="8">
        <f t="shared" si="3"/>
        <v>1107.5</v>
      </c>
      <c r="E51" s="8">
        <f t="shared" si="0"/>
        <v>10.738571438450732</v>
      </c>
      <c r="F51" s="11">
        <v>-548</v>
      </c>
      <c r="G51" s="11">
        <v>-2662</v>
      </c>
      <c r="H51" s="8">
        <f t="shared" si="11"/>
        <v>1057</v>
      </c>
      <c r="I51" s="8">
        <f t="shared" si="1"/>
        <v>10.248916361912515</v>
      </c>
      <c r="J51" s="16">
        <f t="shared" si="4"/>
        <v>14.84443340556277</v>
      </c>
      <c r="K51" s="16">
        <f t="shared" si="2"/>
        <v>223.66348555676493</v>
      </c>
      <c r="L51" s="16">
        <f t="shared" si="5"/>
        <v>43.663485556764954</v>
      </c>
      <c r="M51" s="16">
        <f t="shared" si="6"/>
        <v>10.738571438450728</v>
      </c>
      <c r="N51" s="16">
        <f t="shared" si="7"/>
        <v>10.248916361912519</v>
      </c>
      <c r="O51" s="16">
        <f>M51-'"0" цикл 24.06'!M50</f>
        <v>730.84972843158835</v>
      </c>
      <c r="P51" s="16">
        <f>N51-'"0" цикл 24.06'!N50</f>
        <v>-633.05399033035246</v>
      </c>
      <c r="Q51" s="16">
        <f t="shared" si="8"/>
        <v>966.90158766117895</v>
      </c>
      <c r="R51" s="16">
        <f t="shared" si="9"/>
        <v>-40.898750200497979</v>
      </c>
      <c r="S51" s="16">
        <f t="shared" si="10"/>
        <v>319.101249799502</v>
      </c>
    </row>
    <row r="52" spans="1:19" x14ac:dyDescent="0.45">
      <c r="A52" s="7">
        <v>24</v>
      </c>
      <c r="B52" s="11" t="s">
        <v>184</v>
      </c>
      <c r="C52" s="11" t="s">
        <v>185</v>
      </c>
      <c r="D52" s="8">
        <f t="shared" si="3"/>
        <v>1107.5</v>
      </c>
      <c r="E52" s="8">
        <f t="shared" si="0"/>
        <v>8.0539285788380486</v>
      </c>
      <c r="F52" s="11">
        <v>-548</v>
      </c>
      <c r="G52" s="11">
        <v>-2662</v>
      </c>
      <c r="H52" s="8">
        <f t="shared" si="11"/>
        <v>1057</v>
      </c>
      <c r="I52" s="8">
        <f t="shared" si="1"/>
        <v>7.686687271434387</v>
      </c>
      <c r="J52" s="16">
        <f t="shared" si="4"/>
        <v>11.133325054172078</v>
      </c>
      <c r="K52" s="16">
        <f t="shared" si="2"/>
        <v>223.66348555676493</v>
      </c>
      <c r="L52" s="16">
        <f t="shared" si="5"/>
        <v>43.663485556764954</v>
      </c>
      <c r="M52" s="16">
        <f t="shared" si="6"/>
        <v>8.0539285788380468</v>
      </c>
      <c r="N52" s="16">
        <f t="shared" si="7"/>
        <v>7.6866872714343897</v>
      </c>
      <c r="O52" s="16">
        <f>M52-'"0" цикл 24.06'!M51</f>
        <v>719.14803994150998</v>
      </c>
      <c r="P52" s="16">
        <f>N52-'"0" цикл 24.06'!N51</f>
        <v>-627.53581795735852</v>
      </c>
      <c r="Q52" s="16">
        <f t="shared" si="8"/>
        <v>954.4501590817232</v>
      </c>
      <c r="R52" s="16">
        <f t="shared" si="9"/>
        <v>-41.108278171863041</v>
      </c>
      <c r="S52" s="16">
        <f t="shared" si="10"/>
        <v>318.89172182813695</v>
      </c>
    </row>
    <row r="53" spans="1:19" x14ac:dyDescent="0.45">
      <c r="A53" s="7">
        <v>24.5</v>
      </c>
      <c r="B53" s="11" t="s">
        <v>184</v>
      </c>
      <c r="C53" s="11" t="s">
        <v>185</v>
      </c>
      <c r="D53" s="8">
        <f t="shared" si="3"/>
        <v>1107.5</v>
      </c>
      <c r="E53" s="8">
        <f t="shared" si="0"/>
        <v>5.369285719225366</v>
      </c>
      <c r="F53" s="11">
        <v>-548</v>
      </c>
      <c r="G53" s="11">
        <v>-2662</v>
      </c>
      <c r="H53" s="8">
        <f t="shared" si="11"/>
        <v>1057</v>
      </c>
      <c r="I53" s="8">
        <f t="shared" si="1"/>
        <v>5.1244581809562577</v>
      </c>
      <c r="J53" s="16">
        <f t="shared" si="4"/>
        <v>7.4222167027813848</v>
      </c>
      <c r="K53" s="16">
        <f t="shared" si="2"/>
        <v>223.66348555676493</v>
      </c>
      <c r="L53" s="16">
        <f t="shared" si="5"/>
        <v>43.663485556764954</v>
      </c>
      <c r="M53" s="16">
        <f t="shared" si="6"/>
        <v>5.3692857192253642</v>
      </c>
      <c r="N53" s="16">
        <f t="shared" si="7"/>
        <v>5.1244581809562595</v>
      </c>
      <c r="O53" s="16">
        <f>M53-'"0" цикл 24.06'!M52</f>
        <v>703.71030195204014</v>
      </c>
      <c r="P53" s="16">
        <f>N53-'"0" цикл 24.06'!N52</f>
        <v>-618.16730879633565</v>
      </c>
      <c r="Q53" s="16">
        <f t="shared" si="8"/>
        <v>936.66376610709983</v>
      </c>
      <c r="R53" s="16">
        <f t="shared" si="9"/>
        <v>-41.29736690741597</v>
      </c>
      <c r="S53" s="16">
        <f t="shared" si="10"/>
        <v>318.70263309258405</v>
      </c>
    </row>
    <row r="54" spans="1:19" x14ac:dyDescent="0.45">
      <c r="A54" s="7">
        <v>25</v>
      </c>
      <c r="B54" s="11" t="s">
        <v>184</v>
      </c>
      <c r="C54" s="11" t="s">
        <v>185</v>
      </c>
      <c r="D54" s="8">
        <f t="shared" si="3"/>
        <v>1107.5</v>
      </c>
      <c r="E54" s="8">
        <f t="shared" si="0"/>
        <v>2.684642859612683</v>
      </c>
      <c r="F54" s="11">
        <v>-548</v>
      </c>
      <c r="G54" s="11">
        <v>-2662</v>
      </c>
      <c r="H54" s="8">
        <f t="shared" si="11"/>
        <v>1057</v>
      </c>
      <c r="I54" s="8">
        <f t="shared" si="1"/>
        <v>2.5622290904781289</v>
      </c>
      <c r="J54" s="16">
        <f t="shared" si="4"/>
        <v>3.7111083513906924</v>
      </c>
      <c r="K54" s="16">
        <f t="shared" si="2"/>
        <v>223.66348555676493</v>
      </c>
      <c r="L54" s="16">
        <v>0</v>
      </c>
      <c r="M54" s="16">
        <f t="shared" si="6"/>
        <v>3.7111083513906924</v>
      </c>
      <c r="N54" s="16">
        <f t="shared" si="7"/>
        <v>0</v>
      </c>
      <c r="O54" s="16">
        <f>M54-'"0" цикл 24.06'!M53</f>
        <v>687.02370976008342</v>
      </c>
      <c r="P54" s="16">
        <f>N54-'"0" цикл 24.06'!N53</f>
        <v>-609.23571912388809</v>
      </c>
      <c r="Q54" s="16">
        <f t="shared" si="8"/>
        <v>918.24274526342344</v>
      </c>
      <c r="R54" s="16">
        <f t="shared" si="9"/>
        <v>-41.565822416474546</v>
      </c>
      <c r="S54" s="16">
        <f t="shared" si="10"/>
        <v>318.43417758352547</v>
      </c>
    </row>
  </sheetData>
  <mergeCells count="2">
    <mergeCell ref="B1:I1"/>
    <mergeCell ref="M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4"/>
  <sheetViews>
    <sheetView zoomScale="76" workbookViewId="0">
      <selection sqref="A1:XFD1048576"/>
    </sheetView>
  </sheetViews>
  <sheetFormatPr defaultRowHeight="14.25" x14ac:dyDescent="0.45"/>
  <cols>
    <col min="1" max="1" width="9.1328125" style="7"/>
    <col min="2" max="3" width="9.3984375" style="12" customWidth="1"/>
    <col min="4" max="5" width="9.3984375" style="13" customWidth="1"/>
    <col min="6" max="7" width="9.3984375" style="12" customWidth="1"/>
    <col min="8" max="9" width="9.3984375" style="13" customWidth="1"/>
    <col min="10" max="19" width="9.1328125" style="16"/>
  </cols>
  <sheetData>
    <row r="1" spans="1:19" x14ac:dyDescent="0.45">
      <c r="B1" s="53" t="s">
        <v>195</v>
      </c>
      <c r="C1" s="53"/>
      <c r="D1" s="53"/>
      <c r="E1" s="53"/>
      <c r="F1" s="53"/>
      <c r="G1" s="53"/>
      <c r="H1" s="53"/>
      <c r="I1" s="53"/>
      <c r="K1" s="16" t="s">
        <v>1</v>
      </c>
      <c r="L1" s="18">
        <v>180</v>
      </c>
      <c r="M1" s="54"/>
      <c r="N1" s="55"/>
      <c r="O1" s="55"/>
      <c r="P1" s="55"/>
      <c r="Q1" s="55"/>
      <c r="R1" s="55"/>
      <c r="S1" s="56"/>
    </row>
    <row r="2" spans="1:19" ht="99.75" x14ac:dyDescent="0.45">
      <c r="A2" s="7" t="s">
        <v>2</v>
      </c>
      <c r="B2" s="9" t="s">
        <v>99</v>
      </c>
      <c r="C2" s="9" t="s">
        <v>100</v>
      </c>
      <c r="D2" s="10" t="s">
        <v>101</v>
      </c>
      <c r="E2" s="10" t="s">
        <v>102</v>
      </c>
      <c r="F2" s="9" t="s">
        <v>187</v>
      </c>
      <c r="G2" s="9" t="s">
        <v>188</v>
      </c>
      <c r="H2" s="10" t="s">
        <v>189</v>
      </c>
      <c r="I2" s="10" t="s">
        <v>186</v>
      </c>
      <c r="J2" s="10" t="s">
        <v>191</v>
      </c>
      <c r="K2" s="10" t="s">
        <v>192</v>
      </c>
      <c r="L2" s="10" t="s">
        <v>193</v>
      </c>
      <c r="M2" s="15" t="s">
        <v>17</v>
      </c>
      <c r="N2" s="15" t="s">
        <v>18</v>
      </c>
      <c r="O2" s="14" t="s">
        <v>19</v>
      </c>
      <c r="P2" s="14" t="s">
        <v>20</v>
      </c>
      <c r="Q2" s="14" t="s">
        <v>21</v>
      </c>
      <c r="R2" s="14"/>
      <c r="S2" s="14" t="s">
        <v>22</v>
      </c>
    </row>
    <row r="3" spans="1:19" x14ac:dyDescent="0.45">
      <c r="A3" s="7">
        <v>-0.5</v>
      </c>
      <c r="B3" s="11" t="s">
        <v>103</v>
      </c>
      <c r="C3" s="11" t="s">
        <v>104</v>
      </c>
      <c r="D3" s="8">
        <f>(B3-C3)/2</f>
        <v>-1963.5</v>
      </c>
      <c r="E3" s="8">
        <f t="shared" ref="E3:E54" si="0">0.5*SIN(D3/3600*PI()/180)*1000+E4</f>
        <v>-200.38155580556699</v>
      </c>
      <c r="F3" s="11">
        <v>-3702</v>
      </c>
      <c r="G3" s="11">
        <v>228</v>
      </c>
      <c r="H3" s="8">
        <f>(F3-G3)/2</f>
        <v>-1965</v>
      </c>
      <c r="I3" s="8">
        <f t="shared" ref="I3:I54" si="1">0.5*SIN(H3/3600*PI()/180)*1000+I4</f>
        <v>-202.18379614515277</v>
      </c>
      <c r="J3" s="16">
        <f>SQRT(E3^2+I3^2)</f>
        <v>284.65954284148677</v>
      </c>
      <c r="K3" s="16">
        <f t="shared" ref="K3:K54" si="2">IF(E3&gt;=0,180-DEGREES(ASIN(-I3/J3)),IF(E3&lt;0,DEGREES(ASIN(-I3/J3)),360-DEGREES(ASIN(I3/J3))))</f>
        <v>45.256505123367646</v>
      </c>
      <c r="L3" s="16">
        <f>IF((K3+$L$1)&lt;=360,K3+$L$1,K3+$L$1-360)</f>
        <v>225.25650512336765</v>
      </c>
      <c r="M3" s="16">
        <f>J3*COS(RADIANS(L3))</f>
        <v>-200.38155580556702</v>
      </c>
      <c r="N3" s="16">
        <f>J3*SIN(RADIANS(L3))</f>
        <v>-202.18379614515271</v>
      </c>
      <c r="O3" s="16" t="e">
        <f>M3-'"0" цикл 24.06'!#REF!</f>
        <v>#REF!</v>
      </c>
      <c r="P3" s="16" t="e">
        <f>N3-'"0" цикл 24.06'!#REF!</f>
        <v>#REF!</v>
      </c>
      <c r="Q3" s="16" t="e">
        <f>SQRT(O3^2+P3^2)</f>
        <v>#REF!</v>
      </c>
      <c r="R3" s="16" t="e">
        <f>IF(Q3=0,0,IF(O3&gt;=0,DEGREES(ASIN(P3/Q3)),(180-DEGREES(ASIN(P3/Q3)))))</f>
        <v>#REF!</v>
      </c>
      <c r="S3" s="16" t="e">
        <f>IF(R3&lt;0,360+R3,R3)</f>
        <v>#REF!</v>
      </c>
    </row>
    <row r="4" spans="1:19" x14ac:dyDescent="0.45">
      <c r="A4" s="7">
        <v>0</v>
      </c>
      <c r="B4" s="11" t="s">
        <v>105</v>
      </c>
      <c r="C4" s="11" t="s">
        <v>106</v>
      </c>
      <c r="D4" s="8">
        <f t="shared" ref="D4:D54" si="3">(B4-C4)/2</f>
        <v>-1325</v>
      </c>
      <c r="E4" s="8">
        <f t="shared" si="0"/>
        <v>-195.62196937558332</v>
      </c>
      <c r="F4" s="11">
        <v>-3010</v>
      </c>
      <c r="G4" s="11">
        <v>-428</v>
      </c>
      <c r="H4" s="8">
        <f>(F4-G4)/2</f>
        <v>-1291</v>
      </c>
      <c r="I4" s="8">
        <f t="shared" si="1"/>
        <v>-197.42057377743248</v>
      </c>
      <c r="J4" s="16">
        <f t="shared" ref="J4:J54" si="4">SQRT(E4^2+I4^2)</f>
        <v>277.92595750126026</v>
      </c>
      <c r="K4" s="16">
        <f t="shared" si="2"/>
        <v>45.262189739284302</v>
      </c>
      <c r="L4" s="16">
        <f t="shared" ref="L4:L53" si="5">IF((K4+$L$1)&lt;=360,K4+$L$1,K4+$L$1-360)</f>
        <v>225.26218973928431</v>
      </c>
      <c r="M4" s="16">
        <f t="shared" ref="M4:M54" si="6">J4*COS(RADIANS(L4))</f>
        <v>-195.62196937558326</v>
      </c>
      <c r="N4" s="16">
        <f t="shared" ref="N4:N54" si="7">J4*SIN(RADIANS(L4))</f>
        <v>-197.42057377743254</v>
      </c>
      <c r="O4" s="16">
        <f>M4-'"0" цикл 24.06'!M3</f>
        <v>516.9218412305147</v>
      </c>
      <c r="P4" s="16">
        <f>N4-'"0" цикл 24.06'!N3</f>
        <v>-784.12197418385415</v>
      </c>
      <c r="Q4" s="16">
        <f t="shared" ref="Q4:Q54" si="8">SQRT(O4^2+P4^2)</f>
        <v>939.17807701155925</v>
      </c>
      <c r="R4" s="16">
        <f t="shared" ref="R4:R54" si="9">IF(Q4=0,0,IF(O4&gt;=0,DEGREES(ASIN(P4/Q4)),(180-DEGREES(ASIN(P4/Q4)))))</f>
        <v>-56.605670538043313</v>
      </c>
      <c r="S4" s="16">
        <f t="shared" ref="S4:S54" si="10">IF(R4&lt;0,360+R4,R4)</f>
        <v>303.39432946195666</v>
      </c>
    </row>
    <row r="5" spans="1:19" x14ac:dyDescent="0.45">
      <c r="A5" s="7">
        <v>0.5</v>
      </c>
      <c r="B5" s="11" t="s">
        <v>107</v>
      </c>
      <c r="C5" s="11" t="s">
        <v>108</v>
      </c>
      <c r="D5" s="8">
        <f t="shared" si="3"/>
        <v>-587</v>
      </c>
      <c r="E5" s="8">
        <f t="shared" si="0"/>
        <v>-192.41010082794665</v>
      </c>
      <c r="F5" s="11">
        <v>-2302</v>
      </c>
      <c r="G5" s="11">
        <v>-1171</v>
      </c>
      <c r="H5" s="8">
        <f t="shared" ref="H5:H54" si="11">(F5-G5)/2</f>
        <v>-565.5</v>
      </c>
      <c r="I5" s="8">
        <f t="shared" si="1"/>
        <v>-194.2911218983574</v>
      </c>
      <c r="J5" s="16">
        <f t="shared" si="4"/>
        <v>273.44229180787482</v>
      </c>
      <c r="K5" s="16">
        <f t="shared" si="2"/>
        <v>45.27870022685164</v>
      </c>
      <c r="L5" s="16">
        <f t="shared" si="5"/>
        <v>225.27870022685164</v>
      </c>
      <c r="M5" s="16">
        <f t="shared" si="6"/>
        <v>-192.41010082794665</v>
      </c>
      <c r="N5" s="16">
        <f t="shared" si="7"/>
        <v>-194.2911218983574</v>
      </c>
      <c r="O5" s="16">
        <f>M5-'"0" цикл 24.06'!M4</f>
        <v>524.61381305537861</v>
      </c>
      <c r="P5" s="16">
        <f>N5-'"0" цикл 24.06'!N4</f>
        <v>-786.51213515400218</v>
      </c>
      <c r="Q5" s="16">
        <f t="shared" si="8"/>
        <v>945.42106576541391</v>
      </c>
      <c r="R5" s="16">
        <f t="shared" si="9"/>
        <v>-56.296197194784135</v>
      </c>
      <c r="S5" s="16">
        <f t="shared" si="10"/>
        <v>303.70380280521584</v>
      </c>
    </row>
    <row r="6" spans="1:19" x14ac:dyDescent="0.45">
      <c r="A6" s="7">
        <v>1</v>
      </c>
      <c r="B6" s="11" t="s">
        <v>109</v>
      </c>
      <c r="C6" s="11" t="s">
        <v>110</v>
      </c>
      <c r="D6" s="8">
        <f t="shared" si="3"/>
        <v>-1149.5</v>
      </c>
      <c r="E6" s="8">
        <f t="shared" si="0"/>
        <v>-190.98717459458109</v>
      </c>
      <c r="F6" s="11">
        <v>-2912</v>
      </c>
      <c r="G6" s="11">
        <v>-547</v>
      </c>
      <c r="H6" s="8">
        <f t="shared" si="11"/>
        <v>-1182.5</v>
      </c>
      <c r="I6" s="8">
        <f t="shared" si="1"/>
        <v>-192.92031293229982</v>
      </c>
      <c r="J6" s="16">
        <f t="shared" si="4"/>
        <v>271.4670293083812</v>
      </c>
      <c r="K6" s="16">
        <f t="shared" si="2"/>
        <v>45.288506308022626</v>
      </c>
      <c r="L6" s="16">
        <f t="shared" si="5"/>
        <v>225.28850630802262</v>
      </c>
      <c r="M6" s="16">
        <f t="shared" si="6"/>
        <v>-190.98717459458115</v>
      </c>
      <c r="N6" s="16">
        <f t="shared" si="7"/>
        <v>-192.92031293229979</v>
      </c>
      <c r="O6" s="16">
        <f>M6-'"0" цикл 24.06'!M5</f>
        <v>532.66297870773963</v>
      </c>
      <c r="P6" s="16">
        <f>N6-'"0" цикл 24.06'!N5</f>
        <v>-792.60717942324163</v>
      </c>
      <c r="Q6" s="16">
        <f t="shared" si="8"/>
        <v>954.9638683002978</v>
      </c>
      <c r="R6" s="16">
        <f t="shared" si="9"/>
        <v>-56.097357786009781</v>
      </c>
      <c r="S6" s="16">
        <f t="shared" si="10"/>
        <v>303.90264221399025</v>
      </c>
    </row>
    <row r="7" spans="1:19" x14ac:dyDescent="0.45">
      <c r="A7" s="7">
        <v>1.5</v>
      </c>
      <c r="B7" s="11" t="s">
        <v>111</v>
      </c>
      <c r="C7" s="11" t="s">
        <v>112</v>
      </c>
      <c r="D7" s="8">
        <f t="shared" si="3"/>
        <v>-1497</v>
      </c>
      <c r="E7" s="8">
        <f t="shared" si="0"/>
        <v>-188.20072238586908</v>
      </c>
      <c r="F7" s="11">
        <v>-3200</v>
      </c>
      <c r="G7" s="11">
        <v>-222</v>
      </c>
      <c r="H7" s="8">
        <f t="shared" si="11"/>
        <v>-1489</v>
      </c>
      <c r="I7" s="8">
        <f t="shared" si="1"/>
        <v>-190.05386774441848</v>
      </c>
      <c r="J7" s="16">
        <f t="shared" si="4"/>
        <v>267.46959556401151</v>
      </c>
      <c r="K7" s="16">
        <f t="shared" si="2"/>
        <v>45.280701308472246</v>
      </c>
      <c r="L7" s="16">
        <f t="shared" si="5"/>
        <v>225.28070130847226</v>
      </c>
      <c r="M7" s="16">
        <f t="shared" si="6"/>
        <v>-188.20072238586908</v>
      </c>
      <c r="N7" s="16">
        <f t="shared" si="7"/>
        <v>-190.05386774441851</v>
      </c>
      <c r="O7" s="16">
        <f>M7-'"0" цикл 24.06'!M6</f>
        <v>540.03849158715775</v>
      </c>
      <c r="P7" s="16">
        <f>N7-'"0" цикл 24.06'!N6</f>
        <v>-795.54479326974933</v>
      </c>
      <c r="Q7" s="16">
        <f t="shared" si="8"/>
        <v>961.52643775111085</v>
      </c>
      <c r="R7" s="16">
        <f t="shared" si="9"/>
        <v>-55.830220765292331</v>
      </c>
      <c r="S7" s="16">
        <f t="shared" si="10"/>
        <v>304.16977923470768</v>
      </c>
    </row>
    <row r="8" spans="1:19" x14ac:dyDescent="0.45">
      <c r="A8" s="7">
        <v>2</v>
      </c>
      <c r="B8" s="11" t="s">
        <v>113</v>
      </c>
      <c r="C8" s="11" t="s">
        <v>114</v>
      </c>
      <c r="D8" s="8">
        <f t="shared" si="3"/>
        <v>-1174.5</v>
      </c>
      <c r="E8" s="8">
        <f t="shared" si="0"/>
        <v>-184.57192383996491</v>
      </c>
      <c r="F8" s="11">
        <v>-2928</v>
      </c>
      <c r="G8" s="11">
        <v>-615</v>
      </c>
      <c r="H8" s="8">
        <f t="shared" si="11"/>
        <v>-1156.5</v>
      </c>
      <c r="I8" s="8">
        <f t="shared" si="1"/>
        <v>-186.44446123774742</v>
      </c>
      <c r="J8" s="16">
        <f t="shared" si="4"/>
        <v>262.35154315578114</v>
      </c>
      <c r="K8" s="16">
        <f t="shared" si="2"/>
        <v>45.289172077640984</v>
      </c>
      <c r="L8" s="16">
        <f t="shared" si="5"/>
        <v>225.28917207764098</v>
      </c>
      <c r="M8" s="16">
        <f t="shared" si="6"/>
        <v>-184.57192383996488</v>
      </c>
      <c r="N8" s="16">
        <f t="shared" si="7"/>
        <v>-186.44446123774745</v>
      </c>
      <c r="O8" s="16">
        <f>M8-'"0" цикл 24.06'!M7</f>
        <v>545.91233354311657</v>
      </c>
      <c r="P8" s="16">
        <f>N8-'"0" цикл 24.06'!N7</f>
        <v>-795.19852328271327</v>
      </c>
      <c r="Q8" s="16">
        <f t="shared" si="8"/>
        <v>964.55221079291448</v>
      </c>
      <c r="R8" s="16">
        <f t="shared" si="9"/>
        <v>-55.529983016096239</v>
      </c>
      <c r="S8" s="16">
        <f t="shared" si="10"/>
        <v>304.47001698390375</v>
      </c>
    </row>
    <row r="9" spans="1:19" x14ac:dyDescent="0.45">
      <c r="A9" s="7">
        <v>2.5</v>
      </c>
      <c r="B9" s="11" t="s">
        <v>115</v>
      </c>
      <c r="C9" s="11" t="s">
        <v>116</v>
      </c>
      <c r="D9" s="8">
        <f t="shared" si="3"/>
        <v>-1837</v>
      </c>
      <c r="E9" s="8">
        <f t="shared" si="0"/>
        <v>-181.7248708827984</v>
      </c>
      <c r="F9" s="11">
        <v>-3558</v>
      </c>
      <c r="G9" s="11">
        <v>171</v>
      </c>
      <c r="H9" s="8">
        <f t="shared" si="11"/>
        <v>-1864.5</v>
      </c>
      <c r="I9" s="8">
        <f t="shared" si="1"/>
        <v>-183.64104081530374</v>
      </c>
      <c r="J9" s="16">
        <f t="shared" si="4"/>
        <v>258.35626675019478</v>
      </c>
      <c r="K9" s="16">
        <f t="shared" si="2"/>
        <v>45.300486279332638</v>
      </c>
      <c r="L9" s="16">
        <f t="shared" si="5"/>
        <v>225.30048627933263</v>
      </c>
      <c r="M9" s="16">
        <f t="shared" si="6"/>
        <v>-181.7248708827984</v>
      </c>
      <c r="N9" s="16">
        <f t="shared" si="7"/>
        <v>-183.64104081530374</v>
      </c>
      <c r="O9" s="16">
        <f>M9-'"0" цикл 24.06'!M8</f>
        <v>549.50854456071329</v>
      </c>
      <c r="P9" s="16">
        <f>N9-'"0" цикл 24.06'!N8</f>
        <v>-794.29799196503689</v>
      </c>
      <c r="Q9" s="16">
        <f t="shared" si="8"/>
        <v>965.85140709372217</v>
      </c>
      <c r="R9" s="16">
        <f t="shared" si="9"/>
        <v>-55.323871393433436</v>
      </c>
      <c r="S9" s="16">
        <f t="shared" si="10"/>
        <v>304.67612860656658</v>
      </c>
    </row>
    <row r="10" spans="1:19" x14ac:dyDescent="0.45">
      <c r="A10" s="7">
        <v>3</v>
      </c>
      <c r="B10" s="11" t="s">
        <v>117</v>
      </c>
      <c r="C10" s="11" t="s">
        <v>118</v>
      </c>
      <c r="D10" s="8">
        <f t="shared" si="3"/>
        <v>-2058</v>
      </c>
      <c r="E10" s="8">
        <f t="shared" si="0"/>
        <v>-177.27191608842742</v>
      </c>
      <c r="F10" s="11">
        <v>-3765</v>
      </c>
      <c r="G10" s="11">
        <v>350</v>
      </c>
      <c r="H10" s="8">
        <f t="shared" si="11"/>
        <v>-2057.5</v>
      </c>
      <c r="I10" s="8">
        <f t="shared" si="1"/>
        <v>-179.12142682325731</v>
      </c>
      <c r="J10" s="16">
        <f t="shared" si="4"/>
        <v>252.01154295163144</v>
      </c>
      <c r="K10" s="16">
        <f t="shared" si="2"/>
        <v>45.297334981427682</v>
      </c>
      <c r="L10" s="16">
        <f t="shared" si="5"/>
        <v>225.2973349814277</v>
      </c>
      <c r="M10" s="16">
        <f t="shared" si="6"/>
        <v>-177.27191608842736</v>
      </c>
      <c r="N10" s="16">
        <f t="shared" si="7"/>
        <v>-179.12142682325734</v>
      </c>
      <c r="O10" s="16">
        <f>M10-'"0" цикл 24.06'!M9</f>
        <v>553.01344676975089</v>
      </c>
      <c r="P10" s="16">
        <f>N10-'"0" цикл 24.06'!N9</f>
        <v>-789.97315186445019</v>
      </c>
      <c r="Q10" s="16">
        <f t="shared" si="8"/>
        <v>964.30361037113914</v>
      </c>
      <c r="R10" s="16">
        <f t="shared" si="9"/>
        <v>-55.006410461610592</v>
      </c>
      <c r="S10" s="16">
        <f t="shared" si="10"/>
        <v>304.99358953838941</v>
      </c>
    </row>
    <row r="11" spans="1:19" x14ac:dyDescent="0.45">
      <c r="A11" s="7">
        <v>3.5</v>
      </c>
      <c r="B11" s="11" t="s">
        <v>119</v>
      </c>
      <c r="C11" s="11" t="s">
        <v>120</v>
      </c>
      <c r="D11" s="8">
        <f t="shared" si="3"/>
        <v>-2136.5</v>
      </c>
      <c r="E11" s="8">
        <f t="shared" si="0"/>
        <v>-172.28326608063912</v>
      </c>
      <c r="F11" s="11">
        <v>-4262</v>
      </c>
      <c r="G11" s="11">
        <v>374</v>
      </c>
      <c r="H11" s="8">
        <f t="shared" si="11"/>
        <v>-2318</v>
      </c>
      <c r="I11" s="8">
        <f t="shared" si="1"/>
        <v>-174.13398878935806</v>
      </c>
      <c r="J11" s="16">
        <f t="shared" si="4"/>
        <v>244.95748574620978</v>
      </c>
      <c r="K11" s="16">
        <f t="shared" si="2"/>
        <v>45.30609789187934</v>
      </c>
      <c r="L11" s="16">
        <f t="shared" si="5"/>
        <v>225.30609789187935</v>
      </c>
      <c r="M11" s="16">
        <f t="shared" si="6"/>
        <v>-172.28326608063909</v>
      </c>
      <c r="N11" s="16">
        <f t="shared" si="7"/>
        <v>-174.13398878935806</v>
      </c>
      <c r="O11" s="16">
        <f>M11-'"0" цикл 24.06'!M10</f>
        <v>555.08753463588187</v>
      </c>
      <c r="P11" s="16">
        <f>N11-'"0" цикл 24.06'!N10</f>
        <v>-783.11373137774262</v>
      </c>
      <c r="Q11" s="16">
        <f t="shared" si="8"/>
        <v>959.89024757026914</v>
      </c>
      <c r="R11" s="16">
        <f t="shared" si="9"/>
        <v>-54.670181157173651</v>
      </c>
      <c r="S11" s="16">
        <f t="shared" si="10"/>
        <v>305.32981884282634</v>
      </c>
    </row>
    <row r="12" spans="1:19" x14ac:dyDescent="0.45">
      <c r="A12" s="7">
        <v>4</v>
      </c>
      <c r="B12" s="11" t="s">
        <v>121</v>
      </c>
      <c r="C12" s="11" t="s">
        <v>122</v>
      </c>
      <c r="D12" s="8">
        <f t="shared" si="3"/>
        <v>-2731.5</v>
      </c>
      <c r="E12" s="8">
        <f t="shared" si="0"/>
        <v>-167.10433654044473</v>
      </c>
      <c r="F12" s="11">
        <v>-4510</v>
      </c>
      <c r="G12" s="11">
        <v>1097</v>
      </c>
      <c r="H12" s="8">
        <f t="shared" si="11"/>
        <v>-2803.5</v>
      </c>
      <c r="I12" s="8">
        <f t="shared" si="1"/>
        <v>-168.51511649701695</v>
      </c>
      <c r="J12" s="16">
        <f t="shared" si="4"/>
        <v>237.3208877840832</v>
      </c>
      <c r="K12" s="16">
        <f t="shared" si="2"/>
        <v>45.240842002813665</v>
      </c>
      <c r="L12" s="16">
        <f t="shared" si="5"/>
        <v>225.24084200281368</v>
      </c>
      <c r="M12" s="16">
        <f t="shared" si="6"/>
        <v>-167.10433654044471</v>
      </c>
      <c r="N12" s="16">
        <f t="shared" si="7"/>
        <v>-168.51511649701698</v>
      </c>
      <c r="O12" s="16">
        <f>M12-'"0" цикл 24.06'!M11</f>
        <v>555.61013848216317</v>
      </c>
      <c r="P12" s="16">
        <f>N12-'"0" цикл 24.06'!N11</f>
        <v>-773.5926333809814</v>
      </c>
      <c r="Q12" s="16">
        <f t="shared" si="8"/>
        <v>952.44327306432797</v>
      </c>
      <c r="R12" s="16">
        <f t="shared" si="9"/>
        <v>-54.313315161928578</v>
      </c>
      <c r="S12" s="16">
        <f t="shared" si="10"/>
        <v>305.68668483807141</v>
      </c>
    </row>
    <row r="13" spans="1:19" x14ac:dyDescent="0.45">
      <c r="A13" s="7">
        <v>4.5</v>
      </c>
      <c r="B13" s="11" t="s">
        <v>123</v>
      </c>
      <c r="C13" s="11" t="s">
        <v>124</v>
      </c>
      <c r="D13" s="8">
        <f t="shared" si="3"/>
        <v>-3916</v>
      </c>
      <c r="E13" s="8">
        <f t="shared" si="0"/>
        <v>-160.48318721840269</v>
      </c>
      <c r="F13" s="11">
        <v>-5668</v>
      </c>
      <c r="G13" s="11">
        <v>2227</v>
      </c>
      <c r="H13" s="8">
        <f t="shared" si="11"/>
        <v>-3947.5</v>
      </c>
      <c r="I13" s="8">
        <f t="shared" si="1"/>
        <v>-161.71944996028762</v>
      </c>
      <c r="J13" s="16">
        <f t="shared" si="4"/>
        <v>227.83334671473108</v>
      </c>
      <c r="K13" s="16">
        <f t="shared" si="2"/>
        <v>45.219837709914366</v>
      </c>
      <c r="L13" s="16">
        <f t="shared" si="5"/>
        <v>225.21983770991437</v>
      </c>
      <c r="M13" s="16">
        <f t="shared" si="6"/>
        <v>-160.48318721840266</v>
      </c>
      <c r="N13" s="16">
        <f t="shared" si="7"/>
        <v>-161.71944996028768</v>
      </c>
      <c r="O13" s="16">
        <f>M13-'"0" цикл 24.06'!M12</f>
        <v>558.02182154286027</v>
      </c>
      <c r="P13" s="16">
        <f>N13-'"0" цикл 24.06'!N12</f>
        <v>-763.81477436997375</v>
      </c>
      <c r="Q13" s="16">
        <f t="shared" si="8"/>
        <v>945.93940760699138</v>
      </c>
      <c r="R13" s="16">
        <f t="shared" si="9"/>
        <v>-53.849175257390819</v>
      </c>
      <c r="S13" s="16">
        <f t="shared" si="10"/>
        <v>306.15082474260919</v>
      </c>
    </row>
    <row r="14" spans="1:19" x14ac:dyDescent="0.45">
      <c r="A14" s="7">
        <v>5</v>
      </c>
      <c r="B14" s="11" t="s">
        <v>125</v>
      </c>
      <c r="C14" s="11" t="s">
        <v>126</v>
      </c>
      <c r="D14" s="8">
        <f t="shared" si="3"/>
        <v>-5273.5</v>
      </c>
      <c r="E14" s="8">
        <f t="shared" si="0"/>
        <v>-150.99110559002344</v>
      </c>
      <c r="F14" s="11">
        <v>-7005</v>
      </c>
      <c r="G14" s="11">
        <v>3515</v>
      </c>
      <c r="H14" s="8">
        <f t="shared" si="11"/>
        <v>-5260</v>
      </c>
      <c r="I14" s="8">
        <f t="shared" si="1"/>
        <v>-152.15102404903928</v>
      </c>
      <c r="J14" s="16">
        <f t="shared" si="4"/>
        <v>214.35542467236263</v>
      </c>
      <c r="K14" s="16">
        <f t="shared" si="2"/>
        <v>45.219230853955821</v>
      </c>
      <c r="L14" s="16">
        <f t="shared" si="5"/>
        <v>225.21923085395582</v>
      </c>
      <c r="M14" s="16">
        <f t="shared" si="6"/>
        <v>-150.99110559002344</v>
      </c>
      <c r="N14" s="16">
        <f t="shared" si="7"/>
        <v>-152.15102404903925</v>
      </c>
      <c r="O14" s="16">
        <f>M14-'"0" цикл 24.06'!M13</f>
        <v>564.94294754947418</v>
      </c>
      <c r="P14" s="16">
        <f>N14-'"0" цикл 24.06'!N13</f>
        <v>-752.69167469194667</v>
      </c>
      <c r="Q14" s="16">
        <f t="shared" si="8"/>
        <v>941.11916946604333</v>
      </c>
      <c r="R14" s="16">
        <f t="shared" si="9"/>
        <v>-53.109442369134847</v>
      </c>
      <c r="S14" s="16">
        <f t="shared" si="10"/>
        <v>306.89055763086515</v>
      </c>
    </row>
    <row r="15" spans="1:19" x14ac:dyDescent="0.45">
      <c r="A15" s="7">
        <v>5.5</v>
      </c>
      <c r="B15" s="11" t="s">
        <v>127</v>
      </c>
      <c r="C15" s="11" t="s">
        <v>128</v>
      </c>
      <c r="D15" s="8">
        <f t="shared" si="3"/>
        <v>-6288.5</v>
      </c>
      <c r="E15" s="8">
        <f t="shared" si="0"/>
        <v>-138.2091734521515</v>
      </c>
      <c r="F15" s="11">
        <v>-8031</v>
      </c>
      <c r="G15" s="11">
        <v>4599</v>
      </c>
      <c r="H15" s="8">
        <f t="shared" si="11"/>
        <v>-6315</v>
      </c>
      <c r="I15" s="8">
        <f t="shared" si="1"/>
        <v>-139.4018061671969</v>
      </c>
      <c r="J15" s="16">
        <f t="shared" si="4"/>
        <v>196.30241768506988</v>
      </c>
      <c r="K15" s="16">
        <f t="shared" si="2"/>
        <v>45.246144445704807</v>
      </c>
      <c r="L15" s="16">
        <f t="shared" si="5"/>
        <v>225.2461444457048</v>
      </c>
      <c r="M15" s="16">
        <f t="shared" si="6"/>
        <v>-138.20917345215156</v>
      </c>
      <c r="N15" s="16">
        <f t="shared" si="7"/>
        <v>-139.40180616719684</v>
      </c>
      <c r="O15" s="16">
        <f>M15-'"0" цикл 24.06'!M14</f>
        <v>577.62452325603044</v>
      </c>
      <c r="P15" s="16">
        <f>N15-'"0" цикл 24.06'!N14</f>
        <v>-740.84117968752594</v>
      </c>
      <c r="Q15" s="16">
        <f t="shared" si="8"/>
        <v>939.41244583386344</v>
      </c>
      <c r="R15" s="16">
        <f t="shared" si="9"/>
        <v>-52.056906992074786</v>
      </c>
      <c r="S15" s="16">
        <f t="shared" si="10"/>
        <v>307.9430930079252</v>
      </c>
    </row>
    <row r="16" spans="1:19" x14ac:dyDescent="0.45">
      <c r="A16" s="7">
        <v>6</v>
      </c>
      <c r="B16" s="11" t="s">
        <v>129</v>
      </c>
      <c r="C16" s="11" t="s">
        <v>130</v>
      </c>
      <c r="D16" s="8">
        <f t="shared" si="3"/>
        <v>-6174.5</v>
      </c>
      <c r="E16" s="8">
        <f t="shared" si="0"/>
        <v>-122.96778065563274</v>
      </c>
      <c r="F16" s="11">
        <v>-7865</v>
      </c>
      <c r="G16" s="11">
        <v>4444</v>
      </c>
      <c r="H16" s="8">
        <f t="shared" si="11"/>
        <v>-6154.5</v>
      </c>
      <c r="I16" s="8">
        <f t="shared" si="1"/>
        <v>-124.09620553572584</v>
      </c>
      <c r="J16" s="16">
        <f t="shared" si="4"/>
        <v>174.70244219167893</v>
      </c>
      <c r="K16" s="16">
        <f t="shared" si="2"/>
        <v>45.261687405582485</v>
      </c>
      <c r="L16" s="16">
        <f t="shared" si="5"/>
        <v>225.26168740558248</v>
      </c>
      <c r="M16" s="16">
        <f t="shared" si="6"/>
        <v>-122.96778065563272</v>
      </c>
      <c r="N16" s="16">
        <f t="shared" si="7"/>
        <v>-124.09620553572584</v>
      </c>
      <c r="O16" s="16">
        <f>M16-'"0" цикл 24.06'!M15</f>
        <v>594.65681396122932</v>
      </c>
      <c r="P16" s="16">
        <f>N16-'"0" цикл 24.06'!N15</f>
        <v>-728.36675462113396</v>
      </c>
      <c r="Q16" s="16">
        <f t="shared" si="8"/>
        <v>940.28445463478943</v>
      </c>
      <c r="R16" s="16">
        <f t="shared" si="9"/>
        <v>-50.77094101946313</v>
      </c>
      <c r="S16" s="16">
        <f t="shared" si="10"/>
        <v>309.22905898053688</v>
      </c>
    </row>
    <row r="17" spans="1:19" x14ac:dyDescent="0.45">
      <c r="A17" s="7">
        <v>6.5</v>
      </c>
      <c r="B17" s="11" t="s">
        <v>131</v>
      </c>
      <c r="C17" s="11" t="s">
        <v>132</v>
      </c>
      <c r="D17" s="8">
        <f t="shared" si="3"/>
        <v>-5283.5</v>
      </c>
      <c r="E17" s="8">
        <f t="shared" si="0"/>
        <v>-108.00260555193182</v>
      </c>
      <c r="F17" s="11">
        <v>-6979</v>
      </c>
      <c r="G17" s="11">
        <v>3516</v>
      </c>
      <c r="H17" s="8">
        <f t="shared" si="11"/>
        <v>-5247.5</v>
      </c>
      <c r="I17" s="8">
        <f t="shared" si="1"/>
        <v>-109.17949015011231</v>
      </c>
      <c r="J17" s="16">
        <f t="shared" si="4"/>
        <v>153.573187358486</v>
      </c>
      <c r="K17" s="16">
        <f t="shared" si="2"/>
        <v>45.310476147799271</v>
      </c>
      <c r="L17" s="16">
        <f t="shared" si="5"/>
        <v>225.31047614779928</v>
      </c>
      <c r="M17" s="16">
        <f t="shared" si="6"/>
        <v>-108.00260555193178</v>
      </c>
      <c r="N17" s="16">
        <f t="shared" si="7"/>
        <v>-109.17949015011233</v>
      </c>
      <c r="O17" s="16">
        <f>M17-'"0" цикл 24.06'!M16</f>
        <v>612.27814952700885</v>
      </c>
      <c r="P17" s="16">
        <f>N17-'"0" цикл 24.06'!N16</f>
        <v>-717.1711922928655</v>
      </c>
      <c r="Q17" s="16">
        <f t="shared" si="8"/>
        <v>942.98412046173314</v>
      </c>
      <c r="R17" s="16">
        <f t="shared" si="9"/>
        <v>-49.511269391482337</v>
      </c>
      <c r="S17" s="16">
        <f t="shared" si="10"/>
        <v>310.48873060851764</v>
      </c>
    </row>
    <row r="18" spans="1:19" x14ac:dyDescent="0.45">
      <c r="A18" s="7">
        <v>7</v>
      </c>
      <c r="B18" s="11" t="s">
        <v>133</v>
      </c>
      <c r="C18" s="11" t="s">
        <v>134</v>
      </c>
      <c r="D18" s="8">
        <f t="shared" si="3"/>
        <v>-3972.5</v>
      </c>
      <c r="E18" s="8">
        <f t="shared" si="0"/>
        <v>-95.196440667108746</v>
      </c>
      <c r="F18" s="11">
        <v>-5692</v>
      </c>
      <c r="G18" s="11">
        <v>2257</v>
      </c>
      <c r="H18" s="8">
        <f t="shared" si="11"/>
        <v>-3974.5</v>
      </c>
      <c r="I18" s="8">
        <f t="shared" si="1"/>
        <v>-96.46056329477338</v>
      </c>
      <c r="J18" s="16">
        <f t="shared" si="4"/>
        <v>135.5249150039628</v>
      </c>
      <c r="K18" s="16">
        <f t="shared" si="2"/>
        <v>45.377903439828913</v>
      </c>
      <c r="L18" s="16">
        <f t="shared" si="5"/>
        <v>225.37790343982891</v>
      </c>
      <c r="M18" s="16">
        <f t="shared" si="6"/>
        <v>-95.196440667108774</v>
      </c>
      <c r="N18" s="16">
        <f t="shared" si="7"/>
        <v>-96.46056329477338</v>
      </c>
      <c r="O18" s="16">
        <f>M18-'"0" цикл 24.06'!M17</f>
        <v>628.27315478135415</v>
      </c>
      <c r="P18" s="16">
        <f>N18-'"0" цикл 24.06'!N17</f>
        <v>-708.48974989507406</v>
      </c>
      <c r="Q18" s="16">
        <f t="shared" si="8"/>
        <v>946.93446590843871</v>
      </c>
      <c r="R18" s="16">
        <f t="shared" si="9"/>
        <v>-48.434092496623634</v>
      </c>
      <c r="S18" s="16">
        <f t="shared" si="10"/>
        <v>311.56590750337637</v>
      </c>
    </row>
    <row r="19" spans="1:19" x14ac:dyDescent="0.45">
      <c r="A19" s="7">
        <v>7.5</v>
      </c>
      <c r="B19" s="11" t="s">
        <v>135</v>
      </c>
      <c r="C19" s="11" t="s">
        <v>136</v>
      </c>
      <c r="D19" s="8">
        <f t="shared" si="3"/>
        <v>-3002</v>
      </c>
      <c r="E19" s="8">
        <f t="shared" si="0"/>
        <v>-85.567424213919381</v>
      </c>
      <c r="F19" s="11">
        <v>-4692</v>
      </c>
      <c r="G19" s="11">
        <v>1275</v>
      </c>
      <c r="H19" s="8">
        <f t="shared" si="11"/>
        <v>-2983.5</v>
      </c>
      <c r="I19" s="8">
        <f t="shared" si="1"/>
        <v>-86.8266996043277</v>
      </c>
      <c r="J19" s="16">
        <f t="shared" si="4"/>
        <v>121.90430612076423</v>
      </c>
      <c r="K19" s="16">
        <f t="shared" si="2"/>
        <v>45.41851706013226</v>
      </c>
      <c r="L19" s="16">
        <f t="shared" si="5"/>
        <v>225.41851706013227</v>
      </c>
      <c r="M19" s="16">
        <f t="shared" si="6"/>
        <v>-85.567424213919395</v>
      </c>
      <c r="N19" s="16">
        <f t="shared" si="7"/>
        <v>-86.826699604327686</v>
      </c>
      <c r="O19" s="16">
        <f>M19-'"0" цикл 24.06'!M18</f>
        <v>639.71076472794743</v>
      </c>
      <c r="P19" s="16">
        <f>N19-'"0" цикл 24.06'!N18</f>
        <v>-701.87286343455025</v>
      </c>
      <c r="Q19" s="16">
        <f t="shared" si="8"/>
        <v>949.66066515078433</v>
      </c>
      <c r="R19" s="16">
        <f t="shared" si="9"/>
        <v>-47.652894879828452</v>
      </c>
      <c r="S19" s="16">
        <f t="shared" si="10"/>
        <v>312.34710512017153</v>
      </c>
    </row>
    <row r="20" spans="1:19" x14ac:dyDescent="0.45">
      <c r="A20" s="7">
        <v>8</v>
      </c>
      <c r="B20" s="11" t="s">
        <v>137</v>
      </c>
      <c r="C20" s="11" t="s">
        <v>138</v>
      </c>
      <c r="D20" s="8">
        <f t="shared" si="3"/>
        <v>-3003</v>
      </c>
      <c r="E20" s="8">
        <f t="shared" si="0"/>
        <v>-78.290627764436962</v>
      </c>
      <c r="F20" s="11">
        <v>-4692</v>
      </c>
      <c r="G20" s="11">
        <v>1309</v>
      </c>
      <c r="H20" s="8">
        <f t="shared" si="11"/>
        <v>-3000.5</v>
      </c>
      <c r="I20" s="8">
        <f t="shared" si="1"/>
        <v>-79.594743700032922</v>
      </c>
      <c r="J20" s="16">
        <f t="shared" si="4"/>
        <v>111.64562517368765</v>
      </c>
      <c r="K20" s="16">
        <f t="shared" si="2"/>
        <v>45.473246122785248</v>
      </c>
      <c r="L20" s="16">
        <f t="shared" si="5"/>
        <v>225.47324612278524</v>
      </c>
      <c r="M20" s="16">
        <f t="shared" si="6"/>
        <v>-78.290627764436962</v>
      </c>
      <c r="N20" s="16">
        <f t="shared" si="7"/>
        <v>-79.594743700032907</v>
      </c>
      <c r="O20" s="16">
        <f>M20-'"0" цикл 24.06'!M19</f>
        <v>648.76258153900278</v>
      </c>
      <c r="P20" s="16">
        <f>N20-'"0" цикл 24.06'!N19</f>
        <v>-697.36094127167758</v>
      </c>
      <c r="Q20" s="16">
        <f t="shared" si="8"/>
        <v>952.47318577294936</v>
      </c>
      <c r="R20" s="16">
        <f t="shared" si="9"/>
        <v>-47.067620132819023</v>
      </c>
      <c r="S20" s="16">
        <f t="shared" si="10"/>
        <v>312.932379867181</v>
      </c>
    </row>
    <row r="21" spans="1:19" x14ac:dyDescent="0.45">
      <c r="A21" s="7">
        <v>8.5</v>
      </c>
      <c r="B21" s="11" t="s">
        <v>139</v>
      </c>
      <c r="C21" s="11" t="s">
        <v>140</v>
      </c>
      <c r="D21" s="8">
        <f t="shared" si="3"/>
        <v>-3498.5</v>
      </c>
      <c r="E21" s="8">
        <f t="shared" si="0"/>
        <v>-71.011407503365533</v>
      </c>
      <c r="F21" s="11">
        <v>-5273</v>
      </c>
      <c r="G21" s="11">
        <v>1785</v>
      </c>
      <c r="H21" s="8">
        <f t="shared" si="11"/>
        <v>-3529</v>
      </c>
      <c r="I21" s="8">
        <f t="shared" si="1"/>
        <v>-72.321582968254702</v>
      </c>
      <c r="J21" s="16">
        <f t="shared" si="4"/>
        <v>101.35596360670243</v>
      </c>
      <c r="K21" s="16">
        <f t="shared" si="2"/>
        <v>45.523713582546556</v>
      </c>
      <c r="L21" s="16">
        <f t="shared" si="5"/>
        <v>225.52371358254655</v>
      </c>
      <c r="M21" s="16">
        <f t="shared" si="6"/>
        <v>-71.011407503365561</v>
      </c>
      <c r="N21" s="16">
        <f t="shared" si="7"/>
        <v>-72.321582968254674</v>
      </c>
      <c r="O21" s="16">
        <f>M21-'"0" цикл 24.06'!M20</f>
        <v>657.77088634739846</v>
      </c>
      <c r="P21" s="16">
        <f>N21-'"0" цикл 24.06'!N20</f>
        <v>-693.02864337286917</v>
      </c>
      <c r="Q21" s="16">
        <f t="shared" si="8"/>
        <v>955.48481906385177</v>
      </c>
      <c r="R21" s="16">
        <f t="shared" si="9"/>
        <v>-46.495160501384973</v>
      </c>
      <c r="S21" s="16">
        <f t="shared" si="10"/>
        <v>313.50483949861501</v>
      </c>
    </row>
    <row r="22" spans="1:19" x14ac:dyDescent="0.45">
      <c r="A22" s="7">
        <v>9</v>
      </c>
      <c r="B22" s="11" t="s">
        <v>141</v>
      </c>
      <c r="C22" s="11" t="s">
        <v>142</v>
      </c>
      <c r="D22" s="8">
        <f t="shared" si="3"/>
        <v>-3913</v>
      </c>
      <c r="E22" s="8">
        <f t="shared" si="0"/>
        <v>-62.531210800945146</v>
      </c>
      <c r="F22" s="11">
        <v>-5626</v>
      </c>
      <c r="G22" s="11">
        <v>2201</v>
      </c>
      <c r="H22" s="8">
        <f t="shared" si="11"/>
        <v>-3913.5</v>
      </c>
      <c r="I22" s="8">
        <f t="shared" si="1"/>
        <v>-63.767462906961811</v>
      </c>
      <c r="J22" s="16">
        <f t="shared" si="4"/>
        <v>89.310926822102729</v>
      </c>
      <c r="K22" s="16">
        <f t="shared" si="2"/>
        <v>45.56081163777192</v>
      </c>
      <c r="L22" s="16">
        <f t="shared" si="5"/>
        <v>225.56081163777191</v>
      </c>
      <c r="M22" s="16">
        <f t="shared" si="6"/>
        <v>-62.531210800945161</v>
      </c>
      <c r="N22" s="16">
        <f t="shared" si="7"/>
        <v>-63.767462906961804</v>
      </c>
      <c r="O22" s="16">
        <f>M22-'"0" цикл 24.06'!M21</f>
        <v>668.19239335490977</v>
      </c>
      <c r="P22" s="16">
        <f>N22-'"0" цикл 24.06'!N21</f>
        <v>-687.38169216988854</v>
      </c>
      <c r="Q22" s="16">
        <f t="shared" si="8"/>
        <v>958.6316629799486</v>
      </c>
      <c r="R22" s="16">
        <f t="shared" si="9"/>
        <v>-45.811016096106158</v>
      </c>
      <c r="S22" s="16">
        <f t="shared" si="10"/>
        <v>314.18898390389381</v>
      </c>
    </row>
    <row r="23" spans="1:19" x14ac:dyDescent="0.45">
      <c r="A23" s="7">
        <v>9.5</v>
      </c>
      <c r="B23" s="11" t="s">
        <v>143</v>
      </c>
      <c r="C23" s="11" t="s">
        <v>144</v>
      </c>
      <c r="D23" s="8">
        <f t="shared" si="3"/>
        <v>-3790.5</v>
      </c>
      <c r="E23" s="8">
        <f t="shared" si="0"/>
        <v>-53.046400068222404</v>
      </c>
      <c r="F23" s="11">
        <v>-5529</v>
      </c>
      <c r="G23" s="11">
        <v>2057</v>
      </c>
      <c r="H23" s="8">
        <f t="shared" si="11"/>
        <v>-3793</v>
      </c>
      <c r="I23" s="8">
        <f t="shared" si="1"/>
        <v>-54.281440358156942</v>
      </c>
      <c r="J23" s="16">
        <f t="shared" si="4"/>
        <v>75.897268248297678</v>
      </c>
      <c r="K23" s="16">
        <f t="shared" si="2"/>
        <v>45.659283488457241</v>
      </c>
      <c r="L23" s="16">
        <f t="shared" si="5"/>
        <v>225.65928348845725</v>
      </c>
      <c r="M23" s="16">
        <f t="shared" si="6"/>
        <v>-53.046400068222397</v>
      </c>
      <c r="N23" s="16">
        <f t="shared" si="7"/>
        <v>-54.281440358156942</v>
      </c>
      <c r="O23" s="16">
        <f>M23-'"0" цикл 24.06'!M22</f>
        <v>679.5683365452503</v>
      </c>
      <c r="P23" s="16">
        <f>N23-'"0" цикл 24.06'!N22</f>
        <v>-680.91919171629388</v>
      </c>
      <c r="Q23" s="16">
        <f t="shared" si="8"/>
        <v>962.01043117133065</v>
      </c>
      <c r="R23" s="16">
        <f t="shared" si="9"/>
        <v>-45.056890102254549</v>
      </c>
      <c r="S23" s="16">
        <f t="shared" si="10"/>
        <v>314.94310989774544</v>
      </c>
    </row>
    <row r="24" spans="1:19" x14ac:dyDescent="0.45">
      <c r="A24" s="7">
        <v>10</v>
      </c>
      <c r="B24" s="11" t="s">
        <v>145</v>
      </c>
      <c r="C24" s="11" t="s">
        <v>146</v>
      </c>
      <c r="D24" s="8">
        <f t="shared" si="3"/>
        <v>-3258.5</v>
      </c>
      <c r="E24" s="8">
        <f t="shared" si="0"/>
        <v>-43.858485937705197</v>
      </c>
      <c r="F24" s="11">
        <v>-4984</v>
      </c>
      <c r="G24" s="11">
        <v>1527</v>
      </c>
      <c r="H24" s="8">
        <f t="shared" si="11"/>
        <v>-3255.5</v>
      </c>
      <c r="I24" s="8">
        <f t="shared" si="1"/>
        <v>-45.087467080559463</v>
      </c>
      <c r="J24" s="16">
        <f t="shared" si="4"/>
        <v>62.900289955519426</v>
      </c>
      <c r="K24" s="16">
        <f t="shared" si="2"/>
        <v>45.791615015753926</v>
      </c>
      <c r="L24" s="16">
        <f t="shared" si="5"/>
        <v>225.79161501575393</v>
      </c>
      <c r="M24" s="16">
        <f t="shared" si="6"/>
        <v>-43.858485937705183</v>
      </c>
      <c r="N24" s="16">
        <f t="shared" si="7"/>
        <v>-45.087467080559485</v>
      </c>
      <c r="O24" s="16">
        <f>M24-'"0" цикл 24.06'!M23</f>
        <v>690.33528621040045</v>
      </c>
      <c r="P24" s="16">
        <f>N24-'"0" цикл 24.06'!N23</f>
        <v>-674.14067200613215</v>
      </c>
      <c r="Q24" s="16">
        <f t="shared" si="8"/>
        <v>964.89815682281983</v>
      </c>
      <c r="R24" s="16">
        <f t="shared" si="9"/>
        <v>-44.320003057981403</v>
      </c>
      <c r="S24" s="16">
        <f t="shared" si="10"/>
        <v>315.67999694201859</v>
      </c>
    </row>
    <row r="25" spans="1:19" x14ac:dyDescent="0.45">
      <c r="A25" s="7">
        <v>10.5</v>
      </c>
      <c r="B25" s="11" t="s">
        <v>147</v>
      </c>
      <c r="C25" s="11" t="s">
        <v>148</v>
      </c>
      <c r="D25" s="8">
        <f t="shared" si="3"/>
        <v>-2736.5</v>
      </c>
      <c r="E25" s="8">
        <f t="shared" si="0"/>
        <v>-35.959987580390411</v>
      </c>
      <c r="F25" s="11">
        <v>-4436</v>
      </c>
      <c r="G25" s="11">
        <v>1003</v>
      </c>
      <c r="H25" s="8">
        <f t="shared" si="11"/>
        <v>-2719.5</v>
      </c>
      <c r="I25" s="8">
        <f t="shared" si="1"/>
        <v>-37.196240021868263</v>
      </c>
      <c r="J25" s="16">
        <f t="shared" si="4"/>
        <v>51.736650244737213</v>
      </c>
      <c r="K25" s="16">
        <f t="shared" si="2"/>
        <v>45.968137755275222</v>
      </c>
      <c r="L25" s="16">
        <f t="shared" si="5"/>
        <v>225.96813775527522</v>
      </c>
      <c r="M25" s="16">
        <f t="shared" si="6"/>
        <v>-35.959987580390418</v>
      </c>
      <c r="N25" s="16">
        <f t="shared" si="7"/>
        <v>-37.196240021868263</v>
      </c>
      <c r="O25" s="16">
        <f>M25-'"0" цикл 24.06'!M24</f>
        <v>697.81902651109135</v>
      </c>
      <c r="P25" s="16">
        <f>N25-'"0" цикл 24.06'!N24</f>
        <v>-667.04078174806762</v>
      </c>
      <c r="Q25" s="16">
        <f t="shared" si="8"/>
        <v>965.34698335674125</v>
      </c>
      <c r="R25" s="16">
        <f t="shared" si="9"/>
        <v>-43.70817157559803</v>
      </c>
      <c r="S25" s="16">
        <f t="shared" si="10"/>
        <v>316.29182842440196</v>
      </c>
    </row>
    <row r="26" spans="1:19" x14ac:dyDescent="0.45">
      <c r="A26" s="7">
        <v>11</v>
      </c>
      <c r="B26" s="11" t="s">
        <v>149</v>
      </c>
      <c r="C26" s="11" t="s">
        <v>150</v>
      </c>
      <c r="D26" s="8">
        <f t="shared" si="3"/>
        <v>-2344.5</v>
      </c>
      <c r="E26" s="8">
        <f t="shared" si="0"/>
        <v>-29.326718981016064</v>
      </c>
      <c r="F26" s="11">
        <v>-4117</v>
      </c>
      <c r="G26" s="11">
        <v>601</v>
      </c>
      <c r="H26" s="8">
        <f t="shared" si="11"/>
        <v>-2359</v>
      </c>
      <c r="I26" s="8">
        <f t="shared" si="1"/>
        <v>-30.604176981284045</v>
      </c>
      <c r="J26" s="16">
        <f t="shared" si="4"/>
        <v>42.387168988896207</v>
      </c>
      <c r="K26" s="16">
        <f t="shared" si="2"/>
        <v>46.221104217842246</v>
      </c>
      <c r="L26" s="16">
        <f t="shared" si="5"/>
        <v>226.22110421784225</v>
      </c>
      <c r="M26" s="16">
        <f t="shared" si="6"/>
        <v>-29.326718981016064</v>
      </c>
      <c r="N26" s="16">
        <f t="shared" si="7"/>
        <v>-30.604176981284049</v>
      </c>
      <c r="O26" s="16">
        <f>M26-'"0" цикл 24.06'!M25</f>
        <v>704.79214947475486</v>
      </c>
      <c r="P26" s="16">
        <f>N26-'"0" цикл 24.06'!N25</f>
        <v>-661.94739675514745</v>
      </c>
      <c r="Q26" s="16">
        <f t="shared" si="8"/>
        <v>966.90554349024274</v>
      </c>
      <c r="R26" s="16">
        <f t="shared" si="9"/>
        <v>-43.204471464853398</v>
      </c>
      <c r="S26" s="16">
        <f t="shared" si="10"/>
        <v>316.79552853514662</v>
      </c>
    </row>
    <row r="27" spans="1:19" x14ac:dyDescent="0.45">
      <c r="A27" s="7">
        <v>11.5</v>
      </c>
      <c r="B27" s="11" t="s">
        <v>151</v>
      </c>
      <c r="C27" s="11" t="s">
        <v>152</v>
      </c>
      <c r="D27" s="8">
        <f t="shared" si="3"/>
        <v>-2394.5</v>
      </c>
      <c r="E27" s="8">
        <f t="shared" si="0"/>
        <v>-23.643612978802462</v>
      </c>
      <c r="F27" s="11">
        <v>-4106</v>
      </c>
      <c r="G27" s="11">
        <v>670</v>
      </c>
      <c r="H27" s="8">
        <f t="shared" si="11"/>
        <v>-2388</v>
      </c>
      <c r="I27" s="8">
        <f t="shared" si="1"/>
        <v>-24.88592427179745</v>
      </c>
      <c r="J27" s="16">
        <f t="shared" si="4"/>
        <v>34.326806748560713</v>
      </c>
      <c r="K27" s="16">
        <f t="shared" si="2"/>
        <v>46.466398730814802</v>
      </c>
      <c r="L27" s="16">
        <f t="shared" si="5"/>
        <v>226.4663987308148</v>
      </c>
      <c r="M27" s="16">
        <f t="shared" si="6"/>
        <v>-23.643612978802452</v>
      </c>
      <c r="N27" s="16">
        <f t="shared" si="7"/>
        <v>-24.885924271797453</v>
      </c>
      <c r="O27" s="16">
        <f>M27-'"0" цикл 24.06'!M26</f>
        <v>711.88036487880231</v>
      </c>
      <c r="P27" s="16">
        <f>N27-'"0" цикл 24.06'!N26</f>
        <v>-658.63162899764666</v>
      </c>
      <c r="Q27" s="16">
        <f t="shared" si="8"/>
        <v>969.82950904582731</v>
      </c>
      <c r="R27" s="16">
        <f t="shared" si="9"/>
        <v>-42.774996470065702</v>
      </c>
      <c r="S27" s="16">
        <f t="shared" si="10"/>
        <v>317.22500352993427</v>
      </c>
    </row>
    <row r="28" spans="1:19" x14ac:dyDescent="0.45">
      <c r="A28" s="7">
        <v>12</v>
      </c>
      <c r="B28" s="11" t="s">
        <v>153</v>
      </c>
      <c r="C28" s="11" t="s">
        <v>154</v>
      </c>
      <c r="D28" s="8">
        <f t="shared" si="3"/>
        <v>-2150</v>
      </c>
      <c r="E28" s="8">
        <f t="shared" si="0"/>
        <v>-17.839311553905922</v>
      </c>
      <c r="F28" s="11">
        <v>-3862</v>
      </c>
      <c r="G28" s="11">
        <v>414</v>
      </c>
      <c r="H28" s="8">
        <f t="shared" si="11"/>
        <v>-2138</v>
      </c>
      <c r="I28" s="8">
        <f t="shared" si="1"/>
        <v>-19.097378232714043</v>
      </c>
      <c r="J28" s="16">
        <f t="shared" si="4"/>
        <v>26.133329142699395</v>
      </c>
      <c r="K28" s="16">
        <f t="shared" si="2"/>
        <v>46.950744829290834</v>
      </c>
      <c r="L28" s="16">
        <f t="shared" si="5"/>
        <v>226.95074482929084</v>
      </c>
      <c r="M28" s="16">
        <f t="shared" si="6"/>
        <v>-17.839311553905919</v>
      </c>
      <c r="N28" s="16">
        <f t="shared" si="7"/>
        <v>-19.097378232714046</v>
      </c>
      <c r="O28" s="16">
        <f>M28-'"0" цикл 24.06'!M27</f>
        <v>720.05115424921905</v>
      </c>
      <c r="P28" s="16">
        <f>N28-'"0" цикл 24.06'!N27</f>
        <v>-656.22220859235961</v>
      </c>
      <c r="Q28" s="16">
        <f t="shared" si="8"/>
        <v>974.21827727951552</v>
      </c>
      <c r="R28" s="16">
        <f t="shared" si="9"/>
        <v>-42.344633268287815</v>
      </c>
      <c r="S28" s="16">
        <f t="shared" si="10"/>
        <v>317.65536673171221</v>
      </c>
    </row>
    <row r="29" spans="1:19" x14ac:dyDescent="0.45">
      <c r="A29" s="7">
        <v>12.5</v>
      </c>
      <c r="B29" s="11" t="s">
        <v>155</v>
      </c>
      <c r="C29" s="11" t="s">
        <v>156</v>
      </c>
      <c r="D29" s="8">
        <f t="shared" si="3"/>
        <v>-2247</v>
      </c>
      <c r="E29" s="8">
        <f t="shared" si="0"/>
        <v>-12.627658856850251</v>
      </c>
      <c r="F29" s="11">
        <v>-3978</v>
      </c>
      <c r="G29" s="11">
        <v>515</v>
      </c>
      <c r="H29" s="8">
        <f t="shared" si="11"/>
        <v>-2246.5</v>
      </c>
      <c r="I29" s="8">
        <f t="shared" si="1"/>
        <v>-13.914812785103628</v>
      </c>
      <c r="J29" s="16">
        <f t="shared" si="4"/>
        <v>18.790417319726348</v>
      </c>
      <c r="K29" s="16">
        <f t="shared" si="2"/>
        <v>47.776333687031688</v>
      </c>
      <c r="L29" s="16">
        <f t="shared" si="5"/>
        <v>227.77633368703169</v>
      </c>
      <c r="M29" s="16">
        <f t="shared" si="6"/>
        <v>-12.627658856850246</v>
      </c>
      <c r="N29" s="16">
        <f t="shared" si="7"/>
        <v>-13.914812785103631</v>
      </c>
      <c r="O29" s="16">
        <f>M29-'"0" цикл 24.06'!M28</f>
        <v>728.74349865630256</v>
      </c>
      <c r="P29" s="16">
        <f>N29-'"0" цикл 24.06'!N28</f>
        <v>-655.5311390849588</v>
      </c>
      <c r="Q29" s="16">
        <f t="shared" si="8"/>
        <v>980.19802139356113</v>
      </c>
      <c r="R29" s="16">
        <f t="shared" si="9"/>
        <v>-41.972526658968064</v>
      </c>
      <c r="S29" s="16">
        <f t="shared" si="10"/>
        <v>318.02747334103196</v>
      </c>
    </row>
    <row r="30" spans="1:19" x14ac:dyDescent="0.45">
      <c r="A30" s="7">
        <v>13</v>
      </c>
      <c r="B30" s="11" t="s">
        <v>157</v>
      </c>
      <c r="C30" s="11" t="s">
        <v>158</v>
      </c>
      <c r="D30" s="8">
        <f t="shared" si="3"/>
        <v>-1825.5</v>
      </c>
      <c r="E30" s="8">
        <f t="shared" si="0"/>
        <v>-7.1808848828924772</v>
      </c>
      <c r="F30" s="11">
        <v>-3529</v>
      </c>
      <c r="G30" s="11">
        <v>85</v>
      </c>
      <c r="H30" s="8">
        <f t="shared" si="11"/>
        <v>-1807</v>
      </c>
      <c r="I30" s="8">
        <f t="shared" si="1"/>
        <v>-8.4692507734468183</v>
      </c>
      <c r="J30" s="16">
        <f t="shared" si="4"/>
        <v>11.103752355167293</v>
      </c>
      <c r="K30" s="16">
        <f t="shared" si="2"/>
        <v>49.706147467571661</v>
      </c>
      <c r="L30" s="16">
        <f t="shared" si="5"/>
        <v>229.70614746757167</v>
      </c>
      <c r="M30" s="16">
        <f t="shared" si="6"/>
        <v>-7.1808848828924727</v>
      </c>
      <c r="N30" s="16">
        <f t="shared" si="7"/>
        <v>-8.4692507734468201</v>
      </c>
      <c r="O30" s="16">
        <f>M30-'"0" цикл 24.06'!M29</f>
        <v>738.53148219265722</v>
      </c>
      <c r="P30" s="16">
        <f>N30-'"0" цикл 24.06'!N29</f>
        <v>-655.6543954858663</v>
      </c>
      <c r="Q30" s="16">
        <f t="shared" si="8"/>
        <v>987.57857232203048</v>
      </c>
      <c r="R30" s="16">
        <f t="shared" si="9"/>
        <v>-41.598067767252637</v>
      </c>
      <c r="S30" s="16">
        <f t="shared" si="10"/>
        <v>318.40193223274736</v>
      </c>
    </row>
    <row r="31" spans="1:19" x14ac:dyDescent="0.45">
      <c r="A31" s="7">
        <v>13.5</v>
      </c>
      <c r="B31" s="11" t="s">
        <v>159</v>
      </c>
      <c r="C31" s="11" t="s">
        <v>160</v>
      </c>
      <c r="D31" s="8">
        <f t="shared" si="3"/>
        <v>-1092</v>
      </c>
      <c r="E31" s="8">
        <f t="shared" si="0"/>
        <v>-2.755805776543033</v>
      </c>
      <c r="F31" s="11">
        <v>-2796</v>
      </c>
      <c r="G31" s="11">
        <v>-647</v>
      </c>
      <c r="H31" s="8">
        <f t="shared" si="11"/>
        <v>-1074.5</v>
      </c>
      <c r="I31" s="8">
        <f t="shared" si="1"/>
        <v>-4.0890151940445794</v>
      </c>
      <c r="J31" s="16">
        <f t="shared" si="4"/>
        <v>4.930974623252018</v>
      </c>
      <c r="K31" s="16">
        <f t="shared" si="2"/>
        <v>56.021865085068292</v>
      </c>
      <c r="L31" s="16">
        <f t="shared" si="5"/>
        <v>236.0218650850683</v>
      </c>
      <c r="M31" s="16">
        <f t="shared" si="6"/>
        <v>-2.7558057765430344</v>
      </c>
      <c r="N31" s="16">
        <f t="shared" si="7"/>
        <v>-4.0890151940445785</v>
      </c>
      <c r="O31" s="16">
        <f>M31-'"0" цикл 24.06'!M30</f>
        <v>745.6339320579458</v>
      </c>
      <c r="P31" s="16">
        <f>N31-'"0" цикл 24.06'!N30</f>
        <v>-655.00525136829094</v>
      </c>
      <c r="Q31" s="16">
        <f t="shared" si="8"/>
        <v>992.47258902008537</v>
      </c>
      <c r="R31" s="16">
        <f t="shared" si="9"/>
        <v>-41.297824360738929</v>
      </c>
      <c r="S31" s="16">
        <f t="shared" si="10"/>
        <v>318.7021756392611</v>
      </c>
    </row>
    <row r="32" spans="1:19" x14ac:dyDescent="0.45">
      <c r="A32" s="7">
        <v>14</v>
      </c>
      <c r="B32" s="11" t="s">
        <v>161</v>
      </c>
      <c r="C32" s="11" t="s">
        <v>162</v>
      </c>
      <c r="D32" s="8">
        <f t="shared" si="3"/>
        <v>-441.5</v>
      </c>
      <c r="E32" s="8">
        <f t="shared" si="0"/>
        <v>-0.10873544315589911</v>
      </c>
      <c r="F32" s="11">
        <v>-2167</v>
      </c>
      <c r="G32" s="11">
        <v>-1278</v>
      </c>
      <c r="H32" s="8">
        <f t="shared" si="11"/>
        <v>-444.5</v>
      </c>
      <c r="I32" s="8">
        <f t="shared" si="1"/>
        <v>-1.4843654727375122</v>
      </c>
      <c r="J32" s="16">
        <f t="shared" si="4"/>
        <v>1.4883427875504918</v>
      </c>
      <c r="K32" s="16">
        <f t="shared" si="2"/>
        <v>85.810348570527722</v>
      </c>
      <c r="L32" s="16">
        <f t="shared" si="5"/>
        <v>265.81034857052771</v>
      </c>
      <c r="M32" s="16">
        <f t="shared" si="6"/>
        <v>-0.1087354431559022</v>
      </c>
      <c r="N32" s="16">
        <f t="shared" si="7"/>
        <v>-1.4843654727375122</v>
      </c>
      <c r="O32" s="16">
        <f>M32-'"0" цикл 24.06'!M31</f>
        <v>750.26327913713294</v>
      </c>
      <c r="P32" s="16">
        <f>N32-'"0" цикл 24.06'!N31</f>
        <v>-655.31637580224344</v>
      </c>
      <c r="Q32" s="16">
        <f t="shared" si="8"/>
        <v>996.15989701261844</v>
      </c>
      <c r="R32" s="16">
        <f t="shared" si="9"/>
        <v>-41.135540900038315</v>
      </c>
      <c r="S32" s="16">
        <f t="shared" si="10"/>
        <v>318.86445909996166</v>
      </c>
    </row>
    <row r="33" spans="1:19" x14ac:dyDescent="0.45">
      <c r="A33" s="7">
        <v>14.5</v>
      </c>
      <c r="B33" s="11" t="s">
        <v>163</v>
      </c>
      <c r="C33" s="11" t="s">
        <v>164</v>
      </c>
      <c r="D33" s="8">
        <f t="shared" si="3"/>
        <v>-644.5</v>
      </c>
      <c r="E33" s="8">
        <f t="shared" si="0"/>
        <v>0.96148994068019089</v>
      </c>
      <c r="F33" s="11">
        <v>-2401</v>
      </c>
      <c r="G33" s="11">
        <v>-1116</v>
      </c>
      <c r="H33" s="8">
        <f t="shared" si="11"/>
        <v>-642.5</v>
      </c>
      <c r="I33" s="8">
        <f t="shared" si="1"/>
        <v>-0.40686790045716359</v>
      </c>
      <c r="J33" s="16">
        <f t="shared" si="4"/>
        <v>1.0440327554495679</v>
      </c>
      <c r="K33" s="16">
        <f t="shared" si="2"/>
        <v>157.06366945794642</v>
      </c>
      <c r="L33" s="16">
        <f t="shared" si="5"/>
        <v>337.06366945794639</v>
      </c>
      <c r="M33" s="16">
        <f t="shared" si="6"/>
        <v>0.96148994068019078</v>
      </c>
      <c r="N33" s="16">
        <f t="shared" si="7"/>
        <v>-0.4068679004571637</v>
      </c>
      <c r="O33" s="16">
        <f>M33-'"0" цикл 24.06'!M32</f>
        <v>752.22277354672099</v>
      </c>
      <c r="P33" s="16">
        <f>N33-'"0" цикл 24.06'!N32</f>
        <v>-656.22515465713548</v>
      </c>
      <c r="Q33" s="16">
        <f t="shared" si="8"/>
        <v>998.23371744652206</v>
      </c>
      <c r="R33" s="16">
        <f t="shared" si="9"/>
        <v>-41.100839318939336</v>
      </c>
      <c r="S33" s="16">
        <f t="shared" si="10"/>
        <v>318.89916068106066</v>
      </c>
    </row>
    <row r="34" spans="1:19" x14ac:dyDescent="0.45">
      <c r="A34" s="7">
        <v>15</v>
      </c>
      <c r="B34" s="11" t="s">
        <v>165</v>
      </c>
      <c r="C34" s="11" t="s">
        <v>166</v>
      </c>
      <c r="D34" s="8">
        <f t="shared" si="3"/>
        <v>-879</v>
      </c>
      <c r="E34" s="8">
        <f t="shared" si="0"/>
        <v>2.523799485842833</v>
      </c>
      <c r="F34" s="11">
        <v>-2618</v>
      </c>
      <c r="G34" s="11">
        <v>-851</v>
      </c>
      <c r="H34" s="8">
        <f t="shared" si="11"/>
        <v>-883.5</v>
      </c>
      <c r="I34" s="8">
        <f t="shared" si="1"/>
        <v>1.1505935314878468</v>
      </c>
      <c r="J34" s="16">
        <f t="shared" si="4"/>
        <v>2.7737031779630321</v>
      </c>
      <c r="K34" s="16">
        <f t="shared" si="2"/>
        <v>204.50811728000249</v>
      </c>
      <c r="L34" s="16">
        <f t="shared" si="5"/>
        <v>24.508117280002466</v>
      </c>
      <c r="M34" s="16">
        <f t="shared" si="6"/>
        <v>2.5237994858428339</v>
      </c>
      <c r="N34" s="16">
        <f t="shared" si="7"/>
        <v>1.1505935314878453</v>
      </c>
      <c r="O34" s="16">
        <f>M34-'"0" цикл 24.06'!M33</f>
        <v>753.96058564084126</v>
      </c>
      <c r="P34" s="16">
        <f>N34-'"0" цикл 24.06'!N33</f>
        <v>-655.78264256431567</v>
      </c>
      <c r="Q34" s="16">
        <f t="shared" si="8"/>
        <v>999.25344081895321</v>
      </c>
      <c r="R34" s="16">
        <f t="shared" si="9"/>
        <v>-41.016214961015407</v>
      </c>
      <c r="S34" s="16">
        <f t="shared" si="10"/>
        <v>318.98378503898459</v>
      </c>
    </row>
    <row r="35" spans="1:19" x14ac:dyDescent="0.45">
      <c r="A35" s="7">
        <v>15.5</v>
      </c>
      <c r="B35" s="11" t="s">
        <v>167</v>
      </c>
      <c r="C35" s="11" t="s">
        <v>168</v>
      </c>
      <c r="D35" s="8">
        <f t="shared" si="3"/>
        <v>-1253.5</v>
      </c>
      <c r="E35" s="8">
        <f t="shared" si="0"/>
        <v>4.6545491650637052</v>
      </c>
      <c r="F35" s="11">
        <v>-2997</v>
      </c>
      <c r="G35" s="11">
        <v>-480</v>
      </c>
      <c r="H35" s="8">
        <f t="shared" si="11"/>
        <v>-1258.5</v>
      </c>
      <c r="I35" s="8">
        <f t="shared" si="1"/>
        <v>3.2922514189757979</v>
      </c>
      <c r="J35" s="16">
        <f t="shared" si="4"/>
        <v>5.7012057791087827</v>
      </c>
      <c r="K35" s="16">
        <f t="shared" si="2"/>
        <v>215.27249797146291</v>
      </c>
      <c r="L35" s="16">
        <f t="shared" si="5"/>
        <v>35.27249797146294</v>
      </c>
      <c r="M35" s="16">
        <f t="shared" si="6"/>
        <v>4.6545491650637025</v>
      </c>
      <c r="N35" s="16">
        <f t="shared" si="7"/>
        <v>3.292251418975801</v>
      </c>
      <c r="O35" s="16">
        <f>M35-'"0" цикл 24.06'!M34</f>
        <v>755.38156832929087</v>
      </c>
      <c r="P35" s="16">
        <f>N35-'"0" цикл 24.06'!N34</f>
        <v>-653.90157201862701</v>
      </c>
      <c r="Q35" s="16">
        <f t="shared" si="8"/>
        <v>999.09387930266632</v>
      </c>
      <c r="R35" s="16">
        <f t="shared" si="9"/>
        <v>-40.881340706418065</v>
      </c>
      <c r="S35" s="16">
        <f t="shared" si="10"/>
        <v>319.11865929358191</v>
      </c>
    </row>
    <row r="36" spans="1:19" x14ac:dyDescent="0.45">
      <c r="A36" s="7">
        <v>16</v>
      </c>
      <c r="B36" s="11" t="s">
        <v>169</v>
      </c>
      <c r="C36" s="11" t="s">
        <v>170</v>
      </c>
      <c r="D36" s="8">
        <f t="shared" si="3"/>
        <v>-1546.5</v>
      </c>
      <c r="E36" s="8">
        <f t="shared" si="0"/>
        <v>7.6931002082328206</v>
      </c>
      <c r="F36" s="11">
        <v>-3257</v>
      </c>
      <c r="G36" s="11">
        <v>-195</v>
      </c>
      <c r="H36" s="8">
        <f t="shared" si="11"/>
        <v>-1531</v>
      </c>
      <c r="I36" s="8">
        <f t="shared" si="1"/>
        <v>6.3429225794674515</v>
      </c>
      <c r="J36" s="16">
        <f t="shared" si="4"/>
        <v>9.9707801932963047</v>
      </c>
      <c r="K36" s="16">
        <f t="shared" si="2"/>
        <v>219.50541022898531</v>
      </c>
      <c r="L36" s="16">
        <f t="shared" si="5"/>
        <v>39.505410228985284</v>
      </c>
      <c r="M36" s="16">
        <f t="shared" si="6"/>
        <v>7.6931002082328233</v>
      </c>
      <c r="N36" s="16">
        <f t="shared" si="7"/>
        <v>6.3429225794674471</v>
      </c>
      <c r="O36" s="16">
        <f>M36-'"0" цикл 24.06'!M35</f>
        <v>757.95966764390812</v>
      </c>
      <c r="P36" s="16">
        <f>N36-'"0" цикл 24.06'!N35</f>
        <v>-651.25559903425392</v>
      </c>
      <c r="Q36" s="16">
        <f t="shared" si="8"/>
        <v>999.31812404675645</v>
      </c>
      <c r="R36" s="16">
        <f t="shared" si="9"/>
        <v>-40.669895854207589</v>
      </c>
      <c r="S36" s="16">
        <f t="shared" si="10"/>
        <v>319.3301041457924</v>
      </c>
    </row>
    <row r="37" spans="1:19" x14ac:dyDescent="0.45">
      <c r="A37" s="7">
        <v>16.5</v>
      </c>
      <c r="B37" s="11" t="s">
        <v>171</v>
      </c>
      <c r="C37" s="11" t="s">
        <v>172</v>
      </c>
      <c r="D37" s="8">
        <f t="shared" si="3"/>
        <v>-2229</v>
      </c>
      <c r="E37" s="8">
        <f t="shared" si="0"/>
        <v>11.441886874387798</v>
      </c>
      <c r="F37" s="11">
        <v>-3964</v>
      </c>
      <c r="G37" s="11">
        <v>513</v>
      </c>
      <c r="H37" s="8">
        <f t="shared" si="11"/>
        <v>-2238.5</v>
      </c>
      <c r="I37" s="8">
        <f t="shared" si="1"/>
        <v>10.054137230860658</v>
      </c>
      <c r="J37" s="16">
        <f t="shared" si="4"/>
        <v>15.231626659791337</v>
      </c>
      <c r="K37" s="16">
        <f t="shared" si="2"/>
        <v>221.30620019761295</v>
      </c>
      <c r="L37" s="16">
        <f t="shared" si="5"/>
        <v>41.306200197612952</v>
      </c>
      <c r="M37" s="16">
        <f t="shared" si="6"/>
        <v>11.441886874387796</v>
      </c>
      <c r="N37" s="16">
        <f t="shared" si="7"/>
        <v>10.054137230860659</v>
      </c>
      <c r="O37" s="16">
        <f>M37-'"0" цикл 24.06'!M36</f>
        <v>761.95001271727949</v>
      </c>
      <c r="P37" s="16">
        <f>N37-'"0" цикл 24.06'!N36</f>
        <v>-649.11942022451933</v>
      </c>
      <c r="Q37" s="16">
        <f t="shared" si="8"/>
        <v>1000.9614595939638</v>
      </c>
      <c r="R37" s="16">
        <f t="shared" si="9"/>
        <v>-40.428296265581096</v>
      </c>
      <c r="S37" s="16">
        <f t="shared" si="10"/>
        <v>319.57170373441892</v>
      </c>
    </row>
    <row r="38" spans="1:19" x14ac:dyDescent="0.45">
      <c r="A38" s="7">
        <v>17</v>
      </c>
      <c r="B38" s="11" t="s">
        <v>173</v>
      </c>
      <c r="C38" s="11" t="s">
        <v>174</v>
      </c>
      <c r="D38" s="8">
        <f t="shared" si="3"/>
        <v>-2590.5</v>
      </c>
      <c r="E38" s="8">
        <f t="shared" si="0"/>
        <v>16.845030185402528</v>
      </c>
      <c r="F38" s="11">
        <v>-3977</v>
      </c>
      <c r="G38" s="11">
        <v>1114</v>
      </c>
      <c r="H38" s="8">
        <f t="shared" si="11"/>
        <v>-2545.5</v>
      </c>
      <c r="I38" s="8">
        <f t="shared" si="1"/>
        <v>15.480307841355062</v>
      </c>
      <c r="J38" s="16">
        <f t="shared" si="4"/>
        <v>22.877827099841483</v>
      </c>
      <c r="K38" s="16">
        <f t="shared" si="2"/>
        <v>222.58250251244323</v>
      </c>
      <c r="L38" s="16">
        <f t="shared" si="5"/>
        <v>42.582502512443227</v>
      </c>
      <c r="M38" s="16">
        <f t="shared" si="6"/>
        <v>16.845030185402525</v>
      </c>
      <c r="N38" s="16">
        <f t="shared" si="7"/>
        <v>15.480307841355064</v>
      </c>
      <c r="O38" s="16">
        <f>M38-'"0" цикл 24.06'!M37</f>
        <v>768.08558803508492</v>
      </c>
      <c r="P38" s="16">
        <f>N38-'"0" цикл 24.06'!N37</f>
        <v>-645.46027060004053</v>
      </c>
      <c r="Q38" s="16">
        <f t="shared" si="8"/>
        <v>1003.2818305293282</v>
      </c>
      <c r="R38" s="16">
        <f t="shared" si="9"/>
        <v>-40.041994886063925</v>
      </c>
      <c r="S38" s="16">
        <f t="shared" si="10"/>
        <v>319.95800511393605</v>
      </c>
    </row>
    <row r="39" spans="1:19" x14ac:dyDescent="0.45">
      <c r="A39" s="7">
        <v>17.5</v>
      </c>
      <c r="B39" s="11" t="s">
        <v>175</v>
      </c>
      <c r="C39" s="11" t="s">
        <v>176</v>
      </c>
      <c r="D39" s="8">
        <f t="shared" si="3"/>
        <v>-2458</v>
      </c>
      <c r="E39" s="8">
        <f t="shared" si="0"/>
        <v>23.124414311395782</v>
      </c>
      <c r="F39" s="11">
        <v>-4542</v>
      </c>
      <c r="G39" s="11">
        <v>532</v>
      </c>
      <c r="H39" s="8">
        <f t="shared" si="11"/>
        <v>-2537</v>
      </c>
      <c r="I39" s="8">
        <f t="shared" si="1"/>
        <v>21.650617343301523</v>
      </c>
      <c r="J39" s="16">
        <f t="shared" si="4"/>
        <v>31.677875064327701</v>
      </c>
      <c r="K39" s="16">
        <f t="shared" si="2"/>
        <v>223.11475577250411</v>
      </c>
      <c r="L39" s="16">
        <f t="shared" si="5"/>
        <v>43.114755772504111</v>
      </c>
      <c r="M39" s="16">
        <f t="shared" si="6"/>
        <v>23.124414311395775</v>
      </c>
      <c r="N39" s="16">
        <f t="shared" si="7"/>
        <v>21.65061734330153</v>
      </c>
      <c r="O39" s="16">
        <f>M39-'"0" цикл 24.06'!M38</f>
        <v>774.30764294341225</v>
      </c>
      <c r="P39" s="16">
        <f>N39-'"0" цикл 24.06'!N38</f>
        <v>-640.19813782686515</v>
      </c>
      <c r="Q39" s="16">
        <f t="shared" si="8"/>
        <v>1004.6919834444627</v>
      </c>
      <c r="R39" s="16">
        <f t="shared" si="9"/>
        <v>-39.583968010810729</v>
      </c>
      <c r="S39" s="16">
        <f t="shared" si="10"/>
        <v>320.41603198918926</v>
      </c>
    </row>
    <row r="40" spans="1:19" x14ac:dyDescent="0.45">
      <c r="A40" s="7">
        <v>18</v>
      </c>
      <c r="B40" s="11" t="s">
        <v>167</v>
      </c>
      <c r="C40" s="11" t="s">
        <v>177</v>
      </c>
      <c r="D40" s="8">
        <f t="shared" si="3"/>
        <v>-1256.5</v>
      </c>
      <c r="E40" s="8">
        <f t="shared" si="0"/>
        <v>29.082633430544753</v>
      </c>
      <c r="F40" s="11">
        <v>-3074</v>
      </c>
      <c r="G40" s="11">
        <v>-370</v>
      </c>
      <c r="H40" s="8">
        <f t="shared" si="11"/>
        <v>-1352</v>
      </c>
      <c r="I40" s="8">
        <f t="shared" si="1"/>
        <v>27.800323827572097</v>
      </c>
      <c r="J40" s="16">
        <f t="shared" si="4"/>
        <v>40.232543695040114</v>
      </c>
      <c r="K40" s="16">
        <f t="shared" si="2"/>
        <v>223.70860289237987</v>
      </c>
      <c r="L40" s="16">
        <f t="shared" si="5"/>
        <v>43.708602892379872</v>
      </c>
      <c r="M40" s="16">
        <f t="shared" si="6"/>
        <v>29.082633430544757</v>
      </c>
      <c r="N40" s="16">
        <f t="shared" si="7"/>
        <v>27.800323827572093</v>
      </c>
      <c r="O40" s="16">
        <f>M40-'"0" цикл 24.06'!M39</f>
        <v>778.96753248358243</v>
      </c>
      <c r="P40" s="16">
        <f>N40-'"0" цикл 24.06'!N39</f>
        <v>-633.74930131919359</v>
      </c>
      <c r="Q40" s="16">
        <f t="shared" si="8"/>
        <v>1004.2054538719291</v>
      </c>
      <c r="R40" s="16">
        <f t="shared" si="9"/>
        <v>-39.13097508637992</v>
      </c>
      <c r="S40" s="16">
        <f t="shared" si="10"/>
        <v>320.86902491362008</v>
      </c>
    </row>
    <row r="41" spans="1:19" x14ac:dyDescent="0.45">
      <c r="A41" s="7">
        <v>18.5</v>
      </c>
      <c r="B41" s="11" t="s">
        <v>178</v>
      </c>
      <c r="C41" s="11" t="s">
        <v>179</v>
      </c>
      <c r="D41" s="8">
        <f t="shared" si="3"/>
        <v>-46</v>
      </c>
      <c r="E41" s="8">
        <f t="shared" si="0"/>
        <v>32.128456544322106</v>
      </c>
      <c r="F41" s="11">
        <v>-1529</v>
      </c>
      <c r="G41" s="11">
        <v>-1464</v>
      </c>
      <c r="H41" s="8">
        <f t="shared" si="11"/>
        <v>-32.5</v>
      </c>
      <c r="I41" s="8">
        <f t="shared" si="1"/>
        <v>31.077640844066188</v>
      </c>
      <c r="J41" s="16">
        <f t="shared" si="4"/>
        <v>44.699636244081056</v>
      </c>
      <c r="K41" s="16">
        <f t="shared" si="2"/>
        <v>224.04753242147299</v>
      </c>
      <c r="L41" s="16">
        <f t="shared" si="5"/>
        <v>44.047532421472965</v>
      </c>
      <c r="M41" s="16">
        <f t="shared" si="6"/>
        <v>32.128456544322113</v>
      </c>
      <c r="N41" s="16">
        <f t="shared" si="7"/>
        <v>31.077640844066174</v>
      </c>
      <c r="O41" s="16">
        <f>M41-'"0" цикл 24.06'!M40</f>
        <v>778.78985176231606</v>
      </c>
      <c r="P41" s="16">
        <f>N41-'"0" цикл 24.06'!N40</f>
        <v>-628.13761490866273</v>
      </c>
      <c r="Q41" s="16">
        <f t="shared" si="8"/>
        <v>1000.5351050668405</v>
      </c>
      <c r="R41" s="16">
        <f t="shared" si="9"/>
        <v>-38.88811969192939</v>
      </c>
      <c r="S41" s="16">
        <f t="shared" si="10"/>
        <v>321.11188030807062</v>
      </c>
    </row>
    <row r="42" spans="1:19" x14ac:dyDescent="0.45">
      <c r="A42" s="7">
        <v>19</v>
      </c>
      <c r="B42" s="11" t="s">
        <v>180</v>
      </c>
      <c r="C42" s="11" t="s">
        <v>181</v>
      </c>
      <c r="D42" s="8">
        <f t="shared" si="3"/>
        <v>391</v>
      </c>
      <c r="E42" s="8">
        <f t="shared" si="0"/>
        <v>32.239963690052988</v>
      </c>
      <c r="F42" s="11">
        <v>-803</v>
      </c>
      <c r="G42" s="11">
        <v>-1810</v>
      </c>
      <c r="H42" s="8">
        <f t="shared" si="11"/>
        <v>503.5</v>
      </c>
      <c r="I42" s="8">
        <f t="shared" si="1"/>
        <v>31.156423066920507</v>
      </c>
      <c r="J42" s="16">
        <f t="shared" si="4"/>
        <v>44.834562081734127</v>
      </c>
      <c r="K42" s="16">
        <f t="shared" si="2"/>
        <v>224.02082336692882</v>
      </c>
      <c r="L42" s="16">
        <f t="shared" si="5"/>
        <v>44.020823366928823</v>
      </c>
      <c r="M42" s="16">
        <f t="shared" si="6"/>
        <v>32.239963690052996</v>
      </c>
      <c r="N42" s="16">
        <f t="shared" si="7"/>
        <v>31.156423066920503</v>
      </c>
      <c r="O42" s="16">
        <f>M42-'"0" цикл 24.06'!M41</f>
        <v>774.33544712045625</v>
      </c>
      <c r="P42" s="16">
        <f>N42-'"0" цикл 24.06'!N41</f>
        <v>-624.52408558061791</v>
      </c>
      <c r="Q42" s="16">
        <f t="shared" si="8"/>
        <v>994.79933561374264</v>
      </c>
      <c r="R42" s="16">
        <f t="shared" si="9"/>
        <v>-38.887187097232434</v>
      </c>
      <c r="S42" s="16">
        <f t="shared" si="10"/>
        <v>321.11281290276759</v>
      </c>
    </row>
    <row r="43" spans="1:19" x14ac:dyDescent="0.45">
      <c r="A43" s="7">
        <v>19.5</v>
      </c>
      <c r="B43" s="11" t="s">
        <v>182</v>
      </c>
      <c r="C43" s="11" t="s">
        <v>183</v>
      </c>
      <c r="D43" s="8">
        <f t="shared" si="3"/>
        <v>726.5</v>
      </c>
      <c r="E43" s="8">
        <f t="shared" si="0"/>
        <v>31.292153511124571</v>
      </c>
      <c r="F43" s="11">
        <v>-900</v>
      </c>
      <c r="G43" s="11">
        <v>-2345</v>
      </c>
      <c r="H43" s="8">
        <f t="shared" si="11"/>
        <v>722.5</v>
      </c>
      <c r="I43" s="8">
        <f t="shared" si="1"/>
        <v>29.935905836836177</v>
      </c>
      <c r="J43" s="16">
        <f t="shared" si="4"/>
        <v>43.305396079884872</v>
      </c>
      <c r="K43" s="16">
        <f t="shared" si="2"/>
        <v>223.73106279861994</v>
      </c>
      <c r="L43" s="16">
        <f t="shared" si="5"/>
        <v>43.731062798619973</v>
      </c>
      <c r="M43" s="16">
        <f t="shared" si="6"/>
        <v>31.292153511124553</v>
      </c>
      <c r="N43" s="16">
        <f t="shared" si="7"/>
        <v>29.935905836836195</v>
      </c>
      <c r="O43" s="16">
        <f>M43-'"0" цикл 24.06'!M42</f>
        <v>771.53565291439395</v>
      </c>
      <c r="P43" s="16">
        <f>N43-'"0" цикл 24.06'!N42</f>
        <v>-625.0754389271101</v>
      </c>
      <c r="Q43" s="16">
        <f t="shared" si="8"/>
        <v>992.96856348424217</v>
      </c>
      <c r="R43" s="16">
        <f t="shared" si="9"/>
        <v>-39.013371410089462</v>
      </c>
      <c r="S43" s="16">
        <f t="shared" si="10"/>
        <v>320.98662858991054</v>
      </c>
    </row>
    <row r="44" spans="1:19" x14ac:dyDescent="0.45">
      <c r="A44" s="7">
        <v>20</v>
      </c>
      <c r="B44" s="11" t="s">
        <v>184</v>
      </c>
      <c r="C44" s="11" t="s">
        <v>185</v>
      </c>
      <c r="D44" s="8">
        <f t="shared" si="3"/>
        <v>1107.5</v>
      </c>
      <c r="E44" s="8">
        <f t="shared" si="0"/>
        <v>29.531071455739514</v>
      </c>
      <c r="F44" s="11">
        <v>-548</v>
      </c>
      <c r="G44" s="11">
        <v>-2662</v>
      </c>
      <c r="H44" s="8">
        <f t="shared" si="11"/>
        <v>1057</v>
      </c>
      <c r="I44" s="8">
        <f t="shared" si="1"/>
        <v>28.184519995259421</v>
      </c>
      <c r="J44" s="16">
        <f t="shared" si="4"/>
        <v>40.822191865297619</v>
      </c>
      <c r="K44" s="16">
        <f t="shared" si="2"/>
        <v>223.66348555676493</v>
      </c>
      <c r="L44" s="16">
        <f t="shared" si="5"/>
        <v>43.663485556764954</v>
      </c>
      <c r="M44" s="16">
        <f t="shared" si="6"/>
        <v>29.531071455739504</v>
      </c>
      <c r="N44" s="16">
        <f t="shared" si="7"/>
        <v>28.184519995259432</v>
      </c>
      <c r="O44" s="16">
        <f>M44-'"0" цикл 24.06'!M43</f>
        <v>768.03009357017277</v>
      </c>
      <c r="P44" s="16">
        <f>N44-'"0" цикл 24.06'!N43</f>
        <v>-626.25171466628308</v>
      </c>
      <c r="Q44" s="16">
        <f t="shared" si="8"/>
        <v>990.99012848356267</v>
      </c>
      <c r="R44" s="16">
        <f t="shared" si="9"/>
        <v>-39.193801492185038</v>
      </c>
      <c r="S44" s="16">
        <f t="shared" si="10"/>
        <v>320.80619850781494</v>
      </c>
    </row>
    <row r="45" spans="1:19" x14ac:dyDescent="0.45">
      <c r="A45" s="7">
        <v>20.5</v>
      </c>
      <c r="B45" s="11" t="s">
        <v>184</v>
      </c>
      <c r="C45" s="11" t="s">
        <v>185</v>
      </c>
      <c r="D45" s="8">
        <f t="shared" si="3"/>
        <v>1107.5</v>
      </c>
      <c r="E45" s="8">
        <f t="shared" si="0"/>
        <v>26.846428596126831</v>
      </c>
      <c r="F45" s="11">
        <v>-548</v>
      </c>
      <c r="G45" s="11">
        <v>-2662</v>
      </c>
      <c r="H45" s="8">
        <f t="shared" si="11"/>
        <v>1057</v>
      </c>
      <c r="I45" s="8">
        <f t="shared" si="1"/>
        <v>25.622290904781291</v>
      </c>
      <c r="J45" s="16">
        <f t="shared" si="4"/>
        <v>37.111083513906927</v>
      </c>
      <c r="K45" s="16">
        <f t="shared" si="2"/>
        <v>223.66348555676493</v>
      </c>
      <c r="L45" s="16">
        <f t="shared" si="5"/>
        <v>43.663485556764954</v>
      </c>
      <c r="M45" s="16">
        <f t="shared" si="6"/>
        <v>26.846428596126824</v>
      </c>
      <c r="N45" s="16">
        <f t="shared" si="7"/>
        <v>25.622290904781302</v>
      </c>
      <c r="O45" s="16">
        <f>M45-'"0" цикл 24.06'!M44</f>
        <v>763.12719298958018</v>
      </c>
      <c r="P45" s="16">
        <f>N45-'"0" цикл 24.06'!N44</f>
        <v>-627.63621121098072</v>
      </c>
      <c r="Q45" s="16">
        <f t="shared" si="8"/>
        <v>988.07404899806511</v>
      </c>
      <c r="R45" s="16">
        <f t="shared" si="9"/>
        <v>-39.435688741714593</v>
      </c>
      <c r="S45" s="16">
        <f t="shared" si="10"/>
        <v>320.56431125828539</v>
      </c>
    </row>
    <row r="46" spans="1:19" x14ac:dyDescent="0.45">
      <c r="A46" s="7">
        <v>21</v>
      </c>
      <c r="B46" s="11" t="s">
        <v>184</v>
      </c>
      <c r="C46" s="11" t="s">
        <v>185</v>
      </c>
      <c r="D46" s="8">
        <f t="shared" si="3"/>
        <v>1107.5</v>
      </c>
      <c r="E46" s="8">
        <f t="shared" si="0"/>
        <v>24.161785736514148</v>
      </c>
      <c r="F46" s="11">
        <v>-548</v>
      </c>
      <c r="G46" s="11">
        <v>-2662</v>
      </c>
      <c r="H46" s="8">
        <f t="shared" si="11"/>
        <v>1057</v>
      </c>
      <c r="I46" s="8">
        <f t="shared" si="1"/>
        <v>23.060061814303161</v>
      </c>
      <c r="J46" s="16">
        <f t="shared" si="4"/>
        <v>33.399975162516235</v>
      </c>
      <c r="K46" s="16">
        <f t="shared" si="2"/>
        <v>223.66348555676493</v>
      </c>
      <c r="L46" s="16">
        <f t="shared" si="5"/>
        <v>43.663485556764954</v>
      </c>
      <c r="M46" s="16">
        <f t="shared" si="6"/>
        <v>24.16178573651414</v>
      </c>
      <c r="N46" s="16">
        <f t="shared" si="7"/>
        <v>23.060061814303172</v>
      </c>
      <c r="O46" s="16">
        <f>M46-'"0" цикл 24.06'!M45</f>
        <v>757.42775452192336</v>
      </c>
      <c r="P46" s="16">
        <f>N46-'"0" цикл 24.06'!N45</f>
        <v>-628.01836128856098</v>
      </c>
      <c r="Q46" s="16">
        <f t="shared" si="8"/>
        <v>983.92269281468066</v>
      </c>
      <c r="R46" s="16">
        <f t="shared" si="9"/>
        <v>-39.663696662208423</v>
      </c>
      <c r="S46" s="16">
        <f t="shared" si="10"/>
        <v>320.33630333779161</v>
      </c>
    </row>
    <row r="47" spans="1:19" x14ac:dyDescent="0.45">
      <c r="A47" s="7">
        <v>21.5</v>
      </c>
      <c r="B47" s="11" t="s">
        <v>184</v>
      </c>
      <c r="C47" s="11" t="s">
        <v>185</v>
      </c>
      <c r="D47" s="8">
        <f t="shared" si="3"/>
        <v>1107.5</v>
      </c>
      <c r="E47" s="8">
        <f t="shared" si="0"/>
        <v>21.477142876901464</v>
      </c>
      <c r="F47" s="11">
        <v>-548</v>
      </c>
      <c r="G47" s="11">
        <v>-2662</v>
      </c>
      <c r="H47" s="8">
        <f t="shared" si="11"/>
        <v>1057</v>
      </c>
      <c r="I47" s="8">
        <f t="shared" si="1"/>
        <v>20.497832723825031</v>
      </c>
      <c r="J47" s="16">
        <f t="shared" si="4"/>
        <v>29.688866811125539</v>
      </c>
      <c r="K47" s="16">
        <f t="shared" si="2"/>
        <v>223.66348555676493</v>
      </c>
      <c r="L47" s="16">
        <f t="shared" si="5"/>
        <v>43.663485556764954</v>
      </c>
      <c r="M47" s="16">
        <f t="shared" si="6"/>
        <v>21.477142876901457</v>
      </c>
      <c r="N47" s="16">
        <f t="shared" si="7"/>
        <v>20.497832723825038</v>
      </c>
      <c r="O47" s="16">
        <f>M47-'"0" цикл 24.06'!M46</f>
        <v>750.90294024903551</v>
      </c>
      <c r="P47" s="16">
        <f>N47-'"0" цикл 24.06'!N46</f>
        <v>-627.93485326460063</v>
      </c>
      <c r="Q47" s="16">
        <f t="shared" si="8"/>
        <v>978.85515047890613</v>
      </c>
      <c r="R47" s="16">
        <f t="shared" si="9"/>
        <v>-39.903706494898394</v>
      </c>
      <c r="S47" s="16">
        <f t="shared" si="10"/>
        <v>320.09629350510158</v>
      </c>
    </row>
    <row r="48" spans="1:19" x14ac:dyDescent="0.45">
      <c r="A48" s="7">
        <v>22</v>
      </c>
      <c r="B48" s="11" t="s">
        <v>184</v>
      </c>
      <c r="C48" s="11" t="s">
        <v>185</v>
      </c>
      <c r="D48" s="8">
        <f t="shared" si="3"/>
        <v>1107.5</v>
      </c>
      <c r="E48" s="8">
        <f t="shared" si="0"/>
        <v>18.792500017288781</v>
      </c>
      <c r="F48" s="11">
        <v>-548</v>
      </c>
      <c r="G48" s="11">
        <v>-2662</v>
      </c>
      <c r="H48" s="8">
        <f t="shared" si="11"/>
        <v>1057</v>
      </c>
      <c r="I48" s="8">
        <f t="shared" si="1"/>
        <v>17.935603633346901</v>
      </c>
      <c r="J48" s="16">
        <f t="shared" si="4"/>
        <v>25.977758459734847</v>
      </c>
      <c r="K48" s="16">
        <f t="shared" si="2"/>
        <v>223.66348555676493</v>
      </c>
      <c r="L48" s="16">
        <f t="shared" si="5"/>
        <v>43.663485556764954</v>
      </c>
      <c r="M48" s="16">
        <f t="shared" si="6"/>
        <v>18.792500017288774</v>
      </c>
      <c r="N48" s="16">
        <f t="shared" si="7"/>
        <v>17.935603633346911</v>
      </c>
      <c r="O48" s="16">
        <f>M48-'"0" цикл 24.06'!M47</f>
        <v>745.34894336730531</v>
      </c>
      <c r="P48" s="16">
        <f>N48-'"0" цикл 24.06'!N47</f>
        <v>-628.59988976993338</v>
      </c>
      <c r="Q48" s="16">
        <f t="shared" si="8"/>
        <v>975.02967585480746</v>
      </c>
      <c r="R48" s="16">
        <f t="shared" si="9"/>
        <v>-40.143052297290083</v>
      </c>
      <c r="S48" s="16">
        <f t="shared" si="10"/>
        <v>319.85694770270993</v>
      </c>
    </row>
    <row r="49" spans="1:19" x14ac:dyDescent="0.45">
      <c r="A49" s="7">
        <v>22.5</v>
      </c>
      <c r="B49" s="11" t="s">
        <v>184</v>
      </c>
      <c r="C49" s="11" t="s">
        <v>185</v>
      </c>
      <c r="D49" s="8">
        <f t="shared" si="3"/>
        <v>1107.5</v>
      </c>
      <c r="E49" s="8">
        <f t="shared" si="0"/>
        <v>16.107857157676097</v>
      </c>
      <c r="F49" s="11">
        <v>-548</v>
      </c>
      <c r="G49" s="11">
        <v>-2662</v>
      </c>
      <c r="H49" s="8">
        <f t="shared" si="11"/>
        <v>1057</v>
      </c>
      <c r="I49" s="8">
        <f t="shared" si="1"/>
        <v>15.373374542868772</v>
      </c>
      <c r="J49" s="16">
        <f t="shared" si="4"/>
        <v>22.266650108344155</v>
      </c>
      <c r="K49" s="16">
        <f t="shared" si="2"/>
        <v>223.66348555676493</v>
      </c>
      <c r="L49" s="16">
        <f t="shared" si="5"/>
        <v>43.663485556764954</v>
      </c>
      <c r="M49" s="16">
        <f t="shared" si="6"/>
        <v>16.107857157676094</v>
      </c>
      <c r="N49" s="16">
        <f t="shared" si="7"/>
        <v>15.373374542868779</v>
      </c>
      <c r="O49" s="16">
        <f>M49-'"0" цикл 24.06'!M48</f>
        <v>742.26857138180162</v>
      </c>
      <c r="P49" s="16">
        <f>N49-'"0" цикл 24.06'!N48</f>
        <v>-631.92012476047285</v>
      </c>
      <c r="Q49" s="16">
        <f t="shared" si="8"/>
        <v>974.82597223220944</v>
      </c>
      <c r="R49" s="16">
        <f t="shared" si="9"/>
        <v>-40.408954387780987</v>
      </c>
      <c r="S49" s="16">
        <f t="shared" si="10"/>
        <v>319.59104561221903</v>
      </c>
    </row>
    <row r="50" spans="1:19" x14ac:dyDescent="0.45">
      <c r="A50" s="7">
        <v>23</v>
      </c>
      <c r="B50" s="11" t="s">
        <v>184</v>
      </c>
      <c r="C50" s="11" t="s">
        <v>185</v>
      </c>
      <c r="D50" s="8">
        <f t="shared" si="3"/>
        <v>1107.5</v>
      </c>
      <c r="E50" s="8">
        <f t="shared" si="0"/>
        <v>13.423214298063415</v>
      </c>
      <c r="F50" s="11">
        <v>-548</v>
      </c>
      <c r="G50" s="11">
        <v>-2662</v>
      </c>
      <c r="H50" s="8">
        <f t="shared" si="11"/>
        <v>1057</v>
      </c>
      <c r="I50" s="8">
        <f t="shared" si="1"/>
        <v>12.811145452390644</v>
      </c>
      <c r="J50" s="16">
        <f t="shared" si="4"/>
        <v>18.555541756953463</v>
      </c>
      <c r="K50" s="16">
        <f t="shared" si="2"/>
        <v>223.66348555676493</v>
      </c>
      <c r="L50" s="16">
        <f t="shared" si="5"/>
        <v>43.663485556764954</v>
      </c>
      <c r="M50" s="16">
        <f t="shared" si="6"/>
        <v>13.423214298063412</v>
      </c>
      <c r="N50" s="16">
        <f t="shared" si="7"/>
        <v>12.811145452390651</v>
      </c>
      <c r="O50" s="16">
        <f>M50-'"0" цикл 24.06'!M49</f>
        <v>738.19009099428786</v>
      </c>
      <c r="P50" s="16">
        <f>N50-'"0" цикл 24.06'!N49</f>
        <v>-634.04650640683019</v>
      </c>
      <c r="Q50" s="16">
        <f t="shared" si="8"/>
        <v>973.10820710179075</v>
      </c>
      <c r="R50" s="16">
        <f t="shared" si="9"/>
        <v>-40.659953180758016</v>
      </c>
      <c r="S50" s="16">
        <f t="shared" si="10"/>
        <v>319.34004681924199</v>
      </c>
    </row>
    <row r="51" spans="1:19" x14ac:dyDescent="0.45">
      <c r="A51" s="7">
        <v>23.5</v>
      </c>
      <c r="B51" s="11" t="s">
        <v>184</v>
      </c>
      <c r="C51" s="11" t="s">
        <v>185</v>
      </c>
      <c r="D51" s="8">
        <f t="shared" si="3"/>
        <v>1107.5</v>
      </c>
      <c r="E51" s="8">
        <f t="shared" si="0"/>
        <v>10.738571438450732</v>
      </c>
      <c r="F51" s="11">
        <v>-548</v>
      </c>
      <c r="G51" s="11">
        <v>-2662</v>
      </c>
      <c r="H51" s="8">
        <f t="shared" si="11"/>
        <v>1057</v>
      </c>
      <c r="I51" s="8">
        <f t="shared" si="1"/>
        <v>10.248916361912515</v>
      </c>
      <c r="J51" s="16">
        <f t="shared" si="4"/>
        <v>14.84443340556277</v>
      </c>
      <c r="K51" s="16">
        <f t="shared" si="2"/>
        <v>223.66348555676493</v>
      </c>
      <c r="L51" s="16">
        <f t="shared" si="5"/>
        <v>43.663485556764954</v>
      </c>
      <c r="M51" s="16">
        <f t="shared" si="6"/>
        <v>10.738571438450728</v>
      </c>
      <c r="N51" s="16">
        <f t="shared" si="7"/>
        <v>10.248916361912519</v>
      </c>
      <c r="O51" s="16">
        <f>M51-'"0" цикл 24.06'!M50</f>
        <v>730.84972843158835</v>
      </c>
      <c r="P51" s="16">
        <f>N51-'"0" цикл 24.06'!N50</f>
        <v>-633.05399033035246</v>
      </c>
      <c r="Q51" s="16">
        <f t="shared" si="8"/>
        <v>966.90158766117895</v>
      </c>
      <c r="R51" s="16">
        <f t="shared" si="9"/>
        <v>-40.898750200497979</v>
      </c>
      <c r="S51" s="16">
        <f t="shared" si="10"/>
        <v>319.101249799502</v>
      </c>
    </row>
    <row r="52" spans="1:19" x14ac:dyDescent="0.45">
      <c r="A52" s="7">
        <v>24</v>
      </c>
      <c r="B52" s="11" t="s">
        <v>184</v>
      </c>
      <c r="C52" s="11" t="s">
        <v>185</v>
      </c>
      <c r="D52" s="8">
        <f t="shared" si="3"/>
        <v>1107.5</v>
      </c>
      <c r="E52" s="8">
        <f t="shared" si="0"/>
        <v>8.0539285788380486</v>
      </c>
      <c r="F52" s="11">
        <v>-548</v>
      </c>
      <c r="G52" s="11">
        <v>-2662</v>
      </c>
      <c r="H52" s="8">
        <f t="shared" si="11"/>
        <v>1057</v>
      </c>
      <c r="I52" s="8">
        <f t="shared" si="1"/>
        <v>7.686687271434387</v>
      </c>
      <c r="J52" s="16">
        <f t="shared" si="4"/>
        <v>11.133325054172078</v>
      </c>
      <c r="K52" s="16">
        <f t="shared" si="2"/>
        <v>223.66348555676493</v>
      </c>
      <c r="L52" s="16">
        <f t="shared" si="5"/>
        <v>43.663485556764954</v>
      </c>
      <c r="M52" s="16">
        <f t="shared" si="6"/>
        <v>8.0539285788380468</v>
      </c>
      <c r="N52" s="16">
        <f t="shared" si="7"/>
        <v>7.6866872714343897</v>
      </c>
      <c r="O52" s="16">
        <f>M52-'"0" цикл 24.06'!M51</f>
        <v>719.14803994150998</v>
      </c>
      <c r="P52" s="16">
        <f>N52-'"0" цикл 24.06'!N51</f>
        <v>-627.53581795735852</v>
      </c>
      <c r="Q52" s="16">
        <f t="shared" si="8"/>
        <v>954.4501590817232</v>
      </c>
      <c r="R52" s="16">
        <f t="shared" si="9"/>
        <v>-41.108278171863041</v>
      </c>
      <c r="S52" s="16">
        <f t="shared" si="10"/>
        <v>318.89172182813695</v>
      </c>
    </row>
    <row r="53" spans="1:19" x14ac:dyDescent="0.45">
      <c r="A53" s="7">
        <v>24.5</v>
      </c>
      <c r="B53" s="11" t="s">
        <v>184</v>
      </c>
      <c r="C53" s="11" t="s">
        <v>185</v>
      </c>
      <c r="D53" s="8">
        <f t="shared" si="3"/>
        <v>1107.5</v>
      </c>
      <c r="E53" s="8">
        <f t="shared" si="0"/>
        <v>5.369285719225366</v>
      </c>
      <c r="F53" s="11">
        <v>-548</v>
      </c>
      <c r="G53" s="11">
        <v>-2662</v>
      </c>
      <c r="H53" s="8">
        <f t="shared" si="11"/>
        <v>1057</v>
      </c>
      <c r="I53" s="8">
        <f t="shared" si="1"/>
        <v>5.1244581809562577</v>
      </c>
      <c r="J53" s="16">
        <f t="shared" si="4"/>
        <v>7.4222167027813848</v>
      </c>
      <c r="K53" s="16">
        <f t="shared" si="2"/>
        <v>223.66348555676493</v>
      </c>
      <c r="L53" s="16">
        <f t="shared" si="5"/>
        <v>43.663485556764954</v>
      </c>
      <c r="M53" s="16">
        <f t="shared" si="6"/>
        <v>5.3692857192253642</v>
      </c>
      <c r="N53" s="16">
        <f t="shared" si="7"/>
        <v>5.1244581809562595</v>
      </c>
      <c r="O53" s="16">
        <f>M53-'"0" цикл 24.06'!M52</f>
        <v>703.71030195204014</v>
      </c>
      <c r="P53" s="16">
        <f>N53-'"0" цикл 24.06'!N52</f>
        <v>-618.16730879633565</v>
      </c>
      <c r="Q53" s="16">
        <f t="shared" si="8"/>
        <v>936.66376610709983</v>
      </c>
      <c r="R53" s="16">
        <f t="shared" si="9"/>
        <v>-41.29736690741597</v>
      </c>
      <c r="S53" s="16">
        <f t="shared" si="10"/>
        <v>318.70263309258405</v>
      </c>
    </row>
    <row r="54" spans="1:19" x14ac:dyDescent="0.45">
      <c r="A54" s="7">
        <v>25</v>
      </c>
      <c r="B54" s="11" t="s">
        <v>184</v>
      </c>
      <c r="C54" s="11" t="s">
        <v>185</v>
      </c>
      <c r="D54" s="8">
        <f t="shared" si="3"/>
        <v>1107.5</v>
      </c>
      <c r="E54" s="8">
        <f t="shared" si="0"/>
        <v>2.684642859612683</v>
      </c>
      <c r="F54" s="11">
        <v>-548</v>
      </c>
      <c r="G54" s="11">
        <v>-2662</v>
      </c>
      <c r="H54" s="8">
        <f t="shared" si="11"/>
        <v>1057</v>
      </c>
      <c r="I54" s="8">
        <f t="shared" si="1"/>
        <v>2.5622290904781289</v>
      </c>
      <c r="J54" s="16">
        <f t="shared" si="4"/>
        <v>3.7111083513906924</v>
      </c>
      <c r="K54" s="16">
        <f t="shared" si="2"/>
        <v>223.66348555676493</v>
      </c>
      <c r="L54" s="16">
        <v>0</v>
      </c>
      <c r="M54" s="16">
        <f t="shared" si="6"/>
        <v>3.7111083513906924</v>
      </c>
      <c r="N54" s="16">
        <f t="shared" si="7"/>
        <v>0</v>
      </c>
      <c r="O54" s="16">
        <f>M54-'"0" цикл 24.06'!M53</f>
        <v>687.02370976008342</v>
      </c>
      <c r="P54" s="16">
        <f>N54-'"0" цикл 24.06'!N53</f>
        <v>-609.23571912388809</v>
      </c>
      <c r="Q54" s="16">
        <f t="shared" si="8"/>
        <v>918.24274526342344</v>
      </c>
      <c r="R54" s="16">
        <f t="shared" si="9"/>
        <v>-41.565822416474546</v>
      </c>
      <c r="S54" s="16">
        <f t="shared" si="10"/>
        <v>318.43417758352547</v>
      </c>
    </row>
  </sheetData>
  <mergeCells count="2">
    <mergeCell ref="B1:I1"/>
    <mergeCell ref="M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54"/>
  <sheetViews>
    <sheetView zoomScale="76" workbookViewId="0">
      <selection activeCell="H2" sqref="H2"/>
    </sheetView>
  </sheetViews>
  <sheetFormatPr defaultRowHeight="14.25" x14ac:dyDescent="0.45"/>
  <sheetData>
    <row r="1" spans="1:24" x14ac:dyDescent="0.45">
      <c r="B1" s="57" t="s">
        <v>0</v>
      </c>
      <c r="C1" s="57"/>
      <c r="D1" s="57"/>
      <c r="E1" s="57"/>
      <c r="H1" t="s">
        <v>96</v>
      </c>
      <c r="L1" s="1"/>
      <c r="M1" s="1"/>
      <c r="O1" t="s">
        <v>1</v>
      </c>
      <c r="P1" s="4">
        <v>180</v>
      </c>
    </row>
    <row r="2" spans="1:24" x14ac:dyDescent="0.45">
      <c r="A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t="s">
        <v>7</v>
      </c>
      <c r="G2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Q2" t="s">
        <v>17</v>
      </c>
      <c r="R2" t="s">
        <v>18</v>
      </c>
      <c r="S2" s="1" t="s">
        <v>15</v>
      </c>
      <c r="T2" s="1" t="s">
        <v>19</v>
      </c>
      <c r="U2" s="1" t="s">
        <v>20</v>
      </c>
      <c r="V2" s="1" t="s">
        <v>21</v>
      </c>
      <c r="W2" s="1"/>
      <c r="X2" s="1" t="s">
        <v>22</v>
      </c>
    </row>
    <row r="3" spans="1:24" x14ac:dyDescent="0.45">
      <c r="A3">
        <v>-0.5</v>
      </c>
      <c r="B3">
        <v>160</v>
      </c>
      <c r="C3">
        <v>-159</v>
      </c>
      <c r="D3">
        <v>-19</v>
      </c>
      <c r="E3">
        <v>-34</v>
      </c>
      <c r="F3">
        <f>(B3-C3)/2</f>
        <v>159.5</v>
      </c>
      <c r="G3">
        <f>(D3-E3)/2</f>
        <v>7.5</v>
      </c>
      <c r="H3">
        <f>ASIN(F3/20000)</f>
        <v>7.9750845382502589E-3</v>
      </c>
      <c r="I3">
        <f>ASIN(G3/20000)</f>
        <v>3.7500000878906307E-4</v>
      </c>
      <c r="J3">
        <f>0.5*SIN(H3)</f>
        <v>3.9874999999999997E-3</v>
      </c>
      <c r="K3">
        <f>0.5*SIN(I3)</f>
        <v>1.875E-4</v>
      </c>
      <c r="L3">
        <f>J4+L4</f>
        <v>-4.3787499999999986E-2</v>
      </c>
      <c r="M3">
        <f>K4+M4</f>
        <v>-9.698749999999999E-2</v>
      </c>
      <c r="N3">
        <f>SQRT(L3^2+M3^2)</f>
        <v>0.10641391033365889</v>
      </c>
      <c r="O3">
        <f>IF(L3&gt;=0,180-DEGREES(ASIN(-M3/N3)),IF(M3&lt;0,DEGREES(ASIN(-M3/N3)),360-DEGREES(ASIN(M3/N3))))</f>
        <v>65.701980257792357</v>
      </c>
      <c r="P3">
        <f>IF((O3+$P$1)&lt;=360,O3+$P$1,O3+$P$1-360)</f>
        <v>245.70198025779234</v>
      </c>
      <c r="Q3">
        <f>1000*N3*COS(RADIANS(P3))</f>
        <v>-43.787500000000016</v>
      </c>
      <c r="R3">
        <f>1000*N3*SIN(RADIANS(P3))</f>
        <v>-96.987499999999969</v>
      </c>
      <c r="S3">
        <f>N3*1000</f>
        <v>106.41391033365889</v>
      </c>
      <c r="T3" t="e">
        <f>Q3-'"0" цикл 24.06'!#REF!</f>
        <v>#REF!</v>
      </c>
      <c r="U3" t="e">
        <f>R3-'"0" цикл 24.06'!#REF!</f>
        <v>#REF!</v>
      </c>
      <c r="V3" t="e">
        <f>SQRT(T3^2+U3^2)</f>
        <v>#REF!</v>
      </c>
      <c r="W3" t="e">
        <f>IF(V3=0,0,IF(T3&gt;=0,DEGREES(ASIN(U3/V3)),(180-DEGREES(ASIN(U3/V3)))))</f>
        <v>#REF!</v>
      </c>
      <c r="X3" t="e">
        <f>IF(W3&lt;0,360+W3,W3)</f>
        <v>#REF!</v>
      </c>
    </row>
    <row r="4" spans="1:24" x14ac:dyDescent="0.45">
      <c r="A4">
        <v>0</v>
      </c>
      <c r="B4">
        <v>133</v>
      </c>
      <c r="C4">
        <v>-142</v>
      </c>
      <c r="D4">
        <v>48</v>
      </c>
      <c r="E4">
        <v>-79</v>
      </c>
      <c r="F4">
        <f t="shared" ref="F4:F54" si="0">(B4-C4)/2</f>
        <v>137.5</v>
      </c>
      <c r="G4">
        <f t="shared" ref="G4:G54" si="1">(D4-E4)/2</f>
        <v>63.5</v>
      </c>
      <c r="H4">
        <f t="shared" ref="H4:I19" si="2">ASIN(F4/20000)</f>
        <v>6.8750541596806049E-3</v>
      </c>
      <c r="I4">
        <f t="shared" si="2"/>
        <v>3.1750053343549268E-3</v>
      </c>
      <c r="J4">
        <f t="shared" ref="J4:K19" si="3">0.5*SIN(H4)</f>
        <v>3.4375E-3</v>
      </c>
      <c r="K4">
        <f t="shared" si="3"/>
        <v>1.5874999999999997E-3</v>
      </c>
      <c r="L4">
        <f t="shared" ref="L4:M19" si="4">J5+L5</f>
        <v>-4.7224999999999989E-2</v>
      </c>
      <c r="M4">
        <f t="shared" si="4"/>
        <v>-9.8574999999999996E-2</v>
      </c>
      <c r="N4">
        <f t="shared" ref="N4:N54" si="5">SQRT(L4^2+M4^2)</f>
        <v>0.10930339084401727</v>
      </c>
      <c r="O4">
        <f t="shared" ref="O4:O53" si="6">IF(L4&gt;=0,180-DEGREES(ASIN(-M4/N4)),IF(M4&lt;0,DEGREES(ASIN(-M4/N4)),360-DEGREES(ASIN(M4/N4))))</f>
        <v>64.401998018857824</v>
      </c>
      <c r="P4">
        <f t="shared" ref="P4:P53" si="7">IF((O4+$P$1)&lt;=360,O4+$P$1,O4+$P$1-360)</f>
        <v>244.40199801885782</v>
      </c>
      <c r="Q4">
        <f t="shared" ref="Q4:Q54" si="8">1000*N4*COS(RADIANS(P4))</f>
        <v>-47.225000000000023</v>
      </c>
      <c r="R4">
        <f t="shared" ref="R4:R54" si="9">1000*N4*SIN(RADIANS(P4))</f>
        <v>-98.574999999999989</v>
      </c>
      <c r="S4">
        <f t="shared" ref="S4:S54" si="10">N4*1000</f>
        <v>109.30339084401727</v>
      </c>
      <c r="T4">
        <f>Q4-'"0" цикл 24.06'!Q3</f>
        <v>-633.92640040642164</v>
      </c>
      <c r="U4">
        <f>R4-'"0" цикл 24.06'!R3</f>
        <v>-1021.5794502990846</v>
      </c>
      <c r="V4">
        <f t="shared" ref="V4:V54" si="11">SQRT(T4^2+U4^2)</f>
        <v>1202.2841820491619</v>
      </c>
      <c r="W4">
        <f t="shared" ref="W4:W54" si="12">IF(V4=0,0,IF(T4&gt;=0,DEGREES(ASIN(U4/V4)),(180-DEGREES(ASIN(U4/V4)))))</f>
        <v>238.17892644124507</v>
      </c>
      <c r="X4">
        <f t="shared" ref="X4:X54" si="13">IF(W4&lt;0,360+W4,W4)</f>
        <v>238.17892644124507</v>
      </c>
    </row>
    <row r="5" spans="1:24" x14ac:dyDescent="0.45">
      <c r="A5">
        <v>0.5</v>
      </c>
      <c r="B5">
        <v>16</v>
      </c>
      <c r="C5">
        <v>-32</v>
      </c>
      <c r="D5">
        <v>-21</v>
      </c>
      <c r="E5">
        <v>10</v>
      </c>
      <c r="F5">
        <f t="shared" si="0"/>
        <v>24</v>
      </c>
      <c r="G5">
        <f t="shared" si="1"/>
        <v>-15.5</v>
      </c>
      <c r="H5">
        <f t="shared" si="2"/>
        <v>1.2000002880001867E-3</v>
      </c>
      <c r="I5">
        <f t="shared" si="2"/>
        <v>-7.7500007758075007E-4</v>
      </c>
      <c r="J5">
        <f t="shared" si="3"/>
        <v>6.0000000000000006E-4</v>
      </c>
      <c r="K5">
        <f t="shared" si="3"/>
        <v>-3.8749999999999999E-4</v>
      </c>
      <c r="L5">
        <f t="shared" si="4"/>
        <v>-4.7824999999999993E-2</v>
      </c>
      <c r="M5">
        <f t="shared" si="4"/>
        <v>-9.8187499999999997E-2</v>
      </c>
      <c r="N5">
        <f t="shared" si="5"/>
        <v>0.1092154557800772</v>
      </c>
      <c r="O5">
        <f t="shared" si="6"/>
        <v>64.030292017536297</v>
      </c>
      <c r="P5">
        <f t="shared" si="7"/>
        <v>244.03029201753628</v>
      </c>
      <c r="Q5">
        <f t="shared" si="8"/>
        <v>-47.825000000000053</v>
      </c>
      <c r="R5">
        <f t="shared" si="9"/>
        <v>-98.187499999999972</v>
      </c>
      <c r="S5">
        <f t="shared" si="10"/>
        <v>109.21545578007721</v>
      </c>
      <c r="T5">
        <f>Q5-'"0" цикл 24.06'!Q4</f>
        <v>-640.04601325564477</v>
      </c>
      <c r="U5">
        <f>R5-'"0" цикл 24.06'!R4</f>
        <v>-1028.1600918660747</v>
      </c>
      <c r="V5">
        <f t="shared" si="11"/>
        <v>1211.1036593085253</v>
      </c>
      <c r="W5">
        <f t="shared" si="12"/>
        <v>238.09707928844387</v>
      </c>
      <c r="X5">
        <f t="shared" si="13"/>
        <v>238.09707928844387</v>
      </c>
    </row>
    <row r="6" spans="1:24" x14ac:dyDescent="0.45">
      <c r="A6">
        <v>1</v>
      </c>
      <c r="B6">
        <v>-83</v>
      </c>
      <c r="C6">
        <v>88</v>
      </c>
      <c r="D6">
        <v>-95</v>
      </c>
      <c r="E6">
        <v>105</v>
      </c>
      <c r="F6">
        <f t="shared" si="0"/>
        <v>-85.5</v>
      </c>
      <c r="G6">
        <f t="shared" si="1"/>
        <v>-100</v>
      </c>
      <c r="H6">
        <f t="shared" si="2"/>
        <v>-4.2750130214899021E-3</v>
      </c>
      <c r="I6">
        <f t="shared" si="2"/>
        <v>-5.0000208335677122E-3</v>
      </c>
      <c r="J6">
        <f t="shared" si="3"/>
        <v>-2.1375000000000001E-3</v>
      </c>
      <c r="K6">
        <f t="shared" si="3"/>
        <v>-2.5000000000000001E-3</v>
      </c>
      <c r="L6">
        <f t="shared" si="4"/>
        <v>-4.5687499999999992E-2</v>
      </c>
      <c r="M6">
        <f t="shared" si="4"/>
        <v>-9.5687499999999995E-2</v>
      </c>
      <c r="N6">
        <f t="shared" si="5"/>
        <v>0.10603511358271843</v>
      </c>
      <c r="O6">
        <f t="shared" si="6"/>
        <v>64.477124614144572</v>
      </c>
      <c r="P6">
        <f t="shared" si="7"/>
        <v>244.47712461414457</v>
      </c>
      <c r="Q6">
        <f t="shared" si="8"/>
        <v>-45.687499999999979</v>
      </c>
      <c r="R6">
        <f t="shared" si="9"/>
        <v>-95.6875</v>
      </c>
      <c r="S6">
        <f t="shared" si="10"/>
        <v>106.03511358271842</v>
      </c>
      <c r="T6">
        <f>Q6-'"0" цикл 24.06'!Q5</f>
        <v>-645.37436649094184</v>
      </c>
      <c r="U6">
        <f>R6-'"0" цикл 24.06'!R5</f>
        <v>-1035.5246572864085</v>
      </c>
      <c r="V6">
        <f t="shared" si="11"/>
        <v>1220.1718685380836</v>
      </c>
      <c r="W6">
        <f t="shared" si="12"/>
        <v>238.06742866686363</v>
      </c>
      <c r="X6">
        <f t="shared" si="13"/>
        <v>238.06742866686363</v>
      </c>
    </row>
    <row r="7" spans="1:24" x14ac:dyDescent="0.45">
      <c r="A7">
        <v>1.5</v>
      </c>
      <c r="B7">
        <v>-53</v>
      </c>
      <c r="C7">
        <v>32</v>
      </c>
      <c r="D7">
        <v>-147</v>
      </c>
      <c r="E7">
        <v>160</v>
      </c>
      <c r="F7">
        <f t="shared" si="0"/>
        <v>-42.5</v>
      </c>
      <c r="G7">
        <f t="shared" si="1"/>
        <v>-153.5</v>
      </c>
      <c r="H7">
        <f t="shared" si="2"/>
        <v>-2.1250015992871044E-3</v>
      </c>
      <c r="I7">
        <f t="shared" si="2"/>
        <v>-7.6750753521093945E-3</v>
      </c>
      <c r="J7">
        <f t="shared" si="3"/>
        <v>-1.0625000000000003E-3</v>
      </c>
      <c r="K7">
        <f t="shared" si="3"/>
        <v>-3.8374999999999998E-3</v>
      </c>
      <c r="L7">
        <f t="shared" si="4"/>
        <v>-4.4624999999999991E-2</v>
      </c>
      <c r="M7">
        <f t="shared" si="4"/>
        <v>-9.1850000000000001E-2</v>
      </c>
      <c r="N7">
        <f t="shared" si="5"/>
        <v>0.10211666428649145</v>
      </c>
      <c r="O7">
        <f t="shared" si="6"/>
        <v>64.087363531312647</v>
      </c>
      <c r="P7">
        <f t="shared" si="7"/>
        <v>244.08736353131263</v>
      </c>
      <c r="Q7">
        <f t="shared" si="8"/>
        <v>-44.625</v>
      </c>
      <c r="R7">
        <f t="shared" si="9"/>
        <v>-91.85</v>
      </c>
      <c r="S7">
        <f t="shared" si="10"/>
        <v>102.11666428649146</v>
      </c>
      <c r="T7">
        <f>Q7-'"0" цикл 24.06'!Q6</f>
        <v>-650.11592552533079</v>
      </c>
      <c r="U7">
        <f>R7-'"0" цикл 24.06'!R6</f>
        <v>-1038.9252946105044</v>
      </c>
      <c r="V7">
        <f t="shared" si="11"/>
        <v>1225.5678212172434</v>
      </c>
      <c r="W7">
        <f t="shared" si="12"/>
        <v>237.96339232480969</v>
      </c>
      <c r="X7">
        <f t="shared" si="13"/>
        <v>237.96339232480969</v>
      </c>
    </row>
    <row r="8" spans="1:24" x14ac:dyDescent="0.45">
      <c r="A8">
        <v>2</v>
      </c>
      <c r="B8">
        <v>-30</v>
      </c>
      <c r="C8">
        <v>35</v>
      </c>
      <c r="D8">
        <v>-212</v>
      </c>
      <c r="E8">
        <v>219</v>
      </c>
      <c r="F8">
        <f t="shared" si="0"/>
        <v>-32.5</v>
      </c>
      <c r="G8">
        <f t="shared" si="1"/>
        <v>-215.5</v>
      </c>
      <c r="H8">
        <f t="shared" si="2"/>
        <v>-1.6250007151701205E-3</v>
      </c>
      <c r="I8">
        <f t="shared" si="2"/>
        <v>-1.0775208508266153E-2</v>
      </c>
      <c r="J8">
        <f t="shared" si="3"/>
        <v>-8.1249999999999996E-4</v>
      </c>
      <c r="K8">
        <f t="shared" si="3"/>
        <v>-5.3874999999999999E-3</v>
      </c>
      <c r="L8">
        <f t="shared" si="4"/>
        <v>-4.381249999999999E-2</v>
      </c>
      <c r="M8">
        <f t="shared" si="4"/>
        <v>-8.6462499999999998E-2</v>
      </c>
      <c r="N8">
        <f t="shared" si="5"/>
        <v>9.692935088248554E-2</v>
      </c>
      <c r="O8">
        <f t="shared" si="6"/>
        <v>63.127638343782088</v>
      </c>
      <c r="P8">
        <f t="shared" si="7"/>
        <v>243.12763834378208</v>
      </c>
      <c r="Q8">
        <f t="shared" si="8"/>
        <v>-43.812499999999993</v>
      </c>
      <c r="R8">
        <f t="shared" si="9"/>
        <v>-86.462500000000006</v>
      </c>
      <c r="S8">
        <f t="shared" si="10"/>
        <v>96.929350882485537</v>
      </c>
      <c r="T8">
        <f>Q8-'"0" цикл 24.06'!Q7</f>
        <v>-652.56656204496585</v>
      </c>
      <c r="U8">
        <f>R8-'"0" цикл 24.06'!R7</f>
        <v>-1037.3509047777418</v>
      </c>
      <c r="V8">
        <f t="shared" si="11"/>
        <v>1225.536624317032</v>
      </c>
      <c r="W8">
        <f t="shared" si="12"/>
        <v>237.8272244713915</v>
      </c>
      <c r="X8">
        <f t="shared" si="13"/>
        <v>237.8272244713915</v>
      </c>
    </row>
    <row r="9" spans="1:24" x14ac:dyDescent="0.45">
      <c r="A9">
        <v>2.5</v>
      </c>
      <c r="B9">
        <v>18</v>
      </c>
      <c r="C9">
        <v>-16</v>
      </c>
      <c r="D9">
        <v>-266</v>
      </c>
      <c r="E9">
        <v>275</v>
      </c>
      <c r="F9">
        <f t="shared" si="0"/>
        <v>17</v>
      </c>
      <c r="G9">
        <f t="shared" si="1"/>
        <v>-270.5</v>
      </c>
      <c r="H9">
        <f t="shared" si="2"/>
        <v>8.5000010235419994E-4</v>
      </c>
      <c r="I9">
        <f t="shared" si="2"/>
        <v>-1.3525412378792848E-2</v>
      </c>
      <c r="J9">
        <f t="shared" si="3"/>
        <v>4.2499999999999998E-4</v>
      </c>
      <c r="K9">
        <f t="shared" si="3"/>
        <v>-6.7625000000000003E-3</v>
      </c>
      <c r="L9">
        <f t="shared" si="4"/>
        <v>-4.4237499999999992E-2</v>
      </c>
      <c r="M9">
        <f t="shared" si="4"/>
        <v>-7.9699999999999993E-2</v>
      </c>
      <c r="N9">
        <f t="shared" si="5"/>
        <v>9.1153970874833526E-2</v>
      </c>
      <c r="O9">
        <f t="shared" si="6"/>
        <v>60.967526956520892</v>
      </c>
      <c r="P9">
        <f t="shared" si="7"/>
        <v>240.96752695652089</v>
      </c>
      <c r="Q9">
        <f t="shared" si="8"/>
        <v>-44.237500000000018</v>
      </c>
      <c r="R9">
        <f t="shared" si="9"/>
        <v>-79.699999999999989</v>
      </c>
      <c r="S9">
        <f t="shared" si="10"/>
        <v>91.153970874833533</v>
      </c>
      <c r="T9">
        <f>Q9-'"0" цикл 24.06'!Q8</f>
        <v>-654.89445114973319</v>
      </c>
      <c r="U9">
        <f>R9-'"0" цикл 24.06'!R8</f>
        <v>-1032.3826438267211</v>
      </c>
      <c r="V9">
        <f t="shared" si="11"/>
        <v>1222.5795129239491</v>
      </c>
      <c r="W9">
        <f t="shared" si="12"/>
        <v>237.61090118381188</v>
      </c>
      <c r="X9">
        <f t="shared" si="13"/>
        <v>237.61090118381188</v>
      </c>
    </row>
    <row r="10" spans="1:24" x14ac:dyDescent="0.45">
      <c r="A10">
        <v>3</v>
      </c>
      <c r="B10">
        <v>70</v>
      </c>
      <c r="C10">
        <v>-76</v>
      </c>
      <c r="D10">
        <v>-279</v>
      </c>
      <c r="E10">
        <v>291</v>
      </c>
      <c r="F10">
        <f t="shared" si="0"/>
        <v>73</v>
      </c>
      <c r="G10">
        <f t="shared" si="1"/>
        <v>-285</v>
      </c>
      <c r="H10">
        <f t="shared" si="2"/>
        <v>3.6500081045694214E-3</v>
      </c>
      <c r="I10">
        <f t="shared" si="2"/>
        <v>-1.4250482317512071E-2</v>
      </c>
      <c r="J10">
        <f t="shared" si="3"/>
        <v>1.825E-3</v>
      </c>
      <c r="K10">
        <f t="shared" si="3"/>
        <v>-7.1250000000000003E-3</v>
      </c>
      <c r="L10">
        <f t="shared" si="4"/>
        <v>-4.6062499999999992E-2</v>
      </c>
      <c r="M10">
        <f t="shared" si="4"/>
        <v>-7.2574999999999987E-2</v>
      </c>
      <c r="N10">
        <f t="shared" si="5"/>
        <v>8.5958621040882213E-2</v>
      </c>
      <c r="O10">
        <f t="shared" si="6"/>
        <v>57.597183541425863</v>
      </c>
      <c r="P10">
        <f t="shared" si="7"/>
        <v>237.59718354142586</v>
      </c>
      <c r="Q10">
        <f t="shared" si="8"/>
        <v>-46.062499999999964</v>
      </c>
      <c r="R10">
        <f t="shared" si="9"/>
        <v>-72.575000000000003</v>
      </c>
      <c r="S10">
        <f t="shared" si="10"/>
        <v>85.958621040882207</v>
      </c>
      <c r="T10">
        <f>Q10-'"0" цикл 24.06'!Q9</f>
        <v>-656.91422504119282</v>
      </c>
      <c r="U10">
        <f>R10-'"0" цикл 24.06'!R9</f>
        <v>-1024.655112800757</v>
      </c>
      <c r="V10">
        <f t="shared" si="11"/>
        <v>1217.1501136877912</v>
      </c>
      <c r="W10">
        <f t="shared" si="12"/>
        <v>237.33575735435483</v>
      </c>
      <c r="X10">
        <f t="shared" si="13"/>
        <v>237.33575735435483</v>
      </c>
    </row>
    <row r="11" spans="1:24" x14ac:dyDescent="0.45">
      <c r="A11">
        <v>3.5</v>
      </c>
      <c r="B11">
        <v>105</v>
      </c>
      <c r="C11">
        <v>-113</v>
      </c>
      <c r="D11">
        <v>-294</v>
      </c>
      <c r="E11">
        <v>302</v>
      </c>
      <c r="F11">
        <f t="shared" si="0"/>
        <v>109</v>
      </c>
      <c r="G11">
        <f t="shared" si="1"/>
        <v>-298</v>
      </c>
      <c r="H11">
        <f t="shared" si="2"/>
        <v>5.4500269801314553E-3</v>
      </c>
      <c r="I11">
        <f t="shared" si="2"/>
        <v>-1.4900551379920447E-2</v>
      </c>
      <c r="J11">
        <f t="shared" si="3"/>
        <v>2.7250000000000004E-3</v>
      </c>
      <c r="K11">
        <f t="shared" si="3"/>
        <v>-7.4500000000000009E-3</v>
      </c>
      <c r="L11">
        <f t="shared" si="4"/>
        <v>-4.8787499999999991E-2</v>
      </c>
      <c r="M11">
        <f t="shared" si="4"/>
        <v>-6.5124999999999988E-2</v>
      </c>
      <c r="N11">
        <f t="shared" si="5"/>
        <v>8.1372512442777614E-2</v>
      </c>
      <c r="O11">
        <f t="shared" si="6"/>
        <v>53.161787626394805</v>
      </c>
      <c r="P11">
        <f t="shared" si="7"/>
        <v>233.16178762639481</v>
      </c>
      <c r="Q11">
        <f t="shared" si="8"/>
        <v>-48.787500000000016</v>
      </c>
      <c r="R11">
        <f t="shared" si="9"/>
        <v>-65.124999999999972</v>
      </c>
      <c r="S11">
        <f t="shared" si="10"/>
        <v>81.372512442777619</v>
      </c>
      <c r="T11">
        <f>Q11-'"0" цикл 24.06'!Q10</f>
        <v>-657.76724258838453</v>
      </c>
      <c r="U11">
        <f>R11-'"0" цикл 24.06'!R10</f>
        <v>-1013.7685624711781</v>
      </c>
      <c r="V11">
        <f t="shared" si="11"/>
        <v>1208.4636708139826</v>
      </c>
      <c r="W11">
        <f t="shared" si="12"/>
        <v>237.0231325774522</v>
      </c>
      <c r="X11">
        <f t="shared" si="13"/>
        <v>237.0231325774522</v>
      </c>
    </row>
    <row r="12" spans="1:24" x14ac:dyDescent="0.45">
      <c r="A12">
        <v>4</v>
      </c>
      <c r="B12">
        <v>183</v>
      </c>
      <c r="C12">
        <v>-187</v>
      </c>
      <c r="D12">
        <v>-313</v>
      </c>
      <c r="E12">
        <v>319</v>
      </c>
      <c r="F12">
        <f t="shared" si="0"/>
        <v>185</v>
      </c>
      <c r="G12">
        <f t="shared" si="1"/>
        <v>-316</v>
      </c>
      <c r="H12">
        <f t="shared" si="2"/>
        <v>9.2501319139333283E-3</v>
      </c>
      <c r="I12">
        <f t="shared" si="2"/>
        <v>-1.5800657459193665E-2</v>
      </c>
      <c r="J12">
        <f t="shared" si="3"/>
        <v>4.6249999999999998E-3</v>
      </c>
      <c r="K12">
        <f t="shared" si="3"/>
        <v>-7.9000000000000008E-3</v>
      </c>
      <c r="L12">
        <f t="shared" si="4"/>
        <v>-5.3412499999999988E-2</v>
      </c>
      <c r="M12">
        <f t="shared" si="4"/>
        <v>-5.7224999999999991E-2</v>
      </c>
      <c r="N12">
        <f t="shared" si="5"/>
        <v>7.8278961293887894E-2</v>
      </c>
      <c r="O12">
        <f t="shared" si="6"/>
        <v>46.973596282941649</v>
      </c>
      <c r="P12">
        <f t="shared" si="7"/>
        <v>226.97359628294166</v>
      </c>
      <c r="Q12">
        <f t="shared" si="8"/>
        <v>-53.412499999999994</v>
      </c>
      <c r="R12">
        <f t="shared" si="9"/>
        <v>-57.224999999999987</v>
      </c>
      <c r="S12">
        <f t="shared" si="10"/>
        <v>78.278961293887889</v>
      </c>
      <c r="T12">
        <f>Q12-'"0" цикл 24.06'!Q11</f>
        <v>-658.49001688396447</v>
      </c>
      <c r="U12">
        <f>R12-'"0" цикл 24.06'!R11</f>
        <v>-999.79330725718125</v>
      </c>
      <c r="V12">
        <f t="shared" si="11"/>
        <v>1197.1615428053542</v>
      </c>
      <c r="W12">
        <f t="shared" si="12"/>
        <v>236.63005474410886</v>
      </c>
      <c r="X12">
        <f t="shared" si="13"/>
        <v>236.63005474410886</v>
      </c>
    </row>
    <row r="13" spans="1:24" x14ac:dyDescent="0.45">
      <c r="A13">
        <v>4.5</v>
      </c>
      <c r="B13">
        <v>231</v>
      </c>
      <c r="C13">
        <v>-239</v>
      </c>
      <c r="D13">
        <v>-282</v>
      </c>
      <c r="E13">
        <v>293</v>
      </c>
      <c r="F13">
        <f t="shared" si="0"/>
        <v>235</v>
      </c>
      <c r="G13">
        <f t="shared" si="1"/>
        <v>-287.5</v>
      </c>
      <c r="H13">
        <f t="shared" si="2"/>
        <v>1.1750270389194944E-2</v>
      </c>
      <c r="I13">
        <f t="shared" si="2"/>
        <v>-1.4375495122539373E-2</v>
      </c>
      <c r="J13">
        <f t="shared" si="3"/>
        <v>5.875E-3</v>
      </c>
      <c r="K13">
        <f t="shared" si="3"/>
        <v>-7.1875000000000003E-3</v>
      </c>
      <c r="L13">
        <f t="shared" si="4"/>
        <v>-5.9287499999999986E-2</v>
      </c>
      <c r="M13">
        <f t="shared" si="4"/>
        <v>-5.0037499999999992E-2</v>
      </c>
      <c r="N13">
        <f t="shared" si="5"/>
        <v>7.7580661652888711E-2</v>
      </c>
      <c r="O13">
        <f t="shared" si="6"/>
        <v>40.163716762694456</v>
      </c>
      <c r="P13">
        <f t="shared" si="7"/>
        <v>220.16371676269446</v>
      </c>
      <c r="Q13">
        <f t="shared" si="8"/>
        <v>-59.287499999999966</v>
      </c>
      <c r="R13">
        <f t="shared" si="9"/>
        <v>-50.037500000000009</v>
      </c>
      <c r="S13">
        <f t="shared" si="10"/>
        <v>77.580661652888708</v>
      </c>
      <c r="T13">
        <f>Q13-'"0" цикл 24.06'!Q12</f>
        <v>-661.38282440968601</v>
      </c>
      <c r="U13">
        <f>R13-'"0" цикл 24.06'!R12</f>
        <v>-987.46388499832494</v>
      </c>
      <c r="V13">
        <f t="shared" si="11"/>
        <v>1188.4915500751861</v>
      </c>
      <c r="W13">
        <f t="shared" si="12"/>
        <v>236.18664491967263</v>
      </c>
      <c r="X13">
        <f t="shared" si="13"/>
        <v>236.18664491967263</v>
      </c>
    </row>
    <row r="14" spans="1:24" x14ac:dyDescent="0.45">
      <c r="A14">
        <v>5</v>
      </c>
      <c r="B14">
        <v>202</v>
      </c>
      <c r="C14">
        <v>-195</v>
      </c>
      <c r="D14">
        <v>-241</v>
      </c>
      <c r="E14">
        <v>249</v>
      </c>
      <c r="F14">
        <f t="shared" si="0"/>
        <v>198.5</v>
      </c>
      <c r="G14">
        <f t="shared" si="1"/>
        <v>-245</v>
      </c>
      <c r="H14">
        <f t="shared" si="2"/>
        <v>9.9251629519447136E-3</v>
      </c>
      <c r="I14">
        <f t="shared" si="2"/>
        <v>-1.225030639829512E-2</v>
      </c>
      <c r="J14">
        <f t="shared" si="3"/>
        <v>4.962499999999999E-3</v>
      </c>
      <c r="K14">
        <f t="shared" si="3"/>
        <v>-6.1250000000000002E-3</v>
      </c>
      <c r="L14">
        <f t="shared" si="4"/>
        <v>-6.4249999999999988E-2</v>
      </c>
      <c r="M14">
        <f t="shared" si="4"/>
        <v>-4.3912499999999993E-2</v>
      </c>
      <c r="N14">
        <f t="shared" si="5"/>
        <v>7.7822684072511902E-2</v>
      </c>
      <c r="O14">
        <f t="shared" si="6"/>
        <v>34.351162970377018</v>
      </c>
      <c r="P14">
        <f t="shared" si="7"/>
        <v>214.351162970377</v>
      </c>
      <c r="Q14">
        <f t="shared" si="8"/>
        <v>-64.249999999999986</v>
      </c>
      <c r="R14">
        <f t="shared" si="9"/>
        <v>-43.912499999999987</v>
      </c>
      <c r="S14">
        <f t="shared" si="10"/>
        <v>77.822684072511905</v>
      </c>
      <c r="T14">
        <f>Q14-'"0" цикл 24.06'!Q13</f>
        <v>-664.79065064290739</v>
      </c>
      <c r="U14">
        <f>R14-'"0" цикл 24.06'!R13</f>
        <v>-978.36990487159471</v>
      </c>
      <c r="V14">
        <f t="shared" si="11"/>
        <v>1182.8585206780535</v>
      </c>
      <c r="W14">
        <f t="shared" si="12"/>
        <v>235.80436080362816</v>
      </c>
      <c r="X14">
        <f t="shared" si="13"/>
        <v>235.80436080362816</v>
      </c>
    </row>
    <row r="15" spans="1:24" x14ac:dyDescent="0.45">
      <c r="A15">
        <v>5.5</v>
      </c>
      <c r="B15">
        <v>148</v>
      </c>
      <c r="C15">
        <v>-154</v>
      </c>
      <c r="D15">
        <v>-178</v>
      </c>
      <c r="E15">
        <v>186</v>
      </c>
      <c r="F15">
        <f t="shared" si="0"/>
        <v>151</v>
      </c>
      <c r="G15">
        <f t="shared" si="1"/>
        <v>-182</v>
      </c>
      <c r="H15">
        <f t="shared" si="2"/>
        <v>7.5500717299858038E-3</v>
      </c>
      <c r="I15">
        <f t="shared" si="2"/>
        <v>-9.1001255998471378E-3</v>
      </c>
      <c r="J15">
        <f t="shared" si="3"/>
        <v>3.7750000000000001E-3</v>
      </c>
      <c r="K15">
        <f t="shared" si="3"/>
        <v>-4.5499999999999994E-3</v>
      </c>
      <c r="L15">
        <f t="shared" si="4"/>
        <v>-6.8024999999999988E-2</v>
      </c>
      <c r="M15">
        <f t="shared" si="4"/>
        <v>-3.9362499999999995E-2</v>
      </c>
      <c r="N15">
        <f t="shared" si="5"/>
        <v>7.859266525096345E-2</v>
      </c>
      <c r="O15">
        <f t="shared" si="6"/>
        <v>30.055715480968018</v>
      </c>
      <c r="P15">
        <f t="shared" si="7"/>
        <v>210.05571548096802</v>
      </c>
      <c r="Q15">
        <f t="shared" si="8"/>
        <v>-68.024999999999991</v>
      </c>
      <c r="R15">
        <f t="shared" si="9"/>
        <v>-39.362499999999997</v>
      </c>
      <c r="S15">
        <f t="shared" si="10"/>
        <v>78.592665250963449</v>
      </c>
      <c r="T15">
        <f>Q15-'"0" цикл 24.06'!Q14</f>
        <v>-669.4643735203291</v>
      </c>
      <c r="U15">
        <f>R15-'"0" цикл 24.06'!R14</f>
        <v>-974.32089552539833</v>
      </c>
      <c r="V15">
        <f t="shared" si="11"/>
        <v>1182.152170775988</v>
      </c>
      <c r="W15">
        <f t="shared" si="12"/>
        <v>235.50670349087858</v>
      </c>
      <c r="X15">
        <f t="shared" si="13"/>
        <v>235.50670349087858</v>
      </c>
    </row>
    <row r="16" spans="1:24" x14ac:dyDescent="0.45">
      <c r="A16">
        <v>6</v>
      </c>
      <c r="B16">
        <v>157</v>
      </c>
      <c r="C16">
        <v>-166</v>
      </c>
      <c r="D16">
        <v>-127</v>
      </c>
      <c r="E16">
        <v>135</v>
      </c>
      <c r="F16">
        <f t="shared" si="0"/>
        <v>161.5</v>
      </c>
      <c r="G16">
        <f t="shared" si="1"/>
        <v>-131</v>
      </c>
      <c r="H16">
        <f t="shared" si="2"/>
        <v>8.0750877584787259E-3</v>
      </c>
      <c r="I16">
        <f t="shared" si="2"/>
        <v>-6.5500468361333972E-3</v>
      </c>
      <c r="J16">
        <f t="shared" si="3"/>
        <v>4.0375000000000003E-3</v>
      </c>
      <c r="K16">
        <f t="shared" si="3"/>
        <v>-3.2750000000000001E-3</v>
      </c>
      <c r="L16">
        <f t="shared" si="4"/>
        <v>-7.2062499999999988E-2</v>
      </c>
      <c r="M16">
        <f t="shared" si="4"/>
        <v>-3.6087499999999995E-2</v>
      </c>
      <c r="N16">
        <f t="shared" si="5"/>
        <v>8.0593495782848371E-2</v>
      </c>
      <c r="O16">
        <f t="shared" si="6"/>
        <v>26.600818808945409</v>
      </c>
      <c r="P16">
        <f t="shared" si="7"/>
        <v>206.60081880894541</v>
      </c>
      <c r="Q16">
        <f t="shared" si="8"/>
        <v>-72.062499999999986</v>
      </c>
      <c r="R16">
        <f t="shared" si="9"/>
        <v>-36.087499999999991</v>
      </c>
      <c r="S16">
        <f t="shared" si="10"/>
        <v>80.593495782848365</v>
      </c>
      <c r="T16">
        <f>Q16-'"0" цикл 24.06'!Q15</f>
        <v>-676.33304908540811</v>
      </c>
      <c r="U16">
        <f>R16-'"0" цикл 24.06'!R15</f>
        <v>-974.23884988497252</v>
      </c>
      <c r="V16">
        <f t="shared" si="11"/>
        <v>1185.9880816898453</v>
      </c>
      <c r="W16">
        <f t="shared" si="12"/>
        <v>235.23096619002962</v>
      </c>
      <c r="X16">
        <f t="shared" si="13"/>
        <v>235.23096619002962</v>
      </c>
    </row>
    <row r="17" spans="1:24" x14ac:dyDescent="0.45">
      <c r="A17">
        <v>6.5</v>
      </c>
      <c r="B17">
        <v>171</v>
      </c>
      <c r="C17">
        <v>-177</v>
      </c>
      <c r="D17">
        <v>-105</v>
      </c>
      <c r="E17">
        <v>113</v>
      </c>
      <c r="F17">
        <f t="shared" si="0"/>
        <v>174</v>
      </c>
      <c r="G17">
        <f t="shared" si="1"/>
        <v>-109</v>
      </c>
      <c r="H17">
        <f t="shared" si="2"/>
        <v>8.7001097542383238E-3</v>
      </c>
      <c r="I17">
        <f t="shared" si="2"/>
        <v>-5.4500269801314553E-3</v>
      </c>
      <c r="J17">
        <f t="shared" si="3"/>
        <v>4.3499999999999988E-3</v>
      </c>
      <c r="K17">
        <f t="shared" si="3"/>
        <v>-2.7250000000000004E-3</v>
      </c>
      <c r="L17">
        <f t="shared" si="4"/>
        <v>-7.641249999999998E-2</v>
      </c>
      <c r="M17">
        <f t="shared" si="4"/>
        <v>-3.3362499999999996E-2</v>
      </c>
      <c r="N17">
        <f t="shared" si="5"/>
        <v>8.3378213956044875E-2</v>
      </c>
      <c r="O17">
        <f t="shared" si="6"/>
        <v>23.586587026732371</v>
      </c>
      <c r="P17">
        <f t="shared" si="7"/>
        <v>203.58658702673236</v>
      </c>
      <c r="Q17">
        <f t="shared" si="8"/>
        <v>-76.41249999999998</v>
      </c>
      <c r="R17">
        <f t="shared" si="9"/>
        <v>-33.362499999999969</v>
      </c>
      <c r="S17">
        <f t="shared" si="10"/>
        <v>83.378213956044874</v>
      </c>
      <c r="T17">
        <f>Q17-'"0" цикл 24.06'!Q16</f>
        <v>-684.40420214275321</v>
      </c>
      <c r="U17">
        <f>R17-'"0" цикл 24.06'!R16</f>
        <v>-975.94314695363391</v>
      </c>
      <c r="V17">
        <f t="shared" si="11"/>
        <v>1192.0042525076917</v>
      </c>
      <c r="W17">
        <f t="shared" si="12"/>
        <v>234.95899381322735</v>
      </c>
      <c r="X17">
        <f t="shared" si="13"/>
        <v>234.95899381322735</v>
      </c>
    </row>
    <row r="18" spans="1:24" x14ac:dyDescent="0.45">
      <c r="A18">
        <v>7</v>
      </c>
      <c r="B18">
        <v>169</v>
      </c>
      <c r="C18">
        <v>-171</v>
      </c>
      <c r="D18">
        <v>-110</v>
      </c>
      <c r="E18">
        <v>94</v>
      </c>
      <c r="F18">
        <f t="shared" si="0"/>
        <v>170</v>
      </c>
      <c r="G18">
        <f t="shared" si="1"/>
        <v>-102</v>
      </c>
      <c r="H18">
        <f t="shared" si="2"/>
        <v>8.5001023574946006E-3</v>
      </c>
      <c r="I18">
        <f t="shared" si="2"/>
        <v>-5.1000221087587738E-3</v>
      </c>
      <c r="J18">
        <f t="shared" si="3"/>
        <v>4.2500000000000003E-3</v>
      </c>
      <c r="K18">
        <f t="shared" si="3"/>
        <v>-2.5500000000000006E-3</v>
      </c>
      <c r="L18">
        <f t="shared" si="4"/>
        <v>-8.0662499999999984E-2</v>
      </c>
      <c r="M18">
        <f t="shared" si="4"/>
        <v>-3.0812499999999996E-2</v>
      </c>
      <c r="N18">
        <f t="shared" si="5"/>
        <v>8.6347258569684754E-2</v>
      </c>
      <c r="O18">
        <f t="shared" si="6"/>
        <v>20.90650047056673</v>
      </c>
      <c r="P18">
        <f t="shared" si="7"/>
        <v>200.90650047056673</v>
      </c>
      <c r="Q18">
        <f t="shared" si="8"/>
        <v>-80.662499999999994</v>
      </c>
      <c r="R18">
        <f t="shared" si="9"/>
        <v>-30.812499999999986</v>
      </c>
      <c r="S18">
        <f t="shared" si="10"/>
        <v>86.347258569684755</v>
      </c>
      <c r="T18">
        <f>Q18-'"0" цикл 24.06'!Q17</f>
        <v>-692.69168660030073</v>
      </c>
      <c r="U18">
        <f>R18-'"0" цикл 24.06'!R17</f>
        <v>-978.43477748665146</v>
      </c>
      <c r="V18">
        <f t="shared" si="11"/>
        <v>1198.8145755205524</v>
      </c>
      <c r="W18">
        <f t="shared" si="12"/>
        <v>234.70307181374432</v>
      </c>
      <c r="X18">
        <f t="shared" si="13"/>
        <v>234.70307181374432</v>
      </c>
    </row>
    <row r="19" spans="1:24" x14ac:dyDescent="0.45">
      <c r="A19">
        <v>7.5</v>
      </c>
      <c r="B19">
        <v>310</v>
      </c>
      <c r="C19">
        <v>-312</v>
      </c>
      <c r="D19">
        <v>-216</v>
      </c>
      <c r="E19">
        <v>243</v>
      </c>
      <c r="F19">
        <f t="shared" si="0"/>
        <v>311</v>
      </c>
      <c r="G19">
        <f t="shared" si="1"/>
        <v>-229.5</v>
      </c>
      <c r="H19">
        <f t="shared" si="2"/>
        <v>1.555062673967781E-2</v>
      </c>
      <c r="I19">
        <f t="shared" si="2"/>
        <v>-1.1475251844555903E-2</v>
      </c>
      <c r="J19">
        <f t="shared" si="3"/>
        <v>7.7749999999999989E-3</v>
      </c>
      <c r="K19">
        <f t="shared" si="3"/>
        <v>-5.7375000000000004E-3</v>
      </c>
      <c r="L19">
        <f t="shared" si="4"/>
        <v>-8.8437499999999988E-2</v>
      </c>
      <c r="M19">
        <f t="shared" si="4"/>
        <v>-2.5074999999999997E-2</v>
      </c>
      <c r="N19">
        <f t="shared" si="5"/>
        <v>9.1923593441781831E-2</v>
      </c>
      <c r="O19">
        <f t="shared" si="6"/>
        <v>15.829813485144646</v>
      </c>
      <c r="P19">
        <f t="shared" si="7"/>
        <v>195.82981348514465</v>
      </c>
      <c r="Q19">
        <f t="shared" si="8"/>
        <v>-88.437499999999972</v>
      </c>
      <c r="R19">
        <f t="shared" si="9"/>
        <v>-25.075000000000021</v>
      </c>
      <c r="S19">
        <f t="shared" si="10"/>
        <v>91.923593441781833</v>
      </c>
      <c r="T19">
        <f>Q19-'"0" цикл 24.06'!Q18</f>
        <v>-703.48366383022255</v>
      </c>
      <c r="U19">
        <f>R19-'"0" цикл 24.06'!R18</f>
        <v>-976.02727798090223</v>
      </c>
      <c r="V19">
        <f t="shared" si="11"/>
        <v>1203.1286351171277</v>
      </c>
      <c r="W19">
        <f t="shared" si="12"/>
        <v>234.21735834952204</v>
      </c>
      <c r="X19">
        <f t="shared" si="13"/>
        <v>234.21735834952204</v>
      </c>
    </row>
    <row r="20" spans="1:24" x14ac:dyDescent="0.45">
      <c r="A20">
        <v>8</v>
      </c>
      <c r="B20">
        <v>221</v>
      </c>
      <c r="C20">
        <v>-219</v>
      </c>
      <c r="D20">
        <v>-215</v>
      </c>
      <c r="E20">
        <v>223</v>
      </c>
      <c r="F20">
        <f t="shared" si="0"/>
        <v>220</v>
      </c>
      <c r="G20">
        <f t="shared" si="1"/>
        <v>-219</v>
      </c>
      <c r="H20">
        <f t="shared" ref="H20:I52" si="14">ASIN(F20/20000)</f>
        <v>1.1000221845413027E-2</v>
      </c>
      <c r="I20">
        <f t="shared" si="14"/>
        <v>-1.0950218833870134E-2</v>
      </c>
      <c r="J20">
        <f t="shared" ref="J20:K52" si="15">0.5*SIN(H20)</f>
        <v>5.4999999999999997E-3</v>
      </c>
      <c r="K20">
        <f t="shared" si="15"/>
        <v>-5.4749999999999998E-3</v>
      </c>
      <c r="L20">
        <f t="shared" ref="L20:M52" si="16">J21+L21</f>
        <v>-9.3937499999999993E-2</v>
      </c>
      <c r="M20">
        <f t="shared" si="16"/>
        <v>-1.9599999999999996E-2</v>
      </c>
      <c r="N20">
        <f t="shared" si="5"/>
        <v>9.5960480960914321E-2</v>
      </c>
      <c r="O20">
        <f t="shared" si="6"/>
        <v>11.785642063436089</v>
      </c>
      <c r="P20">
        <f t="shared" si="7"/>
        <v>191.78564206343609</v>
      </c>
      <c r="Q20">
        <f t="shared" si="8"/>
        <v>-93.937500000000014</v>
      </c>
      <c r="R20">
        <f t="shared" si="9"/>
        <v>-19.59999999999998</v>
      </c>
      <c r="S20">
        <f t="shared" si="10"/>
        <v>95.960480960914325</v>
      </c>
      <c r="T20">
        <f>Q20-'"0" цикл 24.06'!Q19</f>
        <v>-711.70369757164462</v>
      </c>
      <c r="U20">
        <f>R20-'"0" цикл 24.06'!R19</f>
        <v>-973.66574407666462</v>
      </c>
      <c r="V20">
        <f t="shared" si="11"/>
        <v>1206.0460747108777</v>
      </c>
      <c r="W20">
        <f t="shared" si="12"/>
        <v>233.83495901540002</v>
      </c>
      <c r="X20">
        <f t="shared" si="13"/>
        <v>233.83495901540002</v>
      </c>
    </row>
    <row r="21" spans="1:24" x14ac:dyDescent="0.45">
      <c r="A21">
        <v>8.5</v>
      </c>
      <c r="B21">
        <v>86</v>
      </c>
      <c r="C21">
        <v>-91</v>
      </c>
      <c r="D21">
        <v>-186</v>
      </c>
      <c r="E21">
        <v>195</v>
      </c>
      <c r="F21">
        <f t="shared" si="0"/>
        <v>88.5</v>
      </c>
      <c r="G21">
        <f t="shared" si="1"/>
        <v>-190.5</v>
      </c>
      <c r="H21">
        <f t="shared" si="14"/>
        <v>4.4250144408381799E-3</v>
      </c>
      <c r="I21">
        <f t="shared" si="14"/>
        <v>-9.5251440328101254E-3</v>
      </c>
      <c r="J21">
        <f t="shared" si="15"/>
        <v>2.2125000000000001E-3</v>
      </c>
      <c r="K21">
        <f t="shared" si="15"/>
        <v>-4.7625000000000002E-3</v>
      </c>
      <c r="L21">
        <f t="shared" si="16"/>
        <v>-9.6149999999999999E-2</v>
      </c>
      <c r="M21">
        <f t="shared" si="16"/>
        <v>-1.4837499999999997E-2</v>
      </c>
      <c r="N21">
        <f t="shared" si="5"/>
        <v>9.7288097454159311E-2</v>
      </c>
      <c r="O21">
        <f t="shared" si="6"/>
        <v>8.7724678349680474</v>
      </c>
      <c r="P21">
        <f t="shared" si="7"/>
        <v>188.77246783496804</v>
      </c>
      <c r="Q21">
        <f t="shared" si="8"/>
        <v>-96.15</v>
      </c>
      <c r="R21">
        <f t="shared" si="9"/>
        <v>-14.837499999999975</v>
      </c>
      <c r="S21">
        <f t="shared" si="10"/>
        <v>97.288097454159313</v>
      </c>
      <c r="T21">
        <f>Q21-'"0" цикл 24.06'!Q20</f>
        <v>-716.85706040461446</v>
      </c>
      <c r="U21">
        <f>R21-'"0" цикл 24.06'!R20</f>
        <v>-972.12579861568827</v>
      </c>
      <c r="V21">
        <f t="shared" si="11"/>
        <v>1207.8545497642235</v>
      </c>
      <c r="W21">
        <f t="shared" si="12"/>
        <v>233.59449778264681</v>
      </c>
      <c r="X21">
        <f t="shared" si="13"/>
        <v>233.59449778264681</v>
      </c>
    </row>
    <row r="22" spans="1:24" x14ac:dyDescent="0.45">
      <c r="A22">
        <v>9</v>
      </c>
      <c r="B22">
        <v>-60</v>
      </c>
      <c r="C22">
        <v>48</v>
      </c>
      <c r="D22">
        <v>-176</v>
      </c>
      <c r="E22">
        <v>185</v>
      </c>
      <c r="F22">
        <f t="shared" si="0"/>
        <v>-54</v>
      </c>
      <c r="G22">
        <f t="shared" si="1"/>
        <v>-180.5</v>
      </c>
      <c r="H22">
        <f t="shared" si="14"/>
        <v>-2.7000032805107621E-3</v>
      </c>
      <c r="I22">
        <f t="shared" si="14"/>
        <v>-9.0251225198058477E-3</v>
      </c>
      <c r="J22">
        <f t="shared" si="15"/>
        <v>-1.3500000000000001E-3</v>
      </c>
      <c r="K22">
        <f t="shared" si="15"/>
        <v>-4.5124999999999992E-3</v>
      </c>
      <c r="L22">
        <f t="shared" si="16"/>
        <v>-9.4799999999999995E-2</v>
      </c>
      <c r="M22">
        <f t="shared" si="16"/>
        <v>-1.0324999999999997E-2</v>
      </c>
      <c r="N22">
        <f t="shared" si="5"/>
        <v>9.5360608350618242E-2</v>
      </c>
      <c r="O22">
        <f t="shared" si="6"/>
        <v>6.2157837464249193</v>
      </c>
      <c r="P22">
        <f t="shared" si="7"/>
        <v>186.21578374642493</v>
      </c>
      <c r="Q22">
        <f t="shared" si="8"/>
        <v>-94.800000000000011</v>
      </c>
      <c r="R22">
        <f t="shared" si="9"/>
        <v>-10.324999999999996</v>
      </c>
      <c r="S22">
        <f t="shared" si="10"/>
        <v>95.360608350618236</v>
      </c>
      <c r="T22">
        <f>Q22-'"0" цикл 24.06'!Q21</f>
        <v>-718.41422926292671</v>
      </c>
      <c r="U22">
        <f>R22-'"0" цикл 24.06'!R21</f>
        <v>-970.97670202822042</v>
      </c>
      <c r="V22">
        <f t="shared" si="11"/>
        <v>1207.855438655241</v>
      </c>
      <c r="W22">
        <f t="shared" si="12"/>
        <v>233.50269724712297</v>
      </c>
      <c r="X22">
        <f t="shared" si="13"/>
        <v>233.50269724712297</v>
      </c>
    </row>
    <row r="23" spans="1:24" x14ac:dyDescent="0.45">
      <c r="A23">
        <v>9.5</v>
      </c>
      <c r="B23">
        <v>-192</v>
      </c>
      <c r="C23">
        <v>194</v>
      </c>
      <c r="D23">
        <v>-160</v>
      </c>
      <c r="E23">
        <v>169</v>
      </c>
      <c r="F23">
        <f t="shared" si="0"/>
        <v>-193</v>
      </c>
      <c r="G23">
        <f t="shared" si="1"/>
        <v>-164.5</v>
      </c>
      <c r="H23">
        <f t="shared" si="14"/>
        <v>-9.6501497782973955E-3</v>
      </c>
      <c r="I23">
        <f t="shared" si="14"/>
        <v>-8.2250927405550772E-3</v>
      </c>
      <c r="J23">
        <f t="shared" si="15"/>
        <v>-4.8249999999999994E-3</v>
      </c>
      <c r="K23">
        <f t="shared" si="15"/>
        <v>-4.112499999999999E-3</v>
      </c>
      <c r="L23">
        <f t="shared" si="16"/>
        <v>-8.9974999999999999E-2</v>
      </c>
      <c r="M23">
        <f t="shared" si="16"/>
        <v>-6.2124999999999975E-3</v>
      </c>
      <c r="N23">
        <f t="shared" si="5"/>
        <v>9.0189222090280824E-2</v>
      </c>
      <c r="O23">
        <f t="shared" si="6"/>
        <v>3.9498302970544472</v>
      </c>
      <c r="P23">
        <f t="shared" si="7"/>
        <v>183.94983029705446</v>
      </c>
      <c r="Q23">
        <f t="shared" si="8"/>
        <v>-89.974999999999994</v>
      </c>
      <c r="R23">
        <f t="shared" si="9"/>
        <v>-6.212500000000019</v>
      </c>
      <c r="S23">
        <f t="shared" si="10"/>
        <v>90.189222090280822</v>
      </c>
      <c r="T23">
        <f>Q23-'"0" цикл 24.06'!Q22</f>
        <v>-716.61275135813696</v>
      </c>
      <c r="U23">
        <f>R23-'"0" цикл 24.06'!R22</f>
        <v>-970.26603779259074</v>
      </c>
      <c r="V23">
        <f t="shared" si="11"/>
        <v>1206.2130904209305</v>
      </c>
      <c r="W23">
        <f t="shared" si="12"/>
        <v>233.55140851251906</v>
      </c>
      <c r="X23">
        <f t="shared" si="13"/>
        <v>233.55140851251906</v>
      </c>
    </row>
    <row r="24" spans="1:24" x14ac:dyDescent="0.45">
      <c r="A24">
        <v>10</v>
      </c>
      <c r="B24">
        <v>-291</v>
      </c>
      <c r="C24">
        <v>303</v>
      </c>
      <c r="D24">
        <v>-143</v>
      </c>
      <c r="E24">
        <v>132</v>
      </c>
      <c r="F24">
        <f t="shared" si="0"/>
        <v>-297</v>
      </c>
      <c r="G24">
        <f t="shared" si="1"/>
        <v>-137.5</v>
      </c>
      <c r="H24">
        <f t="shared" si="14"/>
        <v>-1.4850545847356466E-2</v>
      </c>
      <c r="I24">
        <f t="shared" si="14"/>
        <v>-6.8750541596806049E-3</v>
      </c>
      <c r="J24">
        <f t="shared" si="15"/>
        <v>-7.4250000000000002E-3</v>
      </c>
      <c r="K24">
        <f t="shared" si="15"/>
        <v>-3.4375E-3</v>
      </c>
      <c r="L24">
        <f t="shared" si="16"/>
        <v>-8.2549999999999998E-2</v>
      </c>
      <c r="M24">
        <f t="shared" si="16"/>
        <v>-2.774999999999998E-3</v>
      </c>
      <c r="N24">
        <f t="shared" si="5"/>
        <v>8.2596629017169937E-2</v>
      </c>
      <c r="O24">
        <f t="shared" si="6"/>
        <v>1.9253293575381989</v>
      </c>
      <c r="P24">
        <f t="shared" si="7"/>
        <v>181.9253293575382</v>
      </c>
      <c r="Q24">
        <f t="shared" si="8"/>
        <v>-82.549999999999983</v>
      </c>
      <c r="R24">
        <f t="shared" si="9"/>
        <v>-2.7749999999999857</v>
      </c>
      <c r="S24">
        <f t="shared" si="10"/>
        <v>82.596629017169931</v>
      </c>
      <c r="T24">
        <f>Q24-'"0" цикл 24.06'!Q23</f>
        <v>-711.60320492557264</v>
      </c>
      <c r="U24">
        <f>R24-'"0" цикл 24.06'!R23</f>
        <v>-969.59888762804098</v>
      </c>
      <c r="V24">
        <f t="shared" si="11"/>
        <v>1202.7057512749664</v>
      </c>
      <c r="W24">
        <f t="shared" si="12"/>
        <v>233.72449462905996</v>
      </c>
      <c r="X24">
        <f t="shared" si="13"/>
        <v>233.72449462905996</v>
      </c>
    </row>
    <row r="25" spans="1:24" x14ac:dyDescent="0.45">
      <c r="A25">
        <v>10.5</v>
      </c>
      <c r="B25">
        <v>-110</v>
      </c>
      <c r="C25">
        <v>88</v>
      </c>
      <c r="D25">
        <v>-196</v>
      </c>
      <c r="E25">
        <v>223</v>
      </c>
      <c r="F25">
        <f t="shared" si="0"/>
        <v>-99</v>
      </c>
      <c r="G25">
        <f t="shared" si="1"/>
        <v>-209.5</v>
      </c>
      <c r="H25">
        <f t="shared" si="14"/>
        <v>-4.950020214785392E-3</v>
      </c>
      <c r="I25">
        <f t="shared" si="14"/>
        <v>-1.0475191572112961E-2</v>
      </c>
      <c r="J25">
        <f t="shared" si="15"/>
        <v>-2.4750000000000002E-3</v>
      </c>
      <c r="K25">
        <f t="shared" si="15"/>
        <v>-5.2374999999999991E-3</v>
      </c>
      <c r="L25">
        <f t="shared" si="16"/>
        <v>-8.0074999999999993E-2</v>
      </c>
      <c r="M25">
        <f t="shared" si="16"/>
        <v>2.4625000000000011E-3</v>
      </c>
      <c r="N25">
        <f t="shared" si="5"/>
        <v>8.0112854968787617E-2</v>
      </c>
      <c r="O25">
        <f t="shared" si="6"/>
        <v>358.23857127445206</v>
      </c>
      <c r="P25">
        <f t="shared" si="7"/>
        <v>178.23857127445206</v>
      </c>
      <c r="Q25">
        <f t="shared" si="8"/>
        <v>-80.074999999999989</v>
      </c>
      <c r="R25">
        <f t="shared" si="9"/>
        <v>2.4625000000000288</v>
      </c>
      <c r="S25">
        <f t="shared" si="10"/>
        <v>80.112854968787616</v>
      </c>
      <c r="T25">
        <f>Q25-'"0" цикл 24.06'!Q24</f>
        <v>-709.91954172619944</v>
      </c>
      <c r="U25">
        <f>R25-'"0" цикл 24.06'!R24</f>
        <v>-964.56169218101945</v>
      </c>
      <c r="V25">
        <f t="shared" si="11"/>
        <v>1197.6497876039759</v>
      </c>
      <c r="W25">
        <f t="shared" si="12"/>
        <v>233.64684939810701</v>
      </c>
      <c r="X25">
        <f t="shared" si="13"/>
        <v>233.64684939810701</v>
      </c>
    </row>
    <row r="26" spans="1:24" x14ac:dyDescent="0.45">
      <c r="A26">
        <v>11</v>
      </c>
      <c r="B26">
        <v>-168</v>
      </c>
      <c r="C26">
        <v>167</v>
      </c>
      <c r="D26">
        <v>-144</v>
      </c>
      <c r="E26">
        <v>151</v>
      </c>
      <c r="F26">
        <f t="shared" si="0"/>
        <v>-167.5</v>
      </c>
      <c r="G26">
        <f t="shared" si="1"/>
        <v>-147.5</v>
      </c>
      <c r="H26">
        <f t="shared" si="14"/>
        <v>-8.3750979077127172E-3</v>
      </c>
      <c r="I26">
        <f t="shared" si="14"/>
        <v>-7.3750668567796138E-3</v>
      </c>
      <c r="J26">
        <f t="shared" si="15"/>
        <v>-4.1875000000000002E-3</v>
      </c>
      <c r="K26">
        <f t="shared" si="15"/>
        <v>-3.6874999999999998E-3</v>
      </c>
      <c r="L26">
        <f t="shared" si="16"/>
        <v>-7.5887499999999997E-2</v>
      </c>
      <c r="M26">
        <f t="shared" si="16"/>
        <v>6.150000000000001E-3</v>
      </c>
      <c r="N26">
        <f t="shared" si="5"/>
        <v>7.6136293292029908E-2</v>
      </c>
      <c r="O26">
        <f t="shared" si="6"/>
        <v>355.36681722401903</v>
      </c>
      <c r="P26">
        <f t="shared" si="7"/>
        <v>175.36681722401909</v>
      </c>
      <c r="Q26">
        <f t="shared" si="8"/>
        <v>-75.887499999999989</v>
      </c>
      <c r="R26">
        <f t="shared" si="9"/>
        <v>6.1499999999999586</v>
      </c>
      <c r="S26">
        <f t="shared" si="10"/>
        <v>76.136293292029904</v>
      </c>
      <c r="T26">
        <f>Q26-'"0" цикл 24.06'!Q25</f>
        <v>-707.23071977386348</v>
      </c>
      <c r="U26">
        <f>R26-'"0" цикл 24.06'!R25</f>
        <v>-962.10862979743706</v>
      </c>
      <c r="V26">
        <f t="shared" si="11"/>
        <v>1194.0805276540434</v>
      </c>
      <c r="W26">
        <f t="shared" si="12"/>
        <v>233.68098662356738</v>
      </c>
      <c r="X26">
        <f t="shared" si="13"/>
        <v>233.68098662356738</v>
      </c>
    </row>
    <row r="27" spans="1:24" x14ac:dyDescent="0.45">
      <c r="A27">
        <v>11.5</v>
      </c>
      <c r="B27">
        <v>-202</v>
      </c>
      <c r="C27">
        <v>203</v>
      </c>
      <c r="D27">
        <v>-50</v>
      </c>
      <c r="E27">
        <v>60</v>
      </c>
      <c r="F27">
        <f t="shared" si="0"/>
        <v>-202.5</v>
      </c>
      <c r="G27">
        <f t="shared" si="1"/>
        <v>-55</v>
      </c>
      <c r="H27">
        <f t="shared" si="14"/>
        <v>-1.0125173003098292E-2</v>
      </c>
      <c r="I27">
        <f t="shared" si="14"/>
        <v>-2.7500034661576286E-3</v>
      </c>
      <c r="J27">
        <f t="shared" si="15"/>
        <v>-5.062500000000001E-3</v>
      </c>
      <c r="K27">
        <f t="shared" si="15"/>
        <v>-1.3749999999999997E-3</v>
      </c>
      <c r="L27">
        <f t="shared" si="16"/>
        <v>-7.0824999999999999E-2</v>
      </c>
      <c r="M27">
        <f t="shared" si="16"/>
        <v>7.5250000000000004E-3</v>
      </c>
      <c r="N27">
        <f t="shared" si="5"/>
        <v>7.1223635473064692E-2</v>
      </c>
      <c r="O27">
        <f t="shared" si="6"/>
        <v>353.93520254616305</v>
      </c>
      <c r="P27">
        <f t="shared" si="7"/>
        <v>173.93520254616305</v>
      </c>
      <c r="Q27">
        <f t="shared" si="8"/>
        <v>-70.824999999999989</v>
      </c>
      <c r="R27">
        <f t="shared" si="9"/>
        <v>7.5250000000000181</v>
      </c>
      <c r="S27">
        <f t="shared" si="10"/>
        <v>71.223635473064689</v>
      </c>
      <c r="T27">
        <f>Q27-'"0" цикл 24.06'!Q26</f>
        <v>-704.57070472584928</v>
      </c>
      <c r="U27">
        <f>R27-'"0" цикл 24.06'!R26</f>
        <v>-963.36590028794569</v>
      </c>
      <c r="V27">
        <f t="shared" si="11"/>
        <v>1193.5215690533137</v>
      </c>
      <c r="W27">
        <f t="shared" si="12"/>
        <v>233.81962302484618</v>
      </c>
      <c r="X27">
        <f t="shared" si="13"/>
        <v>233.81962302484618</v>
      </c>
    </row>
    <row r="28" spans="1:24" x14ac:dyDescent="0.45">
      <c r="A28">
        <v>12</v>
      </c>
      <c r="B28">
        <v>-229</v>
      </c>
      <c r="C28">
        <v>221</v>
      </c>
      <c r="D28">
        <v>-8</v>
      </c>
      <c r="E28">
        <v>15</v>
      </c>
      <c r="F28">
        <f t="shared" si="0"/>
        <v>-225</v>
      </c>
      <c r="G28">
        <f t="shared" si="1"/>
        <v>-11.5</v>
      </c>
      <c r="H28">
        <f t="shared" si="14"/>
        <v>-1.125023731820376E-2</v>
      </c>
      <c r="I28">
        <f t="shared" si="14"/>
        <v>-5.7500003168490057E-4</v>
      </c>
      <c r="J28">
        <f t="shared" si="15"/>
        <v>-5.6249999999999989E-3</v>
      </c>
      <c r="K28">
        <f t="shared" si="15"/>
        <v>-2.875E-4</v>
      </c>
      <c r="L28">
        <f t="shared" si="16"/>
        <v>-6.5199999999999994E-2</v>
      </c>
      <c r="M28">
        <f t="shared" si="16"/>
        <v>7.8125E-3</v>
      </c>
      <c r="N28">
        <f t="shared" si="5"/>
        <v>6.5666392898117973E-2</v>
      </c>
      <c r="O28">
        <f t="shared" si="6"/>
        <v>353.16718918737297</v>
      </c>
      <c r="P28">
        <f t="shared" si="7"/>
        <v>173.16718918737297</v>
      </c>
      <c r="Q28">
        <f t="shared" si="8"/>
        <v>-65.199999999999989</v>
      </c>
      <c r="R28">
        <f t="shared" si="9"/>
        <v>7.8125000000000391</v>
      </c>
      <c r="S28">
        <f t="shared" si="10"/>
        <v>65.666392898117977</v>
      </c>
      <c r="T28">
        <f>Q28-'"0" цикл 24.06'!Q27</f>
        <v>-702.3248303596456</v>
      </c>
      <c r="U28">
        <f>R28-'"0" цикл 24.06'!R27</f>
        <v>-967.07743685644323</v>
      </c>
      <c r="V28">
        <f t="shared" si="11"/>
        <v>1195.1982832218816</v>
      </c>
      <c r="W28">
        <f t="shared" si="12"/>
        <v>234.01155945345727</v>
      </c>
      <c r="X28">
        <f t="shared" si="13"/>
        <v>234.01155945345727</v>
      </c>
    </row>
    <row r="29" spans="1:24" x14ac:dyDescent="0.45">
      <c r="A29">
        <v>12.5</v>
      </c>
      <c r="B29">
        <v>-278</v>
      </c>
      <c r="C29">
        <v>275</v>
      </c>
      <c r="D29">
        <v>14</v>
      </c>
      <c r="E29">
        <v>-6</v>
      </c>
      <c r="F29">
        <f t="shared" si="0"/>
        <v>-276.5</v>
      </c>
      <c r="G29">
        <f t="shared" si="1"/>
        <v>10</v>
      </c>
      <c r="H29">
        <f t="shared" si="14"/>
        <v>-1.3825440434697408E-2</v>
      </c>
      <c r="I29">
        <f t="shared" si="14"/>
        <v>5.0000002083333561E-4</v>
      </c>
      <c r="J29">
        <f t="shared" si="15"/>
        <v>-6.9125000000000002E-3</v>
      </c>
      <c r="K29">
        <f t="shared" si="15"/>
        <v>2.4999999999999995E-4</v>
      </c>
      <c r="L29">
        <f t="shared" si="16"/>
        <v>-5.8287499999999999E-2</v>
      </c>
      <c r="M29">
        <f t="shared" si="16"/>
        <v>7.5625000000000006E-3</v>
      </c>
      <c r="N29">
        <f t="shared" si="5"/>
        <v>5.877605007568984E-2</v>
      </c>
      <c r="O29">
        <f t="shared" si="6"/>
        <v>352.60746724918744</v>
      </c>
      <c r="P29">
        <f t="shared" si="7"/>
        <v>172.60746724918749</v>
      </c>
      <c r="Q29">
        <f t="shared" si="8"/>
        <v>-58.287500000000001</v>
      </c>
      <c r="R29">
        <f t="shared" si="9"/>
        <v>7.5624999999999707</v>
      </c>
      <c r="S29">
        <f t="shared" si="10"/>
        <v>58.776050075689838</v>
      </c>
      <c r="T29">
        <f>Q29-'"0" цикл 24.06'!Q28</f>
        <v>-699.90382629985515</v>
      </c>
      <c r="U29">
        <f>R29-'"0" цикл 24.06'!R28</f>
        <v>-972.89795476955067</v>
      </c>
      <c r="V29">
        <f t="shared" si="11"/>
        <v>1198.4973076581994</v>
      </c>
      <c r="W29">
        <f t="shared" si="12"/>
        <v>234.26871950676477</v>
      </c>
      <c r="X29">
        <f t="shared" si="13"/>
        <v>234.26871950676477</v>
      </c>
    </row>
    <row r="30" spans="1:24" x14ac:dyDescent="0.45">
      <c r="A30">
        <v>13</v>
      </c>
      <c r="B30">
        <v>-346</v>
      </c>
      <c r="C30">
        <v>320</v>
      </c>
      <c r="D30">
        <v>25</v>
      </c>
      <c r="E30">
        <v>-48</v>
      </c>
      <c r="F30">
        <f t="shared" si="0"/>
        <v>-333</v>
      </c>
      <c r="G30">
        <f t="shared" si="1"/>
        <v>36.5</v>
      </c>
      <c r="H30">
        <f t="shared" si="14"/>
        <v>-1.6650769388422668E-2</v>
      </c>
      <c r="I30">
        <f t="shared" si="14"/>
        <v>1.8250010130666226E-3</v>
      </c>
      <c r="J30">
        <f t="shared" si="15"/>
        <v>-8.3250000000000008E-3</v>
      </c>
      <c r="K30">
        <f t="shared" si="15"/>
        <v>9.1250000000000001E-4</v>
      </c>
      <c r="L30">
        <f t="shared" si="16"/>
        <v>-4.99625E-2</v>
      </c>
      <c r="M30">
        <f t="shared" si="16"/>
        <v>6.6500000000000005E-3</v>
      </c>
      <c r="N30">
        <f t="shared" si="5"/>
        <v>5.0403114053101918E-2</v>
      </c>
      <c r="O30">
        <f t="shared" si="6"/>
        <v>352.41850238763379</v>
      </c>
      <c r="P30">
        <f t="shared" si="7"/>
        <v>172.41850238763379</v>
      </c>
      <c r="Q30">
        <f t="shared" si="8"/>
        <v>-49.962499999999999</v>
      </c>
      <c r="R30">
        <f t="shared" si="9"/>
        <v>6.6499999999999932</v>
      </c>
      <c r="S30">
        <f t="shared" si="10"/>
        <v>50.403114053101916</v>
      </c>
      <c r="T30">
        <f>Q30-'"0" цикл 24.06'!Q29</f>
        <v>-697.14764471241949</v>
      </c>
      <c r="U30">
        <f>R30-'"0" цикл 24.06'!R29</f>
        <v>-980.73824478816573</v>
      </c>
      <c r="V30">
        <f t="shared" si="11"/>
        <v>1203.2715168731643</v>
      </c>
      <c r="W30">
        <f t="shared" si="12"/>
        <v>234.59327544425145</v>
      </c>
      <c r="X30">
        <f t="shared" si="13"/>
        <v>234.59327544425145</v>
      </c>
    </row>
    <row r="31" spans="1:24" x14ac:dyDescent="0.45">
      <c r="A31">
        <v>13.5</v>
      </c>
      <c r="B31">
        <v>-273</v>
      </c>
      <c r="C31">
        <v>283</v>
      </c>
      <c r="D31">
        <v>68</v>
      </c>
      <c r="E31">
        <v>-35</v>
      </c>
      <c r="F31">
        <f t="shared" si="0"/>
        <v>-278</v>
      </c>
      <c r="G31">
        <f t="shared" si="1"/>
        <v>51.5</v>
      </c>
      <c r="H31">
        <f t="shared" si="14"/>
        <v>-1.3900447642087777E-2</v>
      </c>
      <c r="I31">
        <f t="shared" si="14"/>
        <v>2.5750028456517204E-3</v>
      </c>
      <c r="J31">
        <f t="shared" si="15"/>
        <v>-6.9500000000000004E-3</v>
      </c>
      <c r="K31">
        <f t="shared" si="15"/>
        <v>1.2875000000000002E-3</v>
      </c>
      <c r="L31">
        <f t="shared" si="16"/>
        <v>-4.3012500000000002E-2</v>
      </c>
      <c r="M31">
        <f t="shared" si="16"/>
        <v>5.3625000000000001E-3</v>
      </c>
      <c r="N31">
        <f t="shared" si="5"/>
        <v>4.3345490682422785E-2</v>
      </c>
      <c r="O31">
        <f t="shared" si="6"/>
        <v>352.89342847700243</v>
      </c>
      <c r="P31">
        <f t="shared" si="7"/>
        <v>172.89342847700243</v>
      </c>
      <c r="Q31">
        <f t="shared" si="8"/>
        <v>-43.012500000000003</v>
      </c>
      <c r="R31">
        <f t="shared" si="9"/>
        <v>5.3624999999999909</v>
      </c>
      <c r="S31">
        <f t="shared" si="10"/>
        <v>43.345490682422785</v>
      </c>
      <c r="T31">
        <f>Q31-'"0" цикл 24.06'!Q30</f>
        <v>-693.92873617424641</v>
      </c>
      <c r="U31">
        <f>R31-'"0" цикл 24.06'!R30</f>
        <v>-986.49391411003762</v>
      </c>
      <c r="V31">
        <f t="shared" si="11"/>
        <v>1206.1124878984253</v>
      </c>
      <c r="W31">
        <f t="shared" si="12"/>
        <v>234.87632291242397</v>
      </c>
      <c r="X31">
        <f t="shared" si="13"/>
        <v>234.87632291242397</v>
      </c>
    </row>
    <row r="32" spans="1:24" x14ac:dyDescent="0.45">
      <c r="A32">
        <v>14</v>
      </c>
      <c r="B32">
        <v>-206</v>
      </c>
      <c r="C32">
        <v>209</v>
      </c>
      <c r="D32">
        <v>34</v>
      </c>
      <c r="E32">
        <v>-27</v>
      </c>
      <c r="F32">
        <f t="shared" si="0"/>
        <v>-207.5</v>
      </c>
      <c r="G32">
        <f t="shared" si="1"/>
        <v>30.5</v>
      </c>
      <c r="H32">
        <f t="shared" si="14"/>
        <v>-1.0375186137597055E-2</v>
      </c>
      <c r="I32">
        <f t="shared" si="14"/>
        <v>1.5250005910969729E-3</v>
      </c>
      <c r="J32">
        <f t="shared" si="15"/>
        <v>-5.1874999999999994E-3</v>
      </c>
      <c r="K32">
        <f t="shared" si="15"/>
        <v>7.6250000000000005E-4</v>
      </c>
      <c r="L32">
        <f t="shared" si="16"/>
        <v>-3.7825000000000004E-2</v>
      </c>
      <c r="M32">
        <f t="shared" si="16"/>
        <v>4.5999999999999999E-3</v>
      </c>
      <c r="N32">
        <f t="shared" si="5"/>
        <v>3.8103682564812558E-2</v>
      </c>
      <c r="O32">
        <f t="shared" si="6"/>
        <v>353.0661553830825</v>
      </c>
      <c r="P32">
        <f t="shared" si="7"/>
        <v>173.06615538308256</v>
      </c>
      <c r="Q32">
        <f t="shared" si="8"/>
        <v>-37.82500000000001</v>
      </c>
      <c r="R32">
        <f t="shared" si="9"/>
        <v>4.599999999999965</v>
      </c>
      <c r="S32">
        <f t="shared" si="10"/>
        <v>38.103682564812559</v>
      </c>
      <c r="T32">
        <f>Q32-'"0" цикл 24.06'!Q31</f>
        <v>-691.65701032950597</v>
      </c>
      <c r="U32">
        <f>R32-'"0" цикл 24.06'!R31</f>
        <v>-990.66602373275282</v>
      </c>
      <c r="V32">
        <f t="shared" si="11"/>
        <v>1208.2253889553942</v>
      </c>
      <c r="W32">
        <f t="shared" si="12"/>
        <v>235.07826594852801</v>
      </c>
      <c r="X32">
        <f t="shared" si="13"/>
        <v>235.07826594852801</v>
      </c>
    </row>
    <row r="33" spans="1:24" x14ac:dyDescent="0.45">
      <c r="A33">
        <v>14.5</v>
      </c>
      <c r="B33">
        <v>-114</v>
      </c>
      <c r="C33">
        <v>109</v>
      </c>
      <c r="D33">
        <v>35</v>
      </c>
      <c r="E33">
        <v>-26</v>
      </c>
      <c r="F33">
        <f t="shared" si="0"/>
        <v>-111.5</v>
      </c>
      <c r="G33">
        <f t="shared" si="1"/>
        <v>30.5</v>
      </c>
      <c r="H33">
        <f t="shared" si="14"/>
        <v>-5.5750288794846475E-3</v>
      </c>
      <c r="I33">
        <f t="shared" si="14"/>
        <v>1.5250005910969729E-3</v>
      </c>
      <c r="J33">
        <f t="shared" si="15"/>
        <v>-2.7875E-3</v>
      </c>
      <c r="K33">
        <f t="shared" si="15"/>
        <v>7.6250000000000005E-4</v>
      </c>
      <c r="L33">
        <f t="shared" si="16"/>
        <v>-3.5037500000000006E-2</v>
      </c>
      <c r="M33">
        <f t="shared" si="16"/>
        <v>3.8374999999999998E-3</v>
      </c>
      <c r="N33">
        <f t="shared" si="5"/>
        <v>3.5247025583728345E-2</v>
      </c>
      <c r="O33">
        <f t="shared" si="6"/>
        <v>353.7495642384942</v>
      </c>
      <c r="P33">
        <f t="shared" si="7"/>
        <v>173.74956423849426</v>
      </c>
      <c r="Q33">
        <f t="shared" si="8"/>
        <v>-35.037500000000009</v>
      </c>
      <c r="R33">
        <f t="shared" si="9"/>
        <v>3.8374999999999742</v>
      </c>
      <c r="S33">
        <f t="shared" si="10"/>
        <v>35.247025583728345</v>
      </c>
      <c r="T33">
        <f>Q33-'"0" цикл 24.06'!Q32</f>
        <v>-690.8557867566783</v>
      </c>
      <c r="U33">
        <f>R33-'"0" цикл 24.06'!R32</f>
        <v>-993.40426681979227</v>
      </c>
      <c r="V33">
        <f t="shared" si="11"/>
        <v>1210.013948444793</v>
      </c>
      <c r="W33">
        <f t="shared" si="12"/>
        <v>235.18359798631451</v>
      </c>
      <c r="X33">
        <f t="shared" si="13"/>
        <v>235.18359798631451</v>
      </c>
    </row>
    <row r="34" spans="1:24" x14ac:dyDescent="0.45">
      <c r="A34">
        <v>15</v>
      </c>
      <c r="B34">
        <v>-48</v>
      </c>
      <c r="C34">
        <v>36</v>
      </c>
      <c r="D34">
        <v>51</v>
      </c>
      <c r="E34">
        <v>-41</v>
      </c>
      <c r="F34">
        <f t="shared" si="0"/>
        <v>-42</v>
      </c>
      <c r="G34">
        <f t="shared" si="1"/>
        <v>46</v>
      </c>
      <c r="H34">
        <f t="shared" si="14"/>
        <v>-2.1000015435030631E-3</v>
      </c>
      <c r="I34">
        <f t="shared" si="14"/>
        <v>2.3000020278381604E-3</v>
      </c>
      <c r="J34">
        <f t="shared" si="15"/>
        <v>-1.0499999999999999E-3</v>
      </c>
      <c r="K34">
        <f t="shared" si="15"/>
        <v>1.15E-3</v>
      </c>
      <c r="L34">
        <f t="shared" si="16"/>
        <v>-3.3987500000000004E-2</v>
      </c>
      <c r="M34">
        <f t="shared" si="16"/>
        <v>2.6874999999999998E-3</v>
      </c>
      <c r="N34">
        <f t="shared" si="5"/>
        <v>3.4093589023451318E-2</v>
      </c>
      <c r="O34">
        <f t="shared" si="6"/>
        <v>355.47884729632665</v>
      </c>
      <c r="P34">
        <f t="shared" si="7"/>
        <v>175.47884729632665</v>
      </c>
      <c r="Q34">
        <f t="shared" si="8"/>
        <v>-33.987499999999997</v>
      </c>
      <c r="R34">
        <f t="shared" si="9"/>
        <v>2.687500000000012</v>
      </c>
      <c r="S34">
        <f t="shared" si="10"/>
        <v>34.093589023451315</v>
      </c>
      <c r="T34">
        <f>Q34-'"0" цикл 24.06'!Q33</f>
        <v>-690.92073609580348</v>
      </c>
      <c r="U34">
        <f>R34-'"0" цикл 24.06'!R33</f>
        <v>-995.41996930090534</v>
      </c>
      <c r="V34">
        <f t="shared" si="11"/>
        <v>1211.7063913548457</v>
      </c>
      <c r="W34">
        <f t="shared" si="12"/>
        <v>235.23549539472833</v>
      </c>
      <c r="X34">
        <f t="shared" si="13"/>
        <v>235.23549539472833</v>
      </c>
    </row>
    <row r="35" spans="1:24" x14ac:dyDescent="0.45">
      <c r="A35">
        <v>15.5</v>
      </c>
      <c r="B35">
        <v>25</v>
      </c>
      <c r="C35">
        <v>-29</v>
      </c>
      <c r="D35">
        <v>41</v>
      </c>
      <c r="E35">
        <v>-33</v>
      </c>
      <c r="F35">
        <f t="shared" si="0"/>
        <v>27</v>
      </c>
      <c r="G35">
        <f t="shared" si="1"/>
        <v>37</v>
      </c>
      <c r="H35">
        <f t="shared" si="14"/>
        <v>1.3500004100628364E-3</v>
      </c>
      <c r="I35">
        <f t="shared" si="14"/>
        <v>1.8500010552724585E-3</v>
      </c>
      <c r="J35">
        <f t="shared" si="15"/>
        <v>6.7500000000000004E-4</v>
      </c>
      <c r="K35">
        <f t="shared" si="15"/>
        <v>9.2499999999999993E-4</v>
      </c>
      <c r="L35">
        <f t="shared" si="16"/>
        <v>-3.4662500000000006E-2</v>
      </c>
      <c r="M35">
        <f t="shared" si="16"/>
        <v>1.7624999999999997E-3</v>
      </c>
      <c r="N35">
        <f t="shared" si="5"/>
        <v>3.4707280396193536E-2</v>
      </c>
      <c r="O35">
        <f t="shared" si="6"/>
        <v>357.08916217383222</v>
      </c>
      <c r="P35">
        <f t="shared" si="7"/>
        <v>177.08916217383216</v>
      </c>
      <c r="Q35">
        <f t="shared" si="8"/>
        <v>-34.662500000000001</v>
      </c>
      <c r="R35">
        <f t="shared" si="9"/>
        <v>1.7625000000000506</v>
      </c>
      <c r="S35">
        <f t="shared" si="10"/>
        <v>34.707280396193539</v>
      </c>
      <c r="T35">
        <f>Q35-'"0" цикл 24.06'!Q34</f>
        <v>-691.85632343760278</v>
      </c>
      <c r="U35">
        <f>R35-'"0" цикл 24.06'!R34</f>
        <v>-995.98234657538615</v>
      </c>
      <c r="V35">
        <f t="shared" si="11"/>
        <v>1212.7019448200822</v>
      </c>
      <c r="W35">
        <f t="shared" si="12"/>
        <v>235.21433292437305</v>
      </c>
      <c r="X35">
        <f t="shared" si="13"/>
        <v>235.21433292437305</v>
      </c>
    </row>
    <row r="36" spans="1:24" x14ac:dyDescent="0.45">
      <c r="A36">
        <v>16</v>
      </c>
      <c r="B36">
        <v>98</v>
      </c>
      <c r="C36">
        <v>-100</v>
      </c>
      <c r="D36">
        <v>-2</v>
      </c>
      <c r="E36">
        <v>4</v>
      </c>
      <c r="F36">
        <f t="shared" si="0"/>
        <v>99</v>
      </c>
      <c r="G36">
        <f t="shared" si="1"/>
        <v>-3</v>
      </c>
      <c r="H36">
        <f t="shared" si="14"/>
        <v>4.950020214785392E-3</v>
      </c>
      <c r="I36">
        <f t="shared" si="14"/>
        <v>-1.5000000056249998E-4</v>
      </c>
      <c r="J36">
        <f t="shared" si="15"/>
        <v>2.4750000000000002E-3</v>
      </c>
      <c r="K36">
        <f t="shared" si="15"/>
        <v>-7.4999999999999993E-5</v>
      </c>
      <c r="L36">
        <f t="shared" si="16"/>
        <v>-3.7137500000000004E-2</v>
      </c>
      <c r="M36">
        <f t="shared" si="16"/>
        <v>1.8374999999999997E-3</v>
      </c>
      <c r="N36">
        <f t="shared" si="5"/>
        <v>3.7182930391511645E-2</v>
      </c>
      <c r="O36">
        <f t="shared" si="6"/>
        <v>357.16741277722156</v>
      </c>
      <c r="P36">
        <f t="shared" si="7"/>
        <v>177.16741277722156</v>
      </c>
      <c r="Q36">
        <f t="shared" si="8"/>
        <v>-37.13750000000001</v>
      </c>
      <c r="R36">
        <f t="shared" si="9"/>
        <v>1.8374999999999879</v>
      </c>
      <c r="S36">
        <f t="shared" si="10"/>
        <v>37.182930391511647</v>
      </c>
      <c r="T36">
        <f>Q36-'"0" цикл 24.06'!Q35</f>
        <v>-694.73602161372139</v>
      </c>
      <c r="U36">
        <f>R36-'"0" цикл 24.06'!R35</f>
        <v>-995.82764314185727</v>
      </c>
      <c r="V36">
        <f t="shared" si="11"/>
        <v>1214.2202578499205</v>
      </c>
      <c r="W36">
        <f t="shared" si="12"/>
        <v>235.09856670090591</v>
      </c>
      <c r="X36">
        <f t="shared" si="13"/>
        <v>235.09856670090591</v>
      </c>
    </row>
    <row r="37" spans="1:24" x14ac:dyDescent="0.45">
      <c r="A37">
        <v>16.5</v>
      </c>
      <c r="B37">
        <v>142</v>
      </c>
      <c r="C37">
        <v>-140</v>
      </c>
      <c r="D37">
        <v>-45</v>
      </c>
      <c r="E37">
        <v>59</v>
      </c>
      <c r="F37">
        <f t="shared" si="0"/>
        <v>141</v>
      </c>
      <c r="G37">
        <f t="shared" si="1"/>
        <v>-52</v>
      </c>
      <c r="H37">
        <f t="shared" si="14"/>
        <v>7.05005840174373E-3</v>
      </c>
      <c r="I37">
        <f t="shared" si="14"/>
        <v>-2.6000029293422443E-3</v>
      </c>
      <c r="J37">
        <f t="shared" si="15"/>
        <v>3.5249999999999999E-3</v>
      </c>
      <c r="K37">
        <f t="shared" si="15"/>
        <v>-1.2999999999999999E-3</v>
      </c>
      <c r="L37">
        <f t="shared" si="16"/>
        <v>-4.0662500000000004E-2</v>
      </c>
      <c r="M37">
        <f t="shared" si="16"/>
        <v>3.1374999999999997E-3</v>
      </c>
      <c r="N37">
        <f t="shared" si="5"/>
        <v>4.0783364408788055E-2</v>
      </c>
      <c r="O37">
        <f t="shared" si="6"/>
        <v>355.58782596177508</v>
      </c>
      <c r="P37">
        <f t="shared" si="7"/>
        <v>175.58782596177502</v>
      </c>
      <c r="Q37">
        <f t="shared" si="8"/>
        <v>-40.662500000000001</v>
      </c>
      <c r="R37">
        <f t="shared" si="9"/>
        <v>3.1375000000000628</v>
      </c>
      <c r="S37">
        <f t="shared" si="10"/>
        <v>40.783364408788053</v>
      </c>
      <c r="T37">
        <f>Q37-'"0" цикл 24.06'!Q36</f>
        <v>-699.83605745538</v>
      </c>
      <c r="U37">
        <f>R37-'"0" цикл 24.06'!R36</f>
        <v>-995.74799183807386</v>
      </c>
      <c r="V37">
        <f t="shared" si="11"/>
        <v>1217.0803467989476</v>
      </c>
      <c r="W37">
        <f t="shared" si="12"/>
        <v>234.89951287055698</v>
      </c>
      <c r="X37">
        <f t="shared" si="13"/>
        <v>234.89951287055698</v>
      </c>
    </row>
    <row r="38" spans="1:24" x14ac:dyDescent="0.45">
      <c r="A38">
        <v>17</v>
      </c>
      <c r="B38">
        <v>134</v>
      </c>
      <c r="C38">
        <v>-153</v>
      </c>
      <c r="D38">
        <v>-71</v>
      </c>
      <c r="E38">
        <v>79</v>
      </c>
      <c r="F38">
        <f t="shared" si="0"/>
        <v>143.5</v>
      </c>
      <c r="G38">
        <f t="shared" si="1"/>
        <v>-75</v>
      </c>
      <c r="H38">
        <f t="shared" si="14"/>
        <v>7.1750615636736077E-3</v>
      </c>
      <c r="I38">
        <f t="shared" si="14"/>
        <v>-3.7500087891181189E-3</v>
      </c>
      <c r="J38">
        <f t="shared" si="15"/>
        <v>3.5875E-3</v>
      </c>
      <c r="K38">
        <f t="shared" si="15"/>
        <v>-1.8750000000000001E-3</v>
      </c>
      <c r="L38">
        <f t="shared" si="16"/>
        <v>-4.4250000000000005E-2</v>
      </c>
      <c r="M38">
        <f t="shared" si="16"/>
        <v>5.0124999999999996E-3</v>
      </c>
      <c r="N38">
        <f t="shared" si="5"/>
        <v>4.4532995141243314E-2</v>
      </c>
      <c r="O38">
        <f t="shared" si="6"/>
        <v>353.53726392012197</v>
      </c>
      <c r="P38">
        <f t="shared" si="7"/>
        <v>173.53726392012197</v>
      </c>
      <c r="Q38">
        <f t="shared" si="8"/>
        <v>-44.250000000000007</v>
      </c>
      <c r="R38">
        <f t="shared" si="9"/>
        <v>5.0125000000000046</v>
      </c>
      <c r="S38">
        <f t="shared" si="10"/>
        <v>44.532995141243312</v>
      </c>
      <c r="T38">
        <f>Q38-'"0" цикл 24.06'!Q37</f>
        <v>-705.19057844139559</v>
      </c>
      <c r="U38">
        <f>R38-'"0" цикл 24.06'!R37</f>
        <v>-995.58973065349426</v>
      </c>
      <c r="V38">
        <f t="shared" si="11"/>
        <v>1220.0379763372973</v>
      </c>
      <c r="W38">
        <f t="shared" si="12"/>
        <v>234.68950756163841</v>
      </c>
      <c r="X38">
        <f t="shared" si="13"/>
        <v>234.68950756163841</v>
      </c>
    </row>
    <row r="39" spans="1:24" x14ac:dyDescent="0.45">
      <c r="A39">
        <v>17.5</v>
      </c>
      <c r="B39">
        <v>139</v>
      </c>
      <c r="C39">
        <v>-137</v>
      </c>
      <c r="D39">
        <v>-125</v>
      </c>
      <c r="E39">
        <v>132</v>
      </c>
      <c r="F39">
        <f t="shared" si="0"/>
        <v>138</v>
      </c>
      <c r="G39">
        <f t="shared" si="1"/>
        <v>-128.5</v>
      </c>
      <c r="H39">
        <f t="shared" si="14"/>
        <v>6.9000547526730568E-3</v>
      </c>
      <c r="I39">
        <f t="shared" si="14"/>
        <v>-6.4250442054904497E-3</v>
      </c>
      <c r="J39">
        <f t="shared" si="15"/>
        <v>3.4499999999999999E-3</v>
      </c>
      <c r="K39">
        <f t="shared" si="15"/>
        <v>-3.2125000000000001E-3</v>
      </c>
      <c r="L39">
        <f t="shared" si="16"/>
        <v>-4.7700000000000006E-2</v>
      </c>
      <c r="M39">
        <f t="shared" si="16"/>
        <v>8.2249999999999997E-3</v>
      </c>
      <c r="N39">
        <f t="shared" si="5"/>
        <v>4.8403931916735858E-2</v>
      </c>
      <c r="O39">
        <f t="shared" si="6"/>
        <v>350.21658737331222</v>
      </c>
      <c r="P39">
        <f t="shared" si="7"/>
        <v>170.21658737331222</v>
      </c>
      <c r="Q39">
        <f t="shared" si="8"/>
        <v>-47.7</v>
      </c>
      <c r="R39">
        <f t="shared" si="9"/>
        <v>8.2249999999999819</v>
      </c>
      <c r="S39">
        <f t="shared" si="10"/>
        <v>48.403931916735857</v>
      </c>
      <c r="T39">
        <f>Q39-'"0" цикл 24.06'!Q38</f>
        <v>-709.54875517016671</v>
      </c>
      <c r="U39">
        <f>R39-'"0" цикл 24.06'!R38</f>
        <v>-992.93433681823069</v>
      </c>
      <c r="V39">
        <f t="shared" si="11"/>
        <v>1220.4007674514928</v>
      </c>
      <c r="W39">
        <f t="shared" si="12"/>
        <v>234.45048131667596</v>
      </c>
      <c r="X39">
        <f t="shared" si="13"/>
        <v>234.45048131667596</v>
      </c>
    </row>
    <row r="40" spans="1:24" x14ac:dyDescent="0.45">
      <c r="A40">
        <v>18</v>
      </c>
      <c r="B40">
        <v>83</v>
      </c>
      <c r="C40">
        <v>-89</v>
      </c>
      <c r="D40">
        <v>-131</v>
      </c>
      <c r="E40">
        <v>142</v>
      </c>
      <c r="F40">
        <f t="shared" si="0"/>
        <v>86</v>
      </c>
      <c r="G40">
        <f t="shared" si="1"/>
        <v>-136.5</v>
      </c>
      <c r="H40">
        <f t="shared" si="14"/>
        <v>4.3000132512769238E-3</v>
      </c>
      <c r="I40">
        <f t="shared" si="14"/>
        <v>-6.8250529865716116E-3</v>
      </c>
      <c r="J40">
        <f t="shared" si="15"/>
        <v>2.15E-3</v>
      </c>
      <c r="K40">
        <f t="shared" si="15"/>
        <v>-3.4125000000000002E-3</v>
      </c>
      <c r="L40">
        <f t="shared" si="16"/>
        <v>-4.9850000000000005E-2</v>
      </c>
      <c r="M40">
        <f t="shared" si="16"/>
        <v>1.16375E-2</v>
      </c>
      <c r="N40">
        <f t="shared" si="5"/>
        <v>5.1190369272452026E-2</v>
      </c>
      <c r="O40">
        <f t="shared" si="6"/>
        <v>346.85961941851872</v>
      </c>
      <c r="P40">
        <f t="shared" si="7"/>
        <v>166.85961941851872</v>
      </c>
      <c r="Q40">
        <f t="shared" si="8"/>
        <v>-49.849999999999994</v>
      </c>
      <c r="R40">
        <f t="shared" si="9"/>
        <v>11.637500000000015</v>
      </c>
      <c r="S40">
        <f t="shared" si="10"/>
        <v>51.190369272452024</v>
      </c>
      <c r="T40">
        <f>Q40-'"0" цикл 24.06'!Q39</f>
        <v>-711.39962514676574</v>
      </c>
      <c r="U40">
        <f>R40-'"0" цикл 24.06'!R39</f>
        <v>-988.35013410334761</v>
      </c>
      <c r="V40">
        <f t="shared" si="11"/>
        <v>1217.7542503481825</v>
      </c>
      <c r="W40">
        <f t="shared" si="12"/>
        <v>234.25422553823472</v>
      </c>
      <c r="X40">
        <f t="shared" si="13"/>
        <v>234.25422553823472</v>
      </c>
    </row>
    <row r="41" spans="1:24" x14ac:dyDescent="0.45">
      <c r="A41">
        <v>18.5</v>
      </c>
      <c r="B41">
        <v>-3</v>
      </c>
      <c r="C41">
        <v>-5</v>
      </c>
      <c r="D41">
        <v>-111</v>
      </c>
      <c r="E41">
        <v>120</v>
      </c>
      <c r="F41">
        <f t="shared" si="0"/>
        <v>1</v>
      </c>
      <c r="G41">
        <f t="shared" si="1"/>
        <v>-115.5</v>
      </c>
      <c r="H41">
        <f t="shared" si="14"/>
        <v>5.000000002083334E-5</v>
      </c>
      <c r="I41">
        <f t="shared" si="14"/>
        <v>-5.7750321004583216E-3</v>
      </c>
      <c r="J41">
        <f t="shared" si="15"/>
        <v>2.5000000000000005E-5</v>
      </c>
      <c r="K41">
        <f t="shared" si="15"/>
        <v>-2.8874999999999999E-3</v>
      </c>
      <c r="L41">
        <f t="shared" si="16"/>
        <v>-4.9875000000000003E-2</v>
      </c>
      <c r="M41">
        <f t="shared" si="16"/>
        <v>1.4525E-2</v>
      </c>
      <c r="N41">
        <f t="shared" si="5"/>
        <v>5.1947004244710784E-2</v>
      </c>
      <c r="O41">
        <f t="shared" si="6"/>
        <v>343.76295757833077</v>
      </c>
      <c r="P41">
        <f t="shared" si="7"/>
        <v>163.76295757833077</v>
      </c>
      <c r="Q41">
        <f t="shared" si="8"/>
        <v>-49.875</v>
      </c>
      <c r="R41">
        <f t="shared" si="9"/>
        <v>14.525000000000007</v>
      </c>
      <c r="S41">
        <f t="shared" si="10"/>
        <v>51.947004244710783</v>
      </c>
      <c r="T41">
        <f>Q41-'"0" цикл 24.06'!Q40</f>
        <v>-709.09025575272892</v>
      </c>
      <c r="U41">
        <f>R41-'"0" цикл 24.06'!R40</f>
        <v>-981.50110032368991</v>
      </c>
      <c r="V41">
        <f t="shared" si="11"/>
        <v>1210.8482154011231</v>
      </c>
      <c r="W41">
        <f t="shared" si="12"/>
        <v>234.15358747305268</v>
      </c>
      <c r="X41">
        <f t="shared" si="13"/>
        <v>234.15358747305268</v>
      </c>
    </row>
    <row r="42" spans="1:24" x14ac:dyDescent="0.45">
      <c r="A42">
        <v>19</v>
      </c>
      <c r="B42">
        <v>-104</v>
      </c>
      <c r="C42">
        <v>82</v>
      </c>
      <c r="D42">
        <v>-55</v>
      </c>
      <c r="E42">
        <v>58</v>
      </c>
      <c r="F42">
        <f t="shared" si="0"/>
        <v>-93</v>
      </c>
      <c r="G42">
        <f t="shared" si="1"/>
        <v>-56.5</v>
      </c>
      <c r="H42">
        <f t="shared" si="14"/>
        <v>-4.6500167576005533E-3</v>
      </c>
      <c r="I42">
        <f t="shared" si="14"/>
        <v>-2.8250037575577652E-3</v>
      </c>
      <c r="J42">
        <f t="shared" si="15"/>
        <v>-2.3249999999999998E-3</v>
      </c>
      <c r="K42">
        <f t="shared" si="15"/>
        <v>-1.4124999999999999E-3</v>
      </c>
      <c r="L42">
        <f t="shared" si="16"/>
        <v>-4.7550000000000002E-2</v>
      </c>
      <c r="M42">
        <f t="shared" si="16"/>
        <v>1.59375E-2</v>
      </c>
      <c r="N42">
        <f t="shared" si="5"/>
        <v>5.0149839543611699E-2</v>
      </c>
      <c r="O42">
        <f t="shared" si="6"/>
        <v>341.47021313255061</v>
      </c>
      <c r="P42">
        <f t="shared" si="7"/>
        <v>161.47021313255061</v>
      </c>
      <c r="Q42">
        <f t="shared" si="8"/>
        <v>-47.55</v>
      </c>
      <c r="R42">
        <f t="shared" si="9"/>
        <v>15.937499999999986</v>
      </c>
      <c r="S42">
        <f t="shared" si="10"/>
        <v>50.149839543611698</v>
      </c>
      <c r="T42">
        <f>Q42-'"0" цикл 24.06'!Q41</f>
        <v>-703.23050864753839</v>
      </c>
      <c r="U42">
        <f>R42-'"0" цикл 24.06'!R41</f>
        <v>-974.32642237024299</v>
      </c>
      <c r="V42">
        <f t="shared" si="11"/>
        <v>1201.6010675850255</v>
      </c>
      <c r="W42">
        <f t="shared" si="12"/>
        <v>234.1797298586722</v>
      </c>
      <c r="X42">
        <f t="shared" si="13"/>
        <v>234.1797298586722</v>
      </c>
    </row>
    <row r="43" spans="1:24" x14ac:dyDescent="0.45">
      <c r="A43">
        <v>19.5</v>
      </c>
      <c r="B43">
        <v>-57</v>
      </c>
      <c r="C43">
        <v>62</v>
      </c>
      <c r="D43">
        <v>-183</v>
      </c>
      <c r="E43">
        <v>194</v>
      </c>
      <c r="F43">
        <f t="shared" si="0"/>
        <v>-59.5</v>
      </c>
      <c r="G43">
        <f t="shared" si="1"/>
        <v>-188.5</v>
      </c>
      <c r="H43">
        <f t="shared" si="14"/>
        <v>-2.9750043884523743E-3</v>
      </c>
      <c r="I43">
        <f t="shared" si="14"/>
        <v>-9.4251395436849312E-3</v>
      </c>
      <c r="J43">
        <f t="shared" si="15"/>
        <v>-1.4875000000000001E-3</v>
      </c>
      <c r="K43">
        <f t="shared" si="15"/>
        <v>-4.7124999999999997E-3</v>
      </c>
      <c r="L43">
        <f t="shared" si="16"/>
        <v>-4.6062499999999999E-2</v>
      </c>
      <c r="M43">
        <f t="shared" si="16"/>
        <v>2.0649999999999998E-2</v>
      </c>
      <c r="N43">
        <f t="shared" si="5"/>
        <v>5.0479465193779535E-2</v>
      </c>
      <c r="O43">
        <f t="shared" si="6"/>
        <v>335.85311873773009</v>
      </c>
      <c r="P43">
        <f t="shared" si="7"/>
        <v>155.85311873773003</v>
      </c>
      <c r="Q43">
        <f t="shared" si="8"/>
        <v>-46.062499999999972</v>
      </c>
      <c r="R43">
        <f t="shared" si="9"/>
        <v>20.650000000000045</v>
      </c>
      <c r="S43">
        <f t="shared" si="10"/>
        <v>50.479465193779532</v>
      </c>
      <c r="T43">
        <f>Q43-'"0" цикл 24.06'!Q42</f>
        <v>-701.07384476394634</v>
      </c>
      <c r="U43">
        <f>R43-'"0" цикл 24.06'!R42</f>
        <v>-967.78325529763072</v>
      </c>
      <c r="V43">
        <f t="shared" si="11"/>
        <v>1195.0351313022479</v>
      </c>
      <c r="W43">
        <f t="shared" si="12"/>
        <v>234.07997539844004</v>
      </c>
      <c r="X43">
        <f t="shared" si="13"/>
        <v>234.07997539844004</v>
      </c>
    </row>
    <row r="44" spans="1:24" x14ac:dyDescent="0.45">
      <c r="A44">
        <v>20</v>
      </c>
      <c r="B44">
        <v>-95</v>
      </c>
      <c r="C44">
        <v>98</v>
      </c>
      <c r="D44">
        <v>-121</v>
      </c>
      <c r="E44">
        <v>128</v>
      </c>
      <c r="F44">
        <f t="shared" si="0"/>
        <v>-96.5</v>
      </c>
      <c r="G44">
        <f t="shared" si="1"/>
        <v>-124.5</v>
      </c>
      <c r="H44">
        <f t="shared" si="14"/>
        <v>-4.8250187216987385E-3</v>
      </c>
      <c r="I44">
        <f t="shared" si="14"/>
        <v>-6.2250402044745174E-3</v>
      </c>
      <c r="J44">
        <f t="shared" si="15"/>
        <v>-2.4124999999999997E-3</v>
      </c>
      <c r="K44">
        <f t="shared" si="15"/>
        <v>-3.1124999999999994E-3</v>
      </c>
      <c r="L44">
        <f t="shared" si="16"/>
        <v>-4.3650000000000001E-2</v>
      </c>
      <c r="M44">
        <f t="shared" si="16"/>
        <v>2.3762499999999999E-2</v>
      </c>
      <c r="N44">
        <f t="shared" si="5"/>
        <v>4.9698882344072888E-2</v>
      </c>
      <c r="O44">
        <f t="shared" si="6"/>
        <v>331.43669450380605</v>
      </c>
      <c r="P44">
        <f t="shared" si="7"/>
        <v>151.43669450380605</v>
      </c>
      <c r="Q44">
        <f t="shared" si="8"/>
        <v>-43.649999999999991</v>
      </c>
      <c r="R44">
        <f t="shared" si="9"/>
        <v>23.762500000000003</v>
      </c>
      <c r="S44">
        <f t="shared" si="10"/>
        <v>49.698882344072885</v>
      </c>
      <c r="T44">
        <f>Q44-'"0" цикл 24.06'!Q43</f>
        <v>-698.08623466154245</v>
      </c>
      <c r="U44">
        <f>R44-'"0" цикл 24.06'!R43</f>
        <v>-962.98346067171803</v>
      </c>
      <c r="V44">
        <f t="shared" si="11"/>
        <v>1189.3954500296395</v>
      </c>
      <c r="W44">
        <f t="shared" si="12"/>
        <v>234.06088238146219</v>
      </c>
      <c r="X44">
        <f t="shared" si="13"/>
        <v>234.06088238146219</v>
      </c>
    </row>
    <row r="45" spans="1:24" x14ac:dyDescent="0.45">
      <c r="A45">
        <v>20.5</v>
      </c>
      <c r="B45">
        <v>-137</v>
      </c>
      <c r="C45">
        <v>125</v>
      </c>
      <c r="D45">
        <v>-50</v>
      </c>
      <c r="E45">
        <v>57</v>
      </c>
      <c r="F45">
        <f t="shared" si="0"/>
        <v>-131</v>
      </c>
      <c r="G45">
        <f t="shared" si="1"/>
        <v>-53.5</v>
      </c>
      <c r="H45">
        <f t="shared" si="14"/>
        <v>-6.5500468361333972E-3</v>
      </c>
      <c r="I45">
        <f t="shared" si="14"/>
        <v>-2.6750031902264184E-3</v>
      </c>
      <c r="J45">
        <f t="shared" si="15"/>
        <v>-3.2750000000000001E-3</v>
      </c>
      <c r="K45">
        <f t="shared" si="15"/>
        <v>-1.3374999999999999E-3</v>
      </c>
      <c r="L45">
        <f t="shared" si="16"/>
        <v>-4.0375000000000001E-2</v>
      </c>
      <c r="M45">
        <f t="shared" si="16"/>
        <v>2.5099999999999997E-2</v>
      </c>
      <c r="N45">
        <f t="shared" si="5"/>
        <v>4.75410414799676E-2</v>
      </c>
      <c r="O45">
        <f t="shared" si="6"/>
        <v>328.13194755005674</v>
      </c>
      <c r="P45">
        <f t="shared" si="7"/>
        <v>148.13194755005674</v>
      </c>
      <c r="Q45">
        <f t="shared" si="8"/>
        <v>-40.374999999999986</v>
      </c>
      <c r="R45">
        <f t="shared" si="9"/>
        <v>25.100000000000009</v>
      </c>
      <c r="S45">
        <f t="shared" si="10"/>
        <v>47.541041479967596</v>
      </c>
      <c r="T45">
        <f>Q45-'"0" цикл 24.06'!Q44</f>
        <v>-693.63350211576198</v>
      </c>
      <c r="U45">
        <f>R45-'"0" цикл 24.06'!R44</f>
        <v>-959.20484840944323</v>
      </c>
      <c r="V45">
        <f t="shared" si="11"/>
        <v>1183.7235219719003</v>
      </c>
      <c r="W45">
        <f t="shared" si="12"/>
        <v>234.12803442491503</v>
      </c>
      <c r="X45">
        <f t="shared" si="13"/>
        <v>234.12803442491503</v>
      </c>
    </row>
    <row r="46" spans="1:24" x14ac:dyDescent="0.45">
      <c r="A46">
        <v>21</v>
      </c>
      <c r="B46">
        <v>-115</v>
      </c>
      <c r="C46">
        <v>106</v>
      </c>
      <c r="D46">
        <v>-27</v>
      </c>
      <c r="E46">
        <v>35</v>
      </c>
      <c r="F46">
        <f t="shared" si="0"/>
        <v>-110.5</v>
      </c>
      <c r="G46">
        <f t="shared" si="1"/>
        <v>-31</v>
      </c>
      <c r="H46">
        <f t="shared" si="14"/>
        <v>-5.525028109399149E-3</v>
      </c>
      <c r="I46">
        <f t="shared" si="14"/>
        <v>-1.5500006206465042E-3</v>
      </c>
      <c r="J46">
        <f t="shared" si="15"/>
        <v>-2.7625000000000002E-3</v>
      </c>
      <c r="K46">
        <f t="shared" si="15"/>
        <v>-7.7499999999999997E-4</v>
      </c>
      <c r="L46">
        <f t="shared" si="16"/>
        <v>-3.76125E-2</v>
      </c>
      <c r="M46">
        <f t="shared" si="16"/>
        <v>2.5874999999999999E-2</v>
      </c>
      <c r="N46">
        <f t="shared" si="5"/>
        <v>4.5653212167929648E-2</v>
      </c>
      <c r="O46">
        <f t="shared" si="6"/>
        <v>325.47450982200809</v>
      </c>
      <c r="P46">
        <f t="shared" si="7"/>
        <v>145.47450982200809</v>
      </c>
      <c r="Q46">
        <f t="shared" si="8"/>
        <v>-37.612500000000004</v>
      </c>
      <c r="R46">
        <f t="shared" si="9"/>
        <v>25.874999999999975</v>
      </c>
      <c r="S46">
        <f t="shared" si="10"/>
        <v>45.653212167929645</v>
      </c>
      <c r="T46">
        <f>Q46-'"0" цикл 24.06'!Q45</f>
        <v>-688.69092310286408</v>
      </c>
      <c r="U46">
        <f>R46-'"0" цикл 24.06'!R45</f>
        <v>-954.7279237203594</v>
      </c>
      <c r="V46">
        <f t="shared" si="11"/>
        <v>1177.2003210565581</v>
      </c>
      <c r="W46">
        <f t="shared" si="12"/>
        <v>234.19528552571131</v>
      </c>
      <c r="X46">
        <f t="shared" si="13"/>
        <v>234.19528552571131</v>
      </c>
    </row>
    <row r="47" spans="1:24" x14ac:dyDescent="0.45">
      <c r="A47">
        <v>21.5</v>
      </c>
      <c r="B47">
        <v>-57</v>
      </c>
      <c r="C47">
        <v>58</v>
      </c>
      <c r="D47">
        <v>-29</v>
      </c>
      <c r="E47">
        <v>36</v>
      </c>
      <c r="F47">
        <f t="shared" si="0"/>
        <v>-57.5</v>
      </c>
      <c r="G47">
        <f t="shared" si="1"/>
        <v>-32.5</v>
      </c>
      <c r="H47">
        <f t="shared" si="14"/>
        <v>-2.8750039606267107E-3</v>
      </c>
      <c r="I47">
        <f t="shared" si="14"/>
        <v>-1.6250007151701205E-3</v>
      </c>
      <c r="J47">
        <f t="shared" si="15"/>
        <v>-1.4375E-3</v>
      </c>
      <c r="K47">
        <f t="shared" si="15"/>
        <v>-8.1249999999999996E-4</v>
      </c>
      <c r="L47">
        <f t="shared" si="16"/>
        <v>-3.6174999999999999E-2</v>
      </c>
      <c r="M47">
        <f t="shared" si="16"/>
        <v>2.6687499999999999E-2</v>
      </c>
      <c r="N47">
        <f t="shared" si="5"/>
        <v>4.4953901735555725E-2</v>
      </c>
      <c r="O47">
        <f t="shared" si="6"/>
        <v>323.58257060175873</v>
      </c>
      <c r="P47">
        <f t="shared" si="7"/>
        <v>143.58257060175873</v>
      </c>
      <c r="Q47">
        <f t="shared" si="8"/>
        <v>-36.174999999999997</v>
      </c>
      <c r="R47">
        <f t="shared" si="9"/>
        <v>26.687500000000007</v>
      </c>
      <c r="S47">
        <f t="shared" si="10"/>
        <v>44.953901735555725</v>
      </c>
      <c r="T47">
        <f>Q47-'"0" цикл 24.06'!Q46</f>
        <v>-684.6076859884256</v>
      </c>
      <c r="U47">
        <f>R47-'"0" цикл 24.06'!R46</f>
        <v>-949.28736757095226</v>
      </c>
      <c r="V47">
        <f t="shared" si="11"/>
        <v>1170.3991583832478</v>
      </c>
      <c r="W47">
        <f t="shared" si="12"/>
        <v>234.20158645987857</v>
      </c>
      <c r="X47">
        <f t="shared" si="13"/>
        <v>234.20158645987857</v>
      </c>
    </row>
    <row r="48" spans="1:24" x14ac:dyDescent="0.45">
      <c r="A48">
        <v>22</v>
      </c>
      <c r="B48">
        <v>-118</v>
      </c>
      <c r="C48">
        <v>120</v>
      </c>
      <c r="D48">
        <v>64</v>
      </c>
      <c r="E48">
        <v>-56</v>
      </c>
      <c r="F48">
        <f t="shared" si="0"/>
        <v>-119</v>
      </c>
      <c r="G48">
        <f t="shared" si="1"/>
        <v>60</v>
      </c>
      <c r="H48">
        <f t="shared" si="14"/>
        <v>-5.9500351080384803E-3</v>
      </c>
      <c r="I48">
        <f t="shared" si="14"/>
        <v>3.0000045000182249E-3</v>
      </c>
      <c r="J48">
        <f t="shared" si="15"/>
        <v>-2.9750000000000002E-3</v>
      </c>
      <c r="K48">
        <f t="shared" si="15"/>
        <v>1.4999999999999998E-3</v>
      </c>
      <c r="L48">
        <f t="shared" si="16"/>
        <v>-3.32E-2</v>
      </c>
      <c r="M48">
        <f t="shared" si="16"/>
        <v>2.5187499999999998E-2</v>
      </c>
      <c r="N48">
        <f t="shared" si="5"/>
        <v>4.1673134706306889E-2</v>
      </c>
      <c r="O48">
        <f t="shared" si="6"/>
        <v>322.81387713413523</v>
      </c>
      <c r="P48">
        <f t="shared" si="7"/>
        <v>142.81387713413523</v>
      </c>
      <c r="Q48">
        <f t="shared" si="8"/>
        <v>-33.200000000000003</v>
      </c>
      <c r="R48">
        <f t="shared" si="9"/>
        <v>25.187499999999989</v>
      </c>
      <c r="S48">
        <f t="shared" si="10"/>
        <v>41.67313470630689</v>
      </c>
      <c r="T48">
        <f>Q48-'"0" цикл 24.06'!Q47</f>
        <v>-679.73549340328032</v>
      </c>
      <c r="U48">
        <f>R48-'"0" цикл 24.06'!R47</f>
        <v>-947.38250241815444</v>
      </c>
      <c r="V48">
        <f t="shared" si="11"/>
        <v>1166.0076958923921</v>
      </c>
      <c r="W48">
        <f t="shared" si="12"/>
        <v>234.34101762616018</v>
      </c>
      <c r="X48">
        <f t="shared" si="13"/>
        <v>234.34101762616018</v>
      </c>
    </row>
    <row r="49" spans="1:24" x14ac:dyDescent="0.45">
      <c r="A49">
        <v>22.5</v>
      </c>
      <c r="B49">
        <v>-166</v>
      </c>
      <c r="C49">
        <v>158</v>
      </c>
      <c r="D49">
        <v>166</v>
      </c>
      <c r="E49">
        <v>-162</v>
      </c>
      <c r="F49">
        <f t="shared" si="0"/>
        <v>-162</v>
      </c>
      <c r="G49">
        <f t="shared" si="1"/>
        <v>164</v>
      </c>
      <c r="H49">
        <f t="shared" si="14"/>
        <v>-8.1000885761151904E-3</v>
      </c>
      <c r="I49">
        <f t="shared" si="14"/>
        <v>8.2000918974473262E-3</v>
      </c>
      <c r="J49">
        <f t="shared" si="15"/>
        <v>-4.0499999999999998E-3</v>
      </c>
      <c r="K49">
        <f t="shared" si="15"/>
        <v>4.0999999999999995E-3</v>
      </c>
      <c r="L49">
        <f t="shared" si="16"/>
        <v>-2.9149999999999999E-2</v>
      </c>
      <c r="M49">
        <f t="shared" si="16"/>
        <v>2.1087499999999999E-2</v>
      </c>
      <c r="N49">
        <f t="shared" si="5"/>
        <v>3.5977842573589651E-2</v>
      </c>
      <c r="O49">
        <f t="shared" si="6"/>
        <v>324.11751958720993</v>
      </c>
      <c r="P49">
        <f t="shared" si="7"/>
        <v>144.11751958720993</v>
      </c>
      <c r="Q49">
        <f t="shared" si="8"/>
        <v>-29.150000000000009</v>
      </c>
      <c r="R49">
        <f t="shared" si="9"/>
        <v>21.087499999999984</v>
      </c>
      <c r="S49">
        <f t="shared" si="10"/>
        <v>35.977842573589648</v>
      </c>
      <c r="T49">
        <f>Q49-'"0" цикл 24.06'!Q48</f>
        <v>-676.44349930334158</v>
      </c>
      <c r="U49">
        <f>R49-'"0" цикл 24.06'!R48</f>
        <v>-951.6911269870742</v>
      </c>
      <c r="V49">
        <f t="shared" si="11"/>
        <v>1167.6008774130298</v>
      </c>
      <c r="W49">
        <f t="shared" si="12"/>
        <v>234.59552730260265</v>
      </c>
      <c r="X49">
        <f t="shared" si="13"/>
        <v>234.59552730260265</v>
      </c>
    </row>
    <row r="50" spans="1:24" x14ac:dyDescent="0.45">
      <c r="A50">
        <v>23</v>
      </c>
      <c r="B50">
        <v>-184</v>
      </c>
      <c r="C50">
        <v>189</v>
      </c>
      <c r="D50">
        <v>148</v>
      </c>
      <c r="E50">
        <v>-138</v>
      </c>
      <c r="F50">
        <f t="shared" si="0"/>
        <v>-186.5</v>
      </c>
      <c r="G50">
        <f t="shared" si="1"/>
        <v>143</v>
      </c>
      <c r="H50">
        <f t="shared" si="14"/>
        <v>-9.3251351488222983E-3</v>
      </c>
      <c r="I50">
        <f t="shared" si="14"/>
        <v>7.1500609223807037E-3</v>
      </c>
      <c r="J50">
        <f t="shared" si="15"/>
        <v>-4.6625E-3</v>
      </c>
      <c r="K50">
        <f t="shared" si="15"/>
        <v>3.5749999999999996E-3</v>
      </c>
      <c r="L50">
        <f t="shared" si="16"/>
        <v>-2.4487499999999999E-2</v>
      </c>
      <c r="M50">
        <f t="shared" si="16"/>
        <v>1.75125E-2</v>
      </c>
      <c r="N50">
        <f t="shared" si="5"/>
        <v>3.0105237293534159E-2</v>
      </c>
      <c r="O50">
        <f t="shared" si="6"/>
        <v>324.42913612455857</v>
      </c>
      <c r="P50">
        <f t="shared" si="7"/>
        <v>144.42913612455857</v>
      </c>
      <c r="Q50">
        <f t="shared" si="8"/>
        <v>-24.487500000000008</v>
      </c>
      <c r="R50">
        <f t="shared" si="9"/>
        <v>17.512499999999989</v>
      </c>
      <c r="S50">
        <f t="shared" si="10"/>
        <v>30.105237293534159</v>
      </c>
      <c r="T50">
        <f>Q50-'"0" цикл 24.06'!Q49</f>
        <v>-671.34515185922078</v>
      </c>
      <c r="U50">
        <f>R50-'"0" цикл 24.06'!R49</f>
        <v>-953.93582457770253</v>
      </c>
      <c r="V50">
        <f t="shared" si="11"/>
        <v>1166.4895500336131</v>
      </c>
      <c r="W50">
        <f t="shared" si="12"/>
        <v>234.86351814658275</v>
      </c>
      <c r="X50">
        <f t="shared" si="13"/>
        <v>234.86351814658275</v>
      </c>
    </row>
    <row r="51" spans="1:24" x14ac:dyDescent="0.45">
      <c r="A51">
        <v>23.5</v>
      </c>
      <c r="B51">
        <v>-198</v>
      </c>
      <c r="C51">
        <v>191</v>
      </c>
      <c r="D51">
        <v>147</v>
      </c>
      <c r="E51">
        <v>-138</v>
      </c>
      <c r="F51">
        <f t="shared" si="0"/>
        <v>-194.5</v>
      </c>
      <c r="G51">
        <f t="shared" si="1"/>
        <v>142.5</v>
      </c>
      <c r="H51">
        <f t="shared" si="14"/>
        <v>-9.725153297849818E-3</v>
      </c>
      <c r="I51">
        <f t="shared" si="14"/>
        <v>7.1250602855568923E-3</v>
      </c>
      <c r="J51">
        <f t="shared" si="15"/>
        <v>-4.8624999999999996E-3</v>
      </c>
      <c r="K51">
        <f t="shared" si="15"/>
        <v>3.5624999999999997E-3</v>
      </c>
      <c r="L51">
        <f t="shared" si="16"/>
        <v>-1.9625E-2</v>
      </c>
      <c r="M51">
        <f t="shared" si="16"/>
        <v>1.3950000000000001E-2</v>
      </c>
      <c r="N51">
        <f t="shared" si="5"/>
        <v>2.4077855490055589E-2</v>
      </c>
      <c r="O51">
        <f t="shared" si="6"/>
        <v>324.59371845453381</v>
      </c>
      <c r="P51">
        <f t="shared" si="7"/>
        <v>144.59371845453381</v>
      </c>
      <c r="Q51">
        <f t="shared" si="8"/>
        <v>-19.624999999999996</v>
      </c>
      <c r="R51">
        <f t="shared" si="9"/>
        <v>13.950000000000008</v>
      </c>
      <c r="S51">
        <f t="shared" si="10"/>
        <v>24.07785549005559</v>
      </c>
      <c r="T51">
        <f>Q51-'"0" цикл 24.06'!Q50</f>
        <v>-662.92790669226497</v>
      </c>
      <c r="U51">
        <f>R51-'"0" цикл 24.06'!R50</f>
        <v>-951.65794745316384</v>
      </c>
      <c r="V51">
        <f t="shared" si="11"/>
        <v>1159.7957830679318</v>
      </c>
      <c r="W51">
        <f t="shared" si="12"/>
        <v>235.13880997358075</v>
      </c>
      <c r="X51">
        <f t="shared" si="13"/>
        <v>235.13880997358075</v>
      </c>
    </row>
    <row r="52" spans="1:24" x14ac:dyDescent="0.45">
      <c r="A52">
        <v>24</v>
      </c>
      <c r="B52">
        <v>-244</v>
      </c>
      <c r="C52">
        <v>237</v>
      </c>
      <c r="D52">
        <v>166</v>
      </c>
      <c r="E52">
        <v>-159</v>
      </c>
      <c r="F52">
        <f t="shared" si="0"/>
        <v>-240.5</v>
      </c>
      <c r="G52">
        <f t="shared" si="1"/>
        <v>162.5</v>
      </c>
      <c r="H52">
        <f t="shared" si="14"/>
        <v>-1.202528982261184E-2</v>
      </c>
      <c r="I52">
        <f t="shared" si="14"/>
        <v>8.1250893988146517E-3</v>
      </c>
      <c r="J52">
        <f t="shared" si="15"/>
        <v>-6.0125000000000005E-3</v>
      </c>
      <c r="K52">
        <f t="shared" si="15"/>
        <v>4.0624999999999993E-3</v>
      </c>
      <c r="L52">
        <f t="shared" si="16"/>
        <v>-1.36125E-2</v>
      </c>
      <c r="M52">
        <f t="shared" si="16"/>
        <v>9.8875000000000005E-3</v>
      </c>
      <c r="N52">
        <f t="shared" si="5"/>
        <v>1.6824470645461626E-2</v>
      </c>
      <c r="O52">
        <f t="shared" si="6"/>
        <v>324.00705352803323</v>
      </c>
      <c r="P52">
        <f t="shared" si="7"/>
        <v>144.00705352803323</v>
      </c>
      <c r="Q52">
        <f t="shared" si="8"/>
        <v>-13.612499999999999</v>
      </c>
      <c r="R52">
        <f t="shared" si="9"/>
        <v>9.8874999999999993</v>
      </c>
      <c r="S52">
        <f t="shared" si="10"/>
        <v>16.824470645461627</v>
      </c>
      <c r="T52">
        <f>Q52-'"0" цикл 24.06'!Q51</f>
        <v>-648.83500522879285</v>
      </c>
      <c r="U52">
        <f>R52-'"0" цикл 24.06'!R51</f>
        <v>-943.61261345768162</v>
      </c>
      <c r="V52">
        <f t="shared" si="11"/>
        <v>1145.160088497099</v>
      </c>
      <c r="W52">
        <f t="shared" si="12"/>
        <v>235.48729910618209</v>
      </c>
      <c r="X52">
        <f t="shared" si="13"/>
        <v>235.48729910618209</v>
      </c>
    </row>
    <row r="53" spans="1:24" x14ac:dyDescent="0.45">
      <c r="A53">
        <v>24.5</v>
      </c>
      <c r="B53">
        <v>-271</v>
      </c>
      <c r="C53">
        <v>266</v>
      </c>
      <c r="D53">
        <v>195</v>
      </c>
      <c r="E53">
        <v>-187</v>
      </c>
      <c r="F53">
        <f t="shared" si="0"/>
        <v>-268.5</v>
      </c>
      <c r="G53">
        <f t="shared" si="1"/>
        <v>191</v>
      </c>
      <c r="H53">
        <f t="shared" ref="H53:I54" si="17">ASIN(F53/20000)</f>
        <v>-1.3425403298733346E-2</v>
      </c>
      <c r="I53">
        <f t="shared" si="17"/>
        <v>9.5501451699371836E-3</v>
      </c>
      <c r="J53">
        <f t="shared" ref="J53:K54" si="18">0.5*SIN(H53)</f>
        <v>-6.7124999999999997E-3</v>
      </c>
      <c r="K53">
        <f t="shared" si="18"/>
        <v>4.7750000000000006E-3</v>
      </c>
      <c r="L53">
        <f t="shared" ref="L53:M54" si="19">J54+L54</f>
        <v>-6.899999999999999E-3</v>
      </c>
      <c r="M53">
        <f t="shared" si="19"/>
        <v>5.1124999999999999E-3</v>
      </c>
      <c r="N53">
        <f t="shared" si="5"/>
        <v>8.5876455591739464E-3</v>
      </c>
      <c r="O53">
        <f t="shared" si="6"/>
        <v>323.46369846521151</v>
      </c>
      <c r="P53">
        <f t="shared" si="7"/>
        <v>143.46369846521151</v>
      </c>
      <c r="Q53">
        <f t="shared" si="8"/>
        <v>-6.8999999999999995</v>
      </c>
      <c r="R53">
        <f t="shared" si="9"/>
        <v>5.1125000000000025</v>
      </c>
      <c r="S53">
        <f t="shared" si="10"/>
        <v>8.5876455591739465</v>
      </c>
      <c r="T53">
        <f>Q53-'"0" цикл 24.06'!Q52</f>
        <v>-630.19176697729188</v>
      </c>
      <c r="U53">
        <f>R53-'"0" цикл 24.06'!R52</f>
        <v>-930.92852566861643</v>
      </c>
      <c r="V53">
        <f t="shared" si="11"/>
        <v>1124.1750678028334</v>
      </c>
      <c r="W53">
        <f t="shared" si="12"/>
        <v>235.90397680883245</v>
      </c>
      <c r="X53">
        <f t="shared" si="13"/>
        <v>235.90397680883245</v>
      </c>
    </row>
    <row r="54" spans="1:24" x14ac:dyDescent="0.45">
      <c r="A54">
        <v>25</v>
      </c>
      <c r="B54">
        <v>-281</v>
      </c>
      <c r="C54">
        <v>271</v>
      </c>
      <c r="D54">
        <v>208</v>
      </c>
      <c r="E54">
        <v>-201</v>
      </c>
      <c r="F54">
        <f t="shared" si="0"/>
        <v>-276</v>
      </c>
      <c r="G54">
        <f t="shared" si="1"/>
        <v>204.5</v>
      </c>
      <c r="H54">
        <f t="shared" si="17"/>
        <v>-1.3800438049541007E-2</v>
      </c>
      <c r="I54">
        <f t="shared" si="17"/>
        <v>1.0225178180073208E-2</v>
      </c>
      <c r="J54">
        <f t="shared" si="18"/>
        <v>-6.899999999999999E-3</v>
      </c>
      <c r="K54">
        <f t="shared" si="18"/>
        <v>5.1124999999999999E-3</v>
      </c>
      <c r="L54">
        <f t="shared" si="19"/>
        <v>0</v>
      </c>
      <c r="M54">
        <f t="shared" si="19"/>
        <v>0</v>
      </c>
      <c r="N54">
        <f t="shared" si="5"/>
        <v>0</v>
      </c>
      <c r="O54">
        <v>0</v>
      </c>
      <c r="P54">
        <v>0</v>
      </c>
      <c r="Q54">
        <f t="shared" si="8"/>
        <v>0</v>
      </c>
      <c r="R54">
        <f t="shared" si="9"/>
        <v>0</v>
      </c>
      <c r="S54">
        <f t="shared" si="10"/>
        <v>0</v>
      </c>
      <c r="T54">
        <f>Q54-'"0" цикл 24.06'!Q53</f>
        <v>-609.23571912388809</v>
      </c>
      <c r="U54">
        <f>R54-'"0" цикл 24.06'!R53</f>
        <v>-915.46942750717574</v>
      </c>
      <c r="V54">
        <f t="shared" si="11"/>
        <v>1099.660144843268</v>
      </c>
      <c r="W54">
        <f t="shared" si="12"/>
        <v>236.35663315793096</v>
      </c>
      <c r="X54">
        <f t="shared" si="13"/>
        <v>236.35663315793096</v>
      </c>
    </row>
  </sheetData>
  <mergeCells count="1">
    <mergeCell ref="B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54"/>
  <sheetViews>
    <sheetView zoomScale="70" zoomScaleNormal="70" workbookViewId="0">
      <selection activeCell="B3" sqref="B3:E54"/>
    </sheetView>
  </sheetViews>
  <sheetFormatPr defaultRowHeight="14.25" x14ac:dyDescent="0.45"/>
  <sheetData>
    <row r="1" spans="1:24" x14ac:dyDescent="0.45">
      <c r="B1" s="57" t="s">
        <v>0</v>
      </c>
      <c r="C1" s="57"/>
      <c r="D1" s="57"/>
      <c r="E1" s="57"/>
      <c r="H1" t="s">
        <v>97</v>
      </c>
      <c r="L1" s="1"/>
      <c r="M1" s="1"/>
      <c r="O1" t="s">
        <v>1</v>
      </c>
      <c r="P1" s="4">
        <v>180</v>
      </c>
    </row>
    <row r="2" spans="1:24" x14ac:dyDescent="0.45">
      <c r="A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t="s">
        <v>7</v>
      </c>
      <c r="G2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Q2" t="s">
        <v>17</v>
      </c>
      <c r="R2" t="s">
        <v>18</v>
      </c>
      <c r="S2" s="1" t="s">
        <v>15</v>
      </c>
      <c r="T2" s="1" t="s">
        <v>19</v>
      </c>
      <c r="U2" s="1" t="s">
        <v>20</v>
      </c>
      <c r="V2" s="1" t="s">
        <v>21</v>
      </c>
      <c r="W2" s="1"/>
      <c r="X2" s="1" t="s">
        <v>22</v>
      </c>
    </row>
    <row r="3" spans="1:24" x14ac:dyDescent="0.45">
      <c r="A3">
        <v>-0.5</v>
      </c>
      <c r="B3">
        <v>-293</v>
      </c>
      <c r="C3">
        <v>280</v>
      </c>
      <c r="D3">
        <v>-8</v>
      </c>
      <c r="E3">
        <v>9</v>
      </c>
      <c r="F3">
        <f>(B3-C3)/2</f>
        <v>-286.5</v>
      </c>
      <c r="G3">
        <f>(D3-E3)/2</f>
        <v>-8.5</v>
      </c>
      <c r="H3">
        <f>ASIN(F3/20000)</f>
        <v>-1.4325489973676445E-2</v>
      </c>
      <c r="I3">
        <f>ASIN(G3/20000)</f>
        <v>-4.2500001279427186E-4</v>
      </c>
      <c r="J3">
        <f>0.5*SIN(H3)</f>
        <v>-7.1624999999999996E-3</v>
      </c>
      <c r="K3">
        <f>0.5*SIN(I3)</f>
        <v>-2.1249999999999999E-4</v>
      </c>
      <c r="L3">
        <f>J4+L4</f>
        <v>-6.1100000000000002E-2</v>
      </c>
      <c r="M3">
        <f>K4+M4</f>
        <v>-9.5649999999999999E-2</v>
      </c>
      <c r="N3">
        <f>SQRT(L3^2+M3^2)</f>
        <v>0.11349948237767431</v>
      </c>
      <c r="O3">
        <f>IF(L3&gt;=0,180-DEGREES(ASIN(-M3/N3)),IF(M3&lt;0,DEGREES(ASIN(-M3/N3)),360-DEGREES(ASIN(M3/N3))))</f>
        <v>57.430078720975303</v>
      </c>
      <c r="P3">
        <f>IF((O3+$P$1)&lt;=360,O3+$P$1,O3+$P$1-360)</f>
        <v>237.4300787209753</v>
      </c>
      <c r="Q3">
        <f>1000*N3*COS(RADIANS(P3))</f>
        <v>-61.100000000000037</v>
      </c>
      <c r="R3">
        <f>1000*N3*SIN(RADIANS(P3))</f>
        <v>-95.649999999999991</v>
      </c>
      <c r="S3">
        <f>N3*1000</f>
        <v>113.49948237767431</v>
      </c>
      <c r="T3" t="e">
        <f>Q3-'"0" цикл 24.06'!#REF!</f>
        <v>#REF!</v>
      </c>
      <c r="U3" t="e">
        <f>R3-'"0" цикл 24.06'!#REF!</f>
        <v>#REF!</v>
      </c>
      <c r="V3" t="e">
        <f>SQRT(T3^2+U3^2)</f>
        <v>#REF!</v>
      </c>
      <c r="W3" t="e">
        <f>IF(V3=0,0,IF(T3&gt;=0,DEGREES(ASIN(U3/V3)),(180-DEGREES(ASIN(U3/V3)))))</f>
        <v>#REF!</v>
      </c>
      <c r="X3" t="e">
        <f>IF(W3&lt;0,360+W3,W3)</f>
        <v>#REF!</v>
      </c>
    </row>
    <row r="4" spans="1:24" x14ac:dyDescent="0.45">
      <c r="A4">
        <v>0</v>
      </c>
      <c r="B4">
        <v>-281</v>
      </c>
      <c r="C4">
        <v>274</v>
      </c>
      <c r="D4">
        <v>3</v>
      </c>
      <c r="E4">
        <v>1</v>
      </c>
      <c r="F4">
        <f t="shared" ref="F4:F54" si="0">(B4-C4)/2</f>
        <v>-277.5</v>
      </c>
      <c r="G4">
        <f t="shared" ref="G4:G54" si="1">(D4-E4)/2</f>
        <v>1</v>
      </c>
      <c r="H4">
        <f t="shared" ref="H4:I19" si="2">ASIN(F4/20000)</f>
        <v>-1.3875445230955154E-2</v>
      </c>
      <c r="I4">
        <f t="shared" si="2"/>
        <v>5.000000002083334E-5</v>
      </c>
      <c r="J4">
        <f t="shared" ref="J4:K19" si="3">0.5*SIN(H4)</f>
        <v>-6.937500000000001E-3</v>
      </c>
      <c r="K4">
        <f t="shared" si="3"/>
        <v>2.5000000000000005E-5</v>
      </c>
      <c r="L4">
        <f t="shared" ref="L4:M19" si="4">J5+L5</f>
        <v>-5.4162500000000002E-2</v>
      </c>
      <c r="M4">
        <f t="shared" si="4"/>
        <v>-9.5674999999999996E-2</v>
      </c>
      <c r="N4">
        <f t="shared" ref="N4:N54" si="5">SQRT(L4^2+M4^2)</f>
        <v>0.1099421758528091</v>
      </c>
      <c r="O4">
        <f t="shared" ref="O4:O53" si="6">IF(L4&gt;=0,180-DEGREES(ASIN(-M4/N4)),IF(M4&lt;0,DEGREES(ASIN(-M4/N4)),360-DEGREES(ASIN(M4/N4))))</f>
        <v>60.48539947072576</v>
      </c>
      <c r="P4">
        <f t="shared" ref="P4:P53" si="7">IF((O4+$P$1)&lt;=360,O4+$P$1,O4+$P$1-360)</f>
        <v>240.48539947072575</v>
      </c>
      <c r="Q4">
        <f t="shared" ref="Q4:Q54" si="8">1000*N4*COS(RADIANS(P4))</f>
        <v>-54.162500000000037</v>
      </c>
      <c r="R4">
        <f t="shared" ref="R4:R54" si="9">1000*N4*SIN(RADIANS(P4))</f>
        <v>-95.674999999999983</v>
      </c>
      <c r="S4">
        <f t="shared" ref="S4:S54" si="10">N4*1000</f>
        <v>109.9421758528091</v>
      </c>
      <c r="T4">
        <f>Q4-'"0" цикл 24.06'!Q3</f>
        <v>-640.86390040642164</v>
      </c>
      <c r="U4">
        <f>R4-'"0" цикл 24.06'!R3</f>
        <v>-1018.6794502990845</v>
      </c>
      <c r="V4">
        <f t="shared" ref="V4:V54" si="11">SQRT(T4^2+U4^2)</f>
        <v>1203.5008771520595</v>
      </c>
      <c r="W4">
        <f t="shared" ref="W4:W54" si="12">IF(V4=0,0,IF(T4&gt;=0,DEGREES(ASIN(U4/V4)),(180-DEGREES(ASIN(U4/V4)))))</f>
        <v>237.82549191685914</v>
      </c>
      <c r="X4">
        <f t="shared" ref="X4:X54" si="13">IF(W4&lt;0,360+W4,W4)</f>
        <v>237.82549191685914</v>
      </c>
    </row>
    <row r="5" spans="1:24" x14ac:dyDescent="0.45">
      <c r="A5">
        <v>0.5</v>
      </c>
      <c r="B5">
        <v>-224</v>
      </c>
      <c r="C5">
        <v>219</v>
      </c>
      <c r="D5">
        <v>-2</v>
      </c>
      <c r="E5">
        <v>9</v>
      </c>
      <c r="F5">
        <f t="shared" si="0"/>
        <v>-221.5</v>
      </c>
      <c r="G5">
        <f t="shared" si="1"/>
        <v>-5.5</v>
      </c>
      <c r="H5">
        <f t="shared" si="2"/>
        <v>-1.1075226414338314E-2</v>
      </c>
      <c r="I5">
        <f t="shared" si="2"/>
        <v>-2.7500000346614595E-4</v>
      </c>
      <c r="J5">
        <f t="shared" si="3"/>
        <v>-5.5374999999999999E-3</v>
      </c>
      <c r="K5">
        <f t="shared" si="3"/>
        <v>-1.3750000000000001E-4</v>
      </c>
      <c r="L5">
        <f t="shared" si="4"/>
        <v>-4.8625000000000002E-2</v>
      </c>
      <c r="M5">
        <f t="shared" si="4"/>
        <v>-9.5537499999999997E-2</v>
      </c>
      <c r="N5">
        <f t="shared" si="5"/>
        <v>0.10719983456726974</v>
      </c>
      <c r="O5">
        <f t="shared" si="6"/>
        <v>63.025614850956266</v>
      </c>
      <c r="P5">
        <f t="shared" si="7"/>
        <v>243.02561485095626</v>
      </c>
      <c r="Q5">
        <f t="shared" si="8"/>
        <v>-48.625000000000057</v>
      </c>
      <c r="R5">
        <f t="shared" si="9"/>
        <v>-95.537499999999966</v>
      </c>
      <c r="S5">
        <f t="shared" si="10"/>
        <v>107.19983456726973</v>
      </c>
      <c r="T5">
        <f>Q5-'"0" цикл 24.06'!Q4</f>
        <v>-640.84601325564472</v>
      </c>
      <c r="U5">
        <f>R5-'"0" цикл 24.06'!R4</f>
        <v>-1025.5100918660746</v>
      </c>
      <c r="V5">
        <f t="shared" si="11"/>
        <v>1209.2785292168296</v>
      </c>
      <c r="W5">
        <f t="shared" si="12"/>
        <v>237.99854599248283</v>
      </c>
      <c r="X5">
        <f t="shared" si="13"/>
        <v>237.99854599248283</v>
      </c>
    </row>
    <row r="6" spans="1:24" x14ac:dyDescent="0.45">
      <c r="A6">
        <v>1</v>
      </c>
      <c r="B6">
        <v>-130</v>
      </c>
      <c r="C6">
        <v>140</v>
      </c>
      <c r="D6">
        <v>-21</v>
      </c>
      <c r="E6">
        <v>29</v>
      </c>
      <c r="F6">
        <f t="shared" si="0"/>
        <v>-135</v>
      </c>
      <c r="G6">
        <f t="shared" si="1"/>
        <v>-25</v>
      </c>
      <c r="H6">
        <f t="shared" si="2"/>
        <v>-6.7500512588634732E-3</v>
      </c>
      <c r="I6">
        <f t="shared" si="2"/>
        <v>-1.2500003255210622E-3</v>
      </c>
      <c r="J6">
        <f t="shared" si="3"/>
        <v>-3.3749999999999995E-3</v>
      </c>
      <c r="K6">
        <f t="shared" si="3"/>
        <v>-6.2500000000000001E-4</v>
      </c>
      <c r="L6">
        <f t="shared" si="4"/>
        <v>-4.5250000000000005E-2</v>
      </c>
      <c r="M6">
        <f t="shared" si="4"/>
        <v>-9.4912499999999997E-2</v>
      </c>
      <c r="N6">
        <f t="shared" si="5"/>
        <v>0.10514725463011386</v>
      </c>
      <c r="O6">
        <f t="shared" si="6"/>
        <v>64.510298992691986</v>
      </c>
      <c r="P6">
        <f t="shared" si="7"/>
        <v>244.51029899269199</v>
      </c>
      <c r="Q6">
        <f t="shared" si="8"/>
        <v>-45.250000000000007</v>
      </c>
      <c r="R6">
        <f t="shared" si="9"/>
        <v>-94.912499999999994</v>
      </c>
      <c r="S6">
        <f t="shared" si="10"/>
        <v>105.14725463011386</v>
      </c>
      <c r="T6">
        <f>Q6-'"0" цикл 24.06'!Q5</f>
        <v>-644.93686649094184</v>
      </c>
      <c r="U6">
        <f>R6-'"0" цикл 24.06'!R5</f>
        <v>-1034.7496572864084</v>
      </c>
      <c r="V6">
        <f t="shared" si="11"/>
        <v>1219.2827461313043</v>
      </c>
      <c r="W6">
        <f t="shared" si="12"/>
        <v>238.06561385747818</v>
      </c>
      <c r="X6">
        <f t="shared" si="13"/>
        <v>238.06561385747818</v>
      </c>
    </row>
    <row r="7" spans="1:24" x14ac:dyDescent="0.45">
      <c r="A7">
        <v>1.5</v>
      </c>
      <c r="B7">
        <v>-34</v>
      </c>
      <c r="C7">
        <v>18</v>
      </c>
      <c r="D7">
        <v>-119</v>
      </c>
      <c r="E7">
        <v>130</v>
      </c>
      <c r="F7">
        <f t="shared" si="0"/>
        <v>-26</v>
      </c>
      <c r="G7">
        <f t="shared" si="1"/>
        <v>-124.5</v>
      </c>
      <c r="H7">
        <f t="shared" si="2"/>
        <v>-1.300000366166945E-3</v>
      </c>
      <c r="I7">
        <f t="shared" si="2"/>
        <v>-6.2250402044745174E-3</v>
      </c>
      <c r="J7">
        <f t="shared" si="3"/>
        <v>-6.4999999999999997E-4</v>
      </c>
      <c r="K7">
        <f t="shared" si="3"/>
        <v>-3.1124999999999994E-3</v>
      </c>
      <c r="L7">
        <f t="shared" si="4"/>
        <v>-4.4600000000000008E-2</v>
      </c>
      <c r="M7">
        <f t="shared" si="4"/>
        <v>-9.1799999999999993E-2</v>
      </c>
      <c r="N7">
        <f t="shared" si="5"/>
        <v>0.10206076621307524</v>
      </c>
      <c r="O7">
        <f t="shared" si="6"/>
        <v>64.087720870417201</v>
      </c>
      <c r="P7">
        <f t="shared" si="7"/>
        <v>244.0877208704172</v>
      </c>
      <c r="Q7">
        <f t="shared" si="8"/>
        <v>-44.600000000000023</v>
      </c>
      <c r="R7">
        <f t="shared" si="9"/>
        <v>-91.799999999999983</v>
      </c>
      <c r="S7">
        <f t="shared" si="10"/>
        <v>102.06076621307524</v>
      </c>
      <c r="T7">
        <f>Q7-'"0" цикл 24.06'!Q6</f>
        <v>-650.09092552533082</v>
      </c>
      <c r="U7">
        <f>R7-'"0" цикл 24.06'!R6</f>
        <v>-1038.8752946105044</v>
      </c>
      <c r="V7">
        <f t="shared" si="11"/>
        <v>1225.5121742367326</v>
      </c>
      <c r="W7">
        <f t="shared" si="12"/>
        <v>237.96314311911146</v>
      </c>
      <c r="X7">
        <f t="shared" si="13"/>
        <v>237.96314311911146</v>
      </c>
    </row>
    <row r="8" spans="1:24" x14ac:dyDescent="0.45">
      <c r="A8">
        <v>2</v>
      </c>
      <c r="B8">
        <v>-24</v>
      </c>
      <c r="C8">
        <v>30</v>
      </c>
      <c r="D8">
        <v>-212</v>
      </c>
      <c r="E8">
        <v>218</v>
      </c>
      <c r="F8">
        <f t="shared" si="0"/>
        <v>-27</v>
      </c>
      <c r="G8">
        <f t="shared" si="1"/>
        <v>-215</v>
      </c>
      <c r="H8">
        <f t="shared" si="2"/>
        <v>-1.3500004100628364E-3</v>
      </c>
      <c r="I8">
        <f t="shared" si="2"/>
        <v>-1.0750207060247126E-2</v>
      </c>
      <c r="J8">
        <f t="shared" si="3"/>
        <v>-6.7500000000000004E-4</v>
      </c>
      <c r="K8">
        <f t="shared" si="3"/>
        <v>-5.3749999999999996E-3</v>
      </c>
      <c r="L8">
        <f t="shared" si="4"/>
        <v>-4.3925000000000006E-2</v>
      </c>
      <c r="M8">
        <f t="shared" si="4"/>
        <v>-8.6424999999999988E-2</v>
      </c>
      <c r="N8">
        <f t="shared" si="5"/>
        <v>9.6946821763273905E-2</v>
      </c>
      <c r="O8">
        <f t="shared" si="6"/>
        <v>63.058312634331202</v>
      </c>
      <c r="P8">
        <f t="shared" si="7"/>
        <v>243.0583126343312</v>
      </c>
      <c r="Q8">
        <f t="shared" si="8"/>
        <v>-43.925000000000026</v>
      </c>
      <c r="R8">
        <f t="shared" si="9"/>
        <v>-86.424999999999983</v>
      </c>
      <c r="S8">
        <f t="shared" si="10"/>
        <v>96.946821763273903</v>
      </c>
      <c r="T8">
        <f>Q8-'"0" цикл 24.06'!Q7</f>
        <v>-652.67906204496592</v>
      </c>
      <c r="U8">
        <f>R8-'"0" цикл 24.06'!R7</f>
        <v>-1037.3134047777417</v>
      </c>
      <c r="V8">
        <f t="shared" si="11"/>
        <v>1225.5647913364219</v>
      </c>
      <c r="W8">
        <f t="shared" si="12"/>
        <v>237.82183914050762</v>
      </c>
      <c r="X8">
        <f t="shared" si="13"/>
        <v>237.82183914050762</v>
      </c>
    </row>
    <row r="9" spans="1:24" x14ac:dyDescent="0.45">
      <c r="A9">
        <v>2.5</v>
      </c>
      <c r="B9">
        <v>18</v>
      </c>
      <c r="C9">
        <v>-13</v>
      </c>
      <c r="D9">
        <v>-267</v>
      </c>
      <c r="E9">
        <v>274</v>
      </c>
      <c r="F9">
        <f t="shared" si="0"/>
        <v>15.5</v>
      </c>
      <c r="G9">
        <f t="shared" si="1"/>
        <v>-270.5</v>
      </c>
      <c r="H9">
        <f t="shared" si="2"/>
        <v>7.7500007758075007E-4</v>
      </c>
      <c r="I9">
        <f t="shared" si="2"/>
        <v>-1.3525412378792848E-2</v>
      </c>
      <c r="J9">
        <f t="shared" si="3"/>
        <v>3.8749999999999999E-4</v>
      </c>
      <c r="K9">
        <f t="shared" si="3"/>
        <v>-6.7625000000000003E-3</v>
      </c>
      <c r="L9">
        <f t="shared" si="4"/>
        <v>-4.4312500000000005E-2</v>
      </c>
      <c r="M9">
        <f t="shared" si="4"/>
        <v>-7.9662499999999983E-2</v>
      </c>
      <c r="N9">
        <f t="shared" si="5"/>
        <v>9.1157619333218656E-2</v>
      </c>
      <c r="O9">
        <f t="shared" si="6"/>
        <v>60.914871528054533</v>
      </c>
      <c r="P9">
        <f t="shared" si="7"/>
        <v>240.91487152805453</v>
      </c>
      <c r="Q9">
        <f t="shared" si="8"/>
        <v>-44.312500000000021</v>
      </c>
      <c r="R9">
        <f t="shared" si="9"/>
        <v>-79.662499999999994</v>
      </c>
      <c r="S9">
        <f t="shared" si="10"/>
        <v>91.157619333218662</v>
      </c>
      <c r="T9">
        <f>Q9-'"0" цикл 24.06'!Q8</f>
        <v>-654.96945114973312</v>
      </c>
      <c r="U9">
        <f>R9-'"0" цикл 24.06'!R8</f>
        <v>-1032.3451438267209</v>
      </c>
      <c r="V9">
        <f t="shared" si="11"/>
        <v>1222.5880246109054</v>
      </c>
      <c r="W9">
        <f t="shared" si="12"/>
        <v>237.6069917737972</v>
      </c>
      <c r="X9">
        <f t="shared" si="13"/>
        <v>237.6069917737972</v>
      </c>
    </row>
    <row r="10" spans="1:24" x14ac:dyDescent="0.45">
      <c r="A10">
        <v>3</v>
      </c>
      <c r="B10">
        <v>69</v>
      </c>
      <c r="C10">
        <v>-69</v>
      </c>
      <c r="D10">
        <v>-279</v>
      </c>
      <c r="E10">
        <v>290</v>
      </c>
      <c r="F10">
        <f t="shared" si="0"/>
        <v>69</v>
      </c>
      <c r="G10">
        <f t="shared" si="1"/>
        <v>-284.5</v>
      </c>
      <c r="H10">
        <f t="shared" si="2"/>
        <v>3.4500068439741577E-3</v>
      </c>
      <c r="I10">
        <f t="shared" si="2"/>
        <v>-1.4225479783296057E-2</v>
      </c>
      <c r="J10">
        <f t="shared" si="3"/>
        <v>1.7250000000000002E-3</v>
      </c>
      <c r="K10">
        <f t="shared" si="3"/>
        <v>-7.1124999999999999E-3</v>
      </c>
      <c r="L10">
        <f t="shared" si="4"/>
        <v>-4.6037500000000002E-2</v>
      </c>
      <c r="M10">
        <f t="shared" si="4"/>
        <v>-7.2549999999999989E-2</v>
      </c>
      <c r="N10">
        <f t="shared" si="5"/>
        <v>8.5924117139776296E-2</v>
      </c>
      <c r="O10">
        <f t="shared" si="6"/>
        <v>57.602325265948608</v>
      </c>
      <c r="P10">
        <f t="shared" si="7"/>
        <v>237.60232526594859</v>
      </c>
      <c r="Q10">
        <f t="shared" si="8"/>
        <v>-46.037500000000023</v>
      </c>
      <c r="R10">
        <f t="shared" si="9"/>
        <v>-72.549999999999983</v>
      </c>
      <c r="S10">
        <f t="shared" si="10"/>
        <v>85.9241171397763</v>
      </c>
      <c r="T10">
        <f>Q10-'"0" цикл 24.06'!Q9</f>
        <v>-656.88922504119284</v>
      </c>
      <c r="U10">
        <f>R10-'"0" цикл 24.06'!R9</f>
        <v>-1024.6301128007569</v>
      </c>
      <c r="V10">
        <f t="shared" si="11"/>
        <v>1217.1155746408435</v>
      </c>
      <c r="W10">
        <f t="shared" si="12"/>
        <v>237.33611292720866</v>
      </c>
      <c r="X10">
        <f t="shared" si="13"/>
        <v>237.33611292720866</v>
      </c>
    </row>
    <row r="11" spans="1:24" x14ac:dyDescent="0.45">
      <c r="A11">
        <v>3.5</v>
      </c>
      <c r="B11">
        <v>107</v>
      </c>
      <c r="C11">
        <v>-111</v>
      </c>
      <c r="D11">
        <v>-294</v>
      </c>
      <c r="E11">
        <v>302</v>
      </c>
      <c r="F11">
        <f t="shared" si="0"/>
        <v>109</v>
      </c>
      <c r="G11">
        <f t="shared" si="1"/>
        <v>-298</v>
      </c>
      <c r="H11">
        <f t="shared" si="2"/>
        <v>5.4500269801314553E-3</v>
      </c>
      <c r="I11">
        <f t="shared" si="2"/>
        <v>-1.4900551379920447E-2</v>
      </c>
      <c r="J11">
        <f t="shared" si="3"/>
        <v>2.7250000000000004E-3</v>
      </c>
      <c r="K11">
        <f t="shared" si="3"/>
        <v>-7.4500000000000009E-3</v>
      </c>
      <c r="L11">
        <f t="shared" si="4"/>
        <v>-4.87625E-2</v>
      </c>
      <c r="M11">
        <f t="shared" si="4"/>
        <v>-6.5099999999999991E-2</v>
      </c>
      <c r="N11">
        <f t="shared" si="5"/>
        <v>8.1337515368063704E-2</v>
      </c>
      <c r="O11">
        <f t="shared" si="6"/>
        <v>53.165323360638865</v>
      </c>
      <c r="P11">
        <f t="shared" si="7"/>
        <v>233.16532336063887</v>
      </c>
      <c r="Q11">
        <f t="shared" si="8"/>
        <v>-48.762499999999989</v>
      </c>
      <c r="R11">
        <f t="shared" si="9"/>
        <v>-65.099999999999994</v>
      </c>
      <c r="S11">
        <f t="shared" si="10"/>
        <v>81.337515368063706</v>
      </c>
      <c r="T11">
        <f>Q11-'"0" цикл 24.06'!Q10</f>
        <v>-657.74224258838444</v>
      </c>
      <c r="U11">
        <f>R11-'"0" цикл 24.06'!R10</f>
        <v>-1013.7435624711782</v>
      </c>
      <c r="V11">
        <f t="shared" si="11"/>
        <v>1208.4290910669738</v>
      </c>
      <c r="W11">
        <f t="shared" si="12"/>
        <v>237.02348176558723</v>
      </c>
      <c r="X11">
        <f t="shared" si="13"/>
        <v>237.02348176558723</v>
      </c>
    </row>
    <row r="12" spans="1:24" x14ac:dyDescent="0.45">
      <c r="A12">
        <v>4</v>
      </c>
      <c r="B12">
        <v>184</v>
      </c>
      <c r="C12">
        <v>-185</v>
      </c>
      <c r="D12">
        <v>-311</v>
      </c>
      <c r="E12">
        <v>319</v>
      </c>
      <c r="F12">
        <f t="shared" si="0"/>
        <v>184.5</v>
      </c>
      <c r="G12">
        <f t="shared" si="1"/>
        <v>-315</v>
      </c>
      <c r="H12">
        <f t="shared" si="2"/>
        <v>9.2251308472218307E-3</v>
      </c>
      <c r="I12">
        <f t="shared" si="2"/>
        <v>-1.5750651236761459E-2</v>
      </c>
      <c r="J12">
        <f t="shared" si="3"/>
        <v>4.6125000000000003E-3</v>
      </c>
      <c r="K12">
        <f t="shared" si="3"/>
        <v>-7.8750000000000001E-3</v>
      </c>
      <c r="L12">
        <f t="shared" si="4"/>
        <v>-5.3374999999999999E-2</v>
      </c>
      <c r="M12">
        <f t="shared" si="4"/>
        <v>-5.7224999999999984E-2</v>
      </c>
      <c r="N12">
        <f t="shared" si="5"/>
        <v>7.8253378521313685E-2</v>
      </c>
      <c r="O12">
        <f t="shared" si="6"/>
        <v>46.99366832504149</v>
      </c>
      <c r="P12">
        <f t="shared" si="7"/>
        <v>226.99366832504148</v>
      </c>
      <c r="Q12">
        <f t="shared" si="8"/>
        <v>-53.374999999999993</v>
      </c>
      <c r="R12">
        <f t="shared" si="9"/>
        <v>-57.22499999999998</v>
      </c>
      <c r="S12">
        <f t="shared" si="10"/>
        <v>78.253378521313678</v>
      </c>
      <c r="T12">
        <f>Q12-'"0" цикл 24.06'!Q11</f>
        <v>-658.45251688396445</v>
      </c>
      <c r="U12">
        <f>R12-'"0" цикл 24.06'!R11</f>
        <v>-999.79330725718125</v>
      </c>
      <c r="V12">
        <f t="shared" si="11"/>
        <v>1197.1409166121923</v>
      </c>
      <c r="W12">
        <f t="shared" si="12"/>
        <v>236.6315536214471</v>
      </c>
      <c r="X12">
        <f t="shared" si="13"/>
        <v>236.6315536214471</v>
      </c>
    </row>
    <row r="13" spans="1:24" x14ac:dyDescent="0.45">
      <c r="A13">
        <v>4.5</v>
      </c>
      <c r="B13">
        <v>232</v>
      </c>
      <c r="C13">
        <v>-238</v>
      </c>
      <c r="D13">
        <v>-283</v>
      </c>
      <c r="E13">
        <v>293</v>
      </c>
      <c r="F13">
        <f t="shared" si="0"/>
        <v>235</v>
      </c>
      <c r="G13">
        <f t="shared" si="1"/>
        <v>-288</v>
      </c>
      <c r="H13">
        <f t="shared" si="2"/>
        <v>1.1750270389194944E-2</v>
      </c>
      <c r="I13">
        <f t="shared" si="2"/>
        <v>-1.4400497710443756E-2</v>
      </c>
      <c r="J13">
        <f t="shared" si="3"/>
        <v>5.875E-3</v>
      </c>
      <c r="K13">
        <f t="shared" si="3"/>
        <v>-7.1999999999999998E-3</v>
      </c>
      <c r="L13">
        <f t="shared" si="4"/>
        <v>-5.9249999999999997E-2</v>
      </c>
      <c r="M13">
        <f t="shared" si="4"/>
        <v>-5.0024999999999986E-2</v>
      </c>
      <c r="N13">
        <f t="shared" si="5"/>
        <v>7.7543943187072958E-2</v>
      </c>
      <c r="O13">
        <f t="shared" si="6"/>
        <v>40.174529525938446</v>
      </c>
      <c r="P13">
        <f t="shared" si="7"/>
        <v>220.17452952593845</v>
      </c>
      <c r="Q13">
        <f t="shared" si="8"/>
        <v>-59.25</v>
      </c>
      <c r="R13">
        <f t="shared" si="9"/>
        <v>-50.024999999999977</v>
      </c>
      <c r="S13">
        <f t="shared" si="10"/>
        <v>77.543943187072955</v>
      </c>
      <c r="T13">
        <f>Q13-'"0" цикл 24.06'!Q12</f>
        <v>-661.3453244096861</v>
      </c>
      <c r="U13">
        <f>R13-'"0" цикл 24.06'!R12</f>
        <v>-987.4513849983249</v>
      </c>
      <c r="V13">
        <f t="shared" si="11"/>
        <v>1188.4602962882955</v>
      </c>
      <c r="W13">
        <f t="shared" si="12"/>
        <v>236.18781164910837</v>
      </c>
      <c r="X13">
        <f t="shared" si="13"/>
        <v>236.18781164910837</v>
      </c>
    </row>
    <row r="14" spans="1:24" x14ac:dyDescent="0.45">
      <c r="A14">
        <v>5</v>
      </c>
      <c r="B14">
        <v>203</v>
      </c>
      <c r="C14">
        <v>-198</v>
      </c>
      <c r="D14">
        <v>-242</v>
      </c>
      <c r="E14">
        <v>249</v>
      </c>
      <c r="F14">
        <f t="shared" si="0"/>
        <v>200.5</v>
      </c>
      <c r="G14">
        <f t="shared" si="1"/>
        <v>-245.5</v>
      </c>
      <c r="H14">
        <f t="shared" si="2"/>
        <v>1.0025167927388945E-2</v>
      </c>
      <c r="I14">
        <f t="shared" si="2"/>
        <v>-1.2275308278119103E-2</v>
      </c>
      <c r="J14">
        <f t="shared" si="3"/>
        <v>5.0124999999999996E-3</v>
      </c>
      <c r="K14">
        <f t="shared" si="3"/>
        <v>-6.1374999999999997E-3</v>
      </c>
      <c r="L14">
        <f t="shared" si="4"/>
        <v>-6.42625E-2</v>
      </c>
      <c r="M14">
        <f t="shared" si="4"/>
        <v>-4.3887499999999989E-2</v>
      </c>
      <c r="N14">
        <f t="shared" si="5"/>
        <v>7.7818902347051896E-2</v>
      </c>
      <c r="O14">
        <f t="shared" si="6"/>
        <v>34.330773305033375</v>
      </c>
      <c r="P14">
        <f t="shared" si="7"/>
        <v>214.33077330503338</v>
      </c>
      <c r="Q14">
        <f t="shared" si="8"/>
        <v>-64.262499999999989</v>
      </c>
      <c r="R14">
        <f t="shared" si="9"/>
        <v>-43.887500000000017</v>
      </c>
      <c r="S14">
        <f t="shared" si="10"/>
        <v>77.818902347051903</v>
      </c>
      <c r="T14">
        <f>Q14-'"0" цикл 24.06'!Q13</f>
        <v>-664.80315064290744</v>
      </c>
      <c r="U14">
        <f>R14-'"0" цикл 24.06'!R13</f>
        <v>-978.34490487159474</v>
      </c>
      <c r="V14">
        <f t="shared" si="11"/>
        <v>1182.8448681010314</v>
      </c>
      <c r="W14">
        <f t="shared" si="12"/>
        <v>235.80317939897867</v>
      </c>
      <c r="X14">
        <f t="shared" si="13"/>
        <v>235.80317939897867</v>
      </c>
    </row>
    <row r="15" spans="1:24" x14ac:dyDescent="0.45">
      <c r="A15">
        <v>5.5</v>
      </c>
      <c r="B15">
        <v>150</v>
      </c>
      <c r="C15">
        <v>-152</v>
      </c>
      <c r="D15">
        <v>-178</v>
      </c>
      <c r="E15">
        <v>187</v>
      </c>
      <c r="F15">
        <f t="shared" si="0"/>
        <v>151</v>
      </c>
      <c r="G15">
        <f t="shared" si="1"/>
        <v>-182.5</v>
      </c>
      <c r="H15">
        <f t="shared" si="2"/>
        <v>7.5500717299858038E-3</v>
      </c>
      <c r="I15">
        <f t="shared" si="2"/>
        <v>-9.1251266378831394E-3</v>
      </c>
      <c r="J15">
        <f t="shared" si="3"/>
        <v>3.7750000000000001E-3</v>
      </c>
      <c r="K15">
        <f t="shared" si="3"/>
        <v>-4.5624999999999997E-3</v>
      </c>
      <c r="L15">
        <f t="shared" si="4"/>
        <v>-6.8037500000000001E-2</v>
      </c>
      <c r="M15">
        <f t="shared" si="4"/>
        <v>-3.9324999999999992E-2</v>
      </c>
      <c r="N15">
        <f t="shared" si="5"/>
        <v>7.8584712452550207E-2</v>
      </c>
      <c r="O15">
        <f t="shared" si="6"/>
        <v>30.027486184352465</v>
      </c>
      <c r="P15">
        <f t="shared" si="7"/>
        <v>210.02748618435245</v>
      </c>
      <c r="Q15">
        <f t="shared" si="8"/>
        <v>-68.037500000000023</v>
      </c>
      <c r="R15">
        <f t="shared" si="9"/>
        <v>-39.324999999999967</v>
      </c>
      <c r="S15">
        <f t="shared" si="10"/>
        <v>78.584712452550207</v>
      </c>
      <c r="T15">
        <f>Q15-'"0" цикл 24.06'!Q14</f>
        <v>-669.47687352032915</v>
      </c>
      <c r="U15">
        <f>R15-'"0" цикл 24.06'!R14</f>
        <v>-974.2833955253983</v>
      </c>
      <c r="V15">
        <f t="shared" si="11"/>
        <v>1182.1283428524393</v>
      </c>
      <c r="W15">
        <f t="shared" si="12"/>
        <v>235.5051748472649</v>
      </c>
      <c r="X15">
        <f t="shared" si="13"/>
        <v>235.5051748472649</v>
      </c>
    </row>
    <row r="16" spans="1:24" x14ac:dyDescent="0.45">
      <c r="A16">
        <v>6</v>
      </c>
      <c r="B16">
        <v>159</v>
      </c>
      <c r="C16">
        <v>-160</v>
      </c>
      <c r="D16">
        <v>-128</v>
      </c>
      <c r="E16">
        <v>135</v>
      </c>
      <c r="F16">
        <f t="shared" si="0"/>
        <v>159.5</v>
      </c>
      <c r="G16">
        <f t="shared" si="1"/>
        <v>-131.5</v>
      </c>
      <c r="H16">
        <f t="shared" si="2"/>
        <v>7.9750845382502589E-3</v>
      </c>
      <c r="I16">
        <f t="shared" si="2"/>
        <v>-6.575047374481514E-3</v>
      </c>
      <c r="J16">
        <f t="shared" si="3"/>
        <v>3.9874999999999997E-3</v>
      </c>
      <c r="K16">
        <f t="shared" si="3"/>
        <v>-3.2874999999999996E-3</v>
      </c>
      <c r="L16">
        <f t="shared" si="4"/>
        <v>-7.2025000000000006E-2</v>
      </c>
      <c r="M16">
        <f t="shared" si="4"/>
        <v>-3.6037499999999993E-2</v>
      </c>
      <c r="N16">
        <f t="shared" si="5"/>
        <v>8.0537581483739629E-2</v>
      </c>
      <c r="O16">
        <f t="shared" si="6"/>
        <v>26.580958938038869</v>
      </c>
      <c r="P16">
        <f t="shared" si="7"/>
        <v>206.58095893803886</v>
      </c>
      <c r="Q16">
        <f t="shared" si="8"/>
        <v>-72.025000000000006</v>
      </c>
      <c r="R16">
        <f t="shared" si="9"/>
        <v>-36.037500000000001</v>
      </c>
      <c r="S16">
        <f t="shared" si="10"/>
        <v>80.537581483739629</v>
      </c>
      <c r="T16">
        <f>Q16-'"0" цикл 24.06'!Q15</f>
        <v>-676.29554908540808</v>
      </c>
      <c r="U16">
        <f>R16-'"0" цикл 24.06'!R15</f>
        <v>-974.18884988497257</v>
      </c>
      <c r="V16">
        <f t="shared" si="11"/>
        <v>1185.9256237019838</v>
      </c>
      <c r="W16">
        <f t="shared" si="12"/>
        <v>235.23107688379218</v>
      </c>
      <c r="X16">
        <f t="shared" si="13"/>
        <v>235.23107688379218</v>
      </c>
    </row>
    <row r="17" spans="1:24" x14ac:dyDescent="0.45">
      <c r="A17">
        <v>6.5</v>
      </c>
      <c r="B17">
        <v>174</v>
      </c>
      <c r="C17">
        <v>-175</v>
      </c>
      <c r="D17">
        <v>-106</v>
      </c>
      <c r="E17">
        <v>113</v>
      </c>
      <c r="F17">
        <f t="shared" si="0"/>
        <v>174.5</v>
      </c>
      <c r="G17">
        <f t="shared" si="1"/>
        <v>-109.5</v>
      </c>
      <c r="H17">
        <f t="shared" si="2"/>
        <v>8.7251107031387012E-3</v>
      </c>
      <c r="I17">
        <f t="shared" si="2"/>
        <v>-5.4750273531267808E-3</v>
      </c>
      <c r="J17">
        <f t="shared" si="3"/>
        <v>4.3625000000000001E-3</v>
      </c>
      <c r="K17">
        <f t="shared" si="3"/>
        <v>-2.7374999999999999E-3</v>
      </c>
      <c r="L17">
        <f t="shared" si="4"/>
        <v>-7.6387500000000011E-2</v>
      </c>
      <c r="M17">
        <f t="shared" si="4"/>
        <v>-3.3299999999999996E-2</v>
      </c>
      <c r="N17">
        <f t="shared" si="5"/>
        <v>8.3330307549234456E-2</v>
      </c>
      <c r="O17">
        <f t="shared" si="6"/>
        <v>23.554081836176266</v>
      </c>
      <c r="P17">
        <f t="shared" si="7"/>
        <v>203.55408183617627</v>
      </c>
      <c r="Q17">
        <f t="shared" si="8"/>
        <v>-76.387500000000017</v>
      </c>
      <c r="R17">
        <f t="shared" si="9"/>
        <v>-33.299999999999983</v>
      </c>
      <c r="S17">
        <f t="shared" si="10"/>
        <v>83.330307549234462</v>
      </c>
      <c r="T17">
        <f>Q17-'"0" цикл 24.06'!Q16</f>
        <v>-684.37920214275323</v>
      </c>
      <c r="U17">
        <f>R17-'"0" цикл 24.06'!R16</f>
        <v>-975.88064695363391</v>
      </c>
      <c r="V17">
        <f t="shared" si="11"/>
        <v>1191.9387272105032</v>
      </c>
      <c r="W17">
        <f t="shared" si="12"/>
        <v>234.95825274525629</v>
      </c>
      <c r="X17">
        <f t="shared" si="13"/>
        <v>234.95825274525629</v>
      </c>
    </row>
    <row r="18" spans="1:24" x14ac:dyDescent="0.45">
      <c r="A18">
        <v>7</v>
      </c>
      <c r="B18">
        <v>167</v>
      </c>
      <c r="C18">
        <v>-172</v>
      </c>
      <c r="D18">
        <v>-111</v>
      </c>
      <c r="E18">
        <v>94</v>
      </c>
      <c r="F18">
        <f t="shared" si="0"/>
        <v>169.5</v>
      </c>
      <c r="G18">
        <f t="shared" si="1"/>
        <v>-102.5</v>
      </c>
      <c r="H18">
        <f t="shared" si="2"/>
        <v>8.4751014569745906E-3</v>
      </c>
      <c r="I18">
        <f t="shared" si="2"/>
        <v>-5.1250224354865322E-3</v>
      </c>
      <c r="J18">
        <f t="shared" si="3"/>
        <v>4.2374999999999999E-3</v>
      </c>
      <c r="K18">
        <f t="shared" si="3"/>
        <v>-2.5625000000000001E-3</v>
      </c>
      <c r="L18">
        <f t="shared" si="4"/>
        <v>-8.0625000000000016E-2</v>
      </c>
      <c r="M18">
        <f t="shared" si="4"/>
        <v>-3.0737499999999994E-2</v>
      </c>
      <c r="N18">
        <f t="shared" si="5"/>
        <v>8.6285482737538194E-2</v>
      </c>
      <c r="O18">
        <f t="shared" si="6"/>
        <v>20.868863058556492</v>
      </c>
      <c r="P18">
        <f t="shared" si="7"/>
        <v>200.86886305855649</v>
      </c>
      <c r="Q18">
        <f t="shared" si="8"/>
        <v>-80.625000000000014</v>
      </c>
      <c r="R18">
        <f t="shared" si="9"/>
        <v>-30.737499999999972</v>
      </c>
      <c r="S18">
        <f t="shared" si="10"/>
        <v>86.285482737538189</v>
      </c>
      <c r="T18">
        <f>Q18-'"0" цикл 24.06'!Q17</f>
        <v>-692.6541866003007</v>
      </c>
      <c r="U18">
        <f>R18-'"0" цикл 24.06'!R17</f>
        <v>-978.35977748665141</v>
      </c>
      <c r="V18">
        <f t="shared" si="11"/>
        <v>1198.7316949253716</v>
      </c>
      <c r="W18">
        <f t="shared" si="12"/>
        <v>234.70246337137146</v>
      </c>
      <c r="X18">
        <f t="shared" si="13"/>
        <v>234.70246337137146</v>
      </c>
    </row>
    <row r="19" spans="1:24" x14ac:dyDescent="0.45">
      <c r="A19">
        <v>7.5</v>
      </c>
      <c r="B19">
        <v>313</v>
      </c>
      <c r="C19">
        <v>-310</v>
      </c>
      <c r="D19">
        <v>-217</v>
      </c>
      <c r="E19">
        <v>243</v>
      </c>
      <c r="F19">
        <f t="shared" si="0"/>
        <v>311.5</v>
      </c>
      <c r="G19">
        <f t="shared" si="1"/>
        <v>-230</v>
      </c>
      <c r="H19">
        <f t="shared" si="2"/>
        <v>1.5575629767621059E-2</v>
      </c>
      <c r="I19">
        <f t="shared" si="2"/>
        <v>-1.1500253494253033E-2</v>
      </c>
      <c r="J19">
        <f t="shared" si="3"/>
        <v>7.7875000000000002E-3</v>
      </c>
      <c r="K19">
        <f t="shared" si="3"/>
        <v>-5.7499999999999999E-3</v>
      </c>
      <c r="L19">
        <f t="shared" si="4"/>
        <v>-8.8412500000000019E-2</v>
      </c>
      <c r="M19">
        <f t="shared" si="4"/>
        <v>-2.4987499999999996E-2</v>
      </c>
      <c r="N19">
        <f t="shared" si="5"/>
        <v>9.1875705779602052E-2</v>
      </c>
      <c r="O19">
        <f t="shared" si="6"/>
        <v>15.781568687271001</v>
      </c>
      <c r="P19">
        <f t="shared" si="7"/>
        <v>195.781568687271</v>
      </c>
      <c r="Q19">
        <f t="shared" si="8"/>
        <v>-88.412500000000023</v>
      </c>
      <c r="R19">
        <f t="shared" si="9"/>
        <v>-24.987499999999986</v>
      </c>
      <c r="S19">
        <f t="shared" si="10"/>
        <v>91.875705779602058</v>
      </c>
      <c r="T19">
        <f>Q19-'"0" цикл 24.06'!Q18</f>
        <v>-703.45866383022258</v>
      </c>
      <c r="U19">
        <f>R19-'"0" цикл 24.06'!R18</f>
        <v>-975.93977798090214</v>
      </c>
      <c r="V19">
        <f t="shared" si="11"/>
        <v>1203.0430341277133</v>
      </c>
      <c r="W19">
        <f t="shared" si="12"/>
        <v>234.21588760715346</v>
      </c>
      <c r="X19">
        <f t="shared" si="13"/>
        <v>234.21588760715346</v>
      </c>
    </row>
    <row r="20" spans="1:24" x14ac:dyDescent="0.45">
      <c r="A20">
        <v>8</v>
      </c>
      <c r="B20">
        <v>221</v>
      </c>
      <c r="C20">
        <v>-221</v>
      </c>
      <c r="D20">
        <v>-217</v>
      </c>
      <c r="E20">
        <v>223</v>
      </c>
      <c r="F20">
        <f t="shared" si="0"/>
        <v>221</v>
      </c>
      <c r="G20">
        <f t="shared" si="1"/>
        <v>-220</v>
      </c>
      <c r="H20">
        <f t="shared" ref="H20:I52" si="14">ASIN(F20/20000)</f>
        <v>1.1050224884460917E-2</v>
      </c>
      <c r="I20">
        <f t="shared" si="14"/>
        <v>-1.1000221845413029E-2</v>
      </c>
      <c r="J20">
        <f t="shared" ref="J20:K52" si="15">0.5*SIN(H20)</f>
        <v>5.5250000000000004E-3</v>
      </c>
      <c r="K20">
        <f t="shared" si="15"/>
        <v>-5.5000000000000005E-3</v>
      </c>
      <c r="L20">
        <f t="shared" ref="L20:M52" si="16">J21+L21</f>
        <v>-9.3937500000000021E-2</v>
      </c>
      <c r="M20">
        <f t="shared" si="16"/>
        <v>-1.9487499999999994E-2</v>
      </c>
      <c r="N20">
        <f t="shared" si="5"/>
        <v>9.5937565960889398E-2</v>
      </c>
      <c r="O20">
        <f t="shared" si="6"/>
        <v>11.719871261620852</v>
      </c>
      <c r="P20">
        <f t="shared" si="7"/>
        <v>191.71987126162085</v>
      </c>
      <c r="Q20">
        <f t="shared" si="8"/>
        <v>-93.937500000000028</v>
      </c>
      <c r="R20">
        <f t="shared" si="9"/>
        <v>-19.487499999999997</v>
      </c>
      <c r="S20">
        <f t="shared" si="10"/>
        <v>95.937565960889401</v>
      </c>
      <c r="T20">
        <f>Q20-'"0" цикл 24.06'!Q19</f>
        <v>-711.70369757164462</v>
      </c>
      <c r="U20">
        <f>R20-'"0" цикл 24.06'!R19</f>
        <v>-973.55324407666455</v>
      </c>
      <c r="V20">
        <f t="shared" si="11"/>
        <v>1205.9552529797068</v>
      </c>
      <c r="W20">
        <f t="shared" si="12"/>
        <v>233.83180488761536</v>
      </c>
      <c r="X20">
        <f t="shared" si="13"/>
        <v>233.83180488761536</v>
      </c>
    </row>
    <row r="21" spans="1:24" x14ac:dyDescent="0.45">
      <c r="A21">
        <v>8.5</v>
      </c>
      <c r="B21">
        <v>88</v>
      </c>
      <c r="C21">
        <v>-87</v>
      </c>
      <c r="D21">
        <v>-185</v>
      </c>
      <c r="E21">
        <v>193</v>
      </c>
      <c r="F21">
        <f t="shared" si="0"/>
        <v>87.5</v>
      </c>
      <c r="G21">
        <f t="shared" si="1"/>
        <v>-189</v>
      </c>
      <c r="H21">
        <f t="shared" si="14"/>
        <v>4.3750139568259445E-3</v>
      </c>
      <c r="I21">
        <f t="shared" si="14"/>
        <v>-9.4501406570900379E-3</v>
      </c>
      <c r="J21">
        <f t="shared" si="15"/>
        <v>2.1875000000000006E-3</v>
      </c>
      <c r="K21">
        <f t="shared" si="15"/>
        <v>-4.7250000000000009E-3</v>
      </c>
      <c r="L21">
        <f t="shared" si="16"/>
        <v>-9.6125000000000016E-2</v>
      </c>
      <c r="M21">
        <f t="shared" si="16"/>
        <v>-1.4762499999999993E-2</v>
      </c>
      <c r="N21">
        <f t="shared" si="5"/>
        <v>9.7251977004326265E-2</v>
      </c>
      <c r="O21">
        <f t="shared" si="6"/>
        <v>8.7310449384439242</v>
      </c>
      <c r="P21">
        <f t="shared" si="7"/>
        <v>188.73104493844392</v>
      </c>
      <c r="Q21">
        <f t="shared" si="8"/>
        <v>-96.125000000000028</v>
      </c>
      <c r="R21">
        <f t="shared" si="9"/>
        <v>-14.762499999999985</v>
      </c>
      <c r="S21">
        <f t="shared" si="10"/>
        <v>97.251977004326264</v>
      </c>
      <c r="T21">
        <f>Q21-'"0" цикл 24.06'!Q20</f>
        <v>-716.83206040461448</v>
      </c>
      <c r="U21">
        <f>R21-'"0" цикл 24.06'!R20</f>
        <v>-972.05079861568822</v>
      </c>
      <c r="V21">
        <f t="shared" si="11"/>
        <v>1207.7793498455428</v>
      </c>
      <c r="W21">
        <f t="shared" si="12"/>
        <v>233.59334068539874</v>
      </c>
      <c r="X21">
        <f t="shared" si="13"/>
        <v>233.59334068539874</v>
      </c>
    </row>
    <row r="22" spans="1:24" x14ac:dyDescent="0.45">
      <c r="A22">
        <v>9</v>
      </c>
      <c r="B22">
        <v>-60</v>
      </c>
      <c r="C22">
        <v>49</v>
      </c>
      <c r="D22">
        <v>-175</v>
      </c>
      <c r="E22">
        <v>182</v>
      </c>
      <c r="F22">
        <f t="shared" si="0"/>
        <v>-54.5</v>
      </c>
      <c r="G22">
        <f t="shared" si="1"/>
        <v>-178.5</v>
      </c>
      <c r="H22">
        <f t="shared" si="14"/>
        <v>-2.7250033724826235E-3</v>
      </c>
      <c r="I22">
        <f t="shared" si="14"/>
        <v>-8.9251184919895855E-3</v>
      </c>
      <c r="J22">
        <f t="shared" si="15"/>
        <v>-1.3625E-3</v>
      </c>
      <c r="K22">
        <f t="shared" si="15"/>
        <v>-4.4624999999999995E-3</v>
      </c>
      <c r="L22">
        <f t="shared" si="16"/>
        <v>-9.4762500000000013E-2</v>
      </c>
      <c r="M22">
        <f t="shared" si="16"/>
        <v>-1.0299999999999993E-2</v>
      </c>
      <c r="N22">
        <f t="shared" si="5"/>
        <v>9.5320624243916921E-2</v>
      </c>
      <c r="O22">
        <f t="shared" si="6"/>
        <v>6.20328551986091</v>
      </c>
      <c r="P22">
        <f t="shared" si="7"/>
        <v>186.20328551986091</v>
      </c>
      <c r="Q22">
        <f t="shared" si="8"/>
        <v>-94.762500000000017</v>
      </c>
      <c r="R22">
        <f t="shared" si="9"/>
        <v>-10.299999999999978</v>
      </c>
      <c r="S22">
        <f t="shared" si="10"/>
        <v>95.320624243916924</v>
      </c>
      <c r="T22">
        <f>Q22-'"0" цикл 24.06'!Q21</f>
        <v>-718.3767292629268</v>
      </c>
      <c r="U22">
        <f>R22-'"0" цикл 24.06'!R21</f>
        <v>-970.95170202822032</v>
      </c>
      <c r="V22">
        <f t="shared" si="11"/>
        <v>1207.8130371949121</v>
      </c>
      <c r="W22">
        <f t="shared" si="12"/>
        <v>233.50342190703699</v>
      </c>
      <c r="X22">
        <f t="shared" si="13"/>
        <v>233.50342190703699</v>
      </c>
    </row>
    <row r="23" spans="1:24" x14ac:dyDescent="0.45">
      <c r="A23">
        <v>9.5</v>
      </c>
      <c r="B23">
        <v>-191</v>
      </c>
      <c r="C23">
        <v>191</v>
      </c>
      <c r="D23">
        <v>-162</v>
      </c>
      <c r="E23">
        <v>167</v>
      </c>
      <c r="F23">
        <f t="shared" si="0"/>
        <v>-191</v>
      </c>
      <c r="G23">
        <f t="shared" si="1"/>
        <v>-164.5</v>
      </c>
      <c r="H23">
        <f t="shared" si="14"/>
        <v>-9.5501451699371836E-3</v>
      </c>
      <c r="I23">
        <f t="shared" si="14"/>
        <v>-8.2250927405550772E-3</v>
      </c>
      <c r="J23">
        <f t="shared" si="15"/>
        <v>-4.7750000000000006E-3</v>
      </c>
      <c r="K23">
        <f t="shared" si="15"/>
        <v>-4.112499999999999E-3</v>
      </c>
      <c r="L23">
        <f t="shared" si="16"/>
        <v>-8.9987500000000012E-2</v>
      </c>
      <c r="M23">
        <f t="shared" si="16"/>
        <v>-6.1874999999999951E-3</v>
      </c>
      <c r="N23">
        <f t="shared" si="5"/>
        <v>9.0199974016071646E-2</v>
      </c>
      <c r="O23">
        <f t="shared" si="6"/>
        <v>3.9334408689155569</v>
      </c>
      <c r="P23">
        <f t="shared" si="7"/>
        <v>183.93344086891557</v>
      </c>
      <c r="Q23">
        <f t="shared" si="8"/>
        <v>-89.987499999999997</v>
      </c>
      <c r="R23">
        <f t="shared" si="9"/>
        <v>-6.1875000000000195</v>
      </c>
      <c r="S23">
        <f t="shared" si="10"/>
        <v>90.19997401607165</v>
      </c>
      <c r="T23">
        <f>Q23-'"0" цикл 24.06'!Q22</f>
        <v>-716.62525135813689</v>
      </c>
      <c r="U23">
        <f>R23-'"0" цикл 24.06'!R22</f>
        <v>-970.24103779259076</v>
      </c>
      <c r="V23">
        <f t="shared" si="11"/>
        <v>1206.2004071881904</v>
      </c>
      <c r="W23">
        <f t="shared" si="12"/>
        <v>233.55022538451161</v>
      </c>
      <c r="X23">
        <f t="shared" si="13"/>
        <v>233.55022538451161</v>
      </c>
    </row>
    <row r="24" spans="1:24" x14ac:dyDescent="0.45">
      <c r="A24">
        <v>10</v>
      </c>
      <c r="B24">
        <v>-288</v>
      </c>
      <c r="C24">
        <v>304</v>
      </c>
      <c r="D24">
        <v>-142</v>
      </c>
      <c r="E24">
        <v>129</v>
      </c>
      <c r="F24">
        <f t="shared" si="0"/>
        <v>-296</v>
      </c>
      <c r="G24">
        <f t="shared" si="1"/>
        <v>-135.5</v>
      </c>
      <c r="H24">
        <f t="shared" si="14"/>
        <v>-1.4800540351929771E-2</v>
      </c>
      <c r="I24">
        <f t="shared" si="14"/>
        <v>-6.7750518305263107E-3</v>
      </c>
      <c r="J24">
        <f t="shared" si="15"/>
        <v>-7.4000000000000003E-3</v>
      </c>
      <c r="K24">
        <f t="shared" si="15"/>
        <v>-3.3875000000000003E-3</v>
      </c>
      <c r="L24">
        <f t="shared" si="16"/>
        <v>-8.2587500000000008E-2</v>
      </c>
      <c r="M24">
        <f t="shared" si="16"/>
        <v>-2.7999999999999943E-3</v>
      </c>
      <c r="N24">
        <f t="shared" si="5"/>
        <v>8.2634951178360366E-2</v>
      </c>
      <c r="O24">
        <f t="shared" si="6"/>
        <v>1.941780018919798</v>
      </c>
      <c r="P24">
        <f t="shared" si="7"/>
        <v>181.94178001891979</v>
      </c>
      <c r="Q24">
        <f t="shared" si="8"/>
        <v>-82.587500000000006</v>
      </c>
      <c r="R24">
        <f t="shared" si="9"/>
        <v>-2.7999999999999767</v>
      </c>
      <c r="S24">
        <f t="shared" si="10"/>
        <v>82.634951178360367</v>
      </c>
      <c r="T24">
        <f>Q24-'"0" цикл 24.06'!Q23</f>
        <v>-711.64070492557266</v>
      </c>
      <c r="U24">
        <f>R24-'"0" цикл 24.06'!R23</f>
        <v>-969.62388762804096</v>
      </c>
      <c r="V24">
        <f t="shared" si="11"/>
        <v>1202.7480934783816</v>
      </c>
      <c r="W24">
        <f t="shared" si="12"/>
        <v>233.72375910374979</v>
      </c>
      <c r="X24">
        <f t="shared" si="13"/>
        <v>233.72375910374979</v>
      </c>
    </row>
    <row r="25" spans="1:24" x14ac:dyDescent="0.45">
      <c r="A25">
        <v>10.5</v>
      </c>
      <c r="B25">
        <v>-104</v>
      </c>
      <c r="C25">
        <v>88</v>
      </c>
      <c r="D25">
        <v>-196</v>
      </c>
      <c r="E25">
        <v>224</v>
      </c>
      <c r="F25">
        <f t="shared" si="0"/>
        <v>-96</v>
      </c>
      <c r="G25">
        <f t="shared" si="1"/>
        <v>-210</v>
      </c>
      <c r="H25">
        <f t="shared" si="14"/>
        <v>-4.8000184321911055E-3</v>
      </c>
      <c r="I25">
        <f t="shared" si="14"/>
        <v>-1.050019294707274E-2</v>
      </c>
      <c r="J25">
        <f t="shared" si="15"/>
        <v>-2.3999999999999998E-3</v>
      </c>
      <c r="K25">
        <f t="shared" si="15"/>
        <v>-5.2500000000000003E-3</v>
      </c>
      <c r="L25">
        <f t="shared" si="16"/>
        <v>-8.0187500000000009E-2</v>
      </c>
      <c r="M25">
        <f t="shared" si="16"/>
        <v>2.450000000000006E-3</v>
      </c>
      <c r="N25">
        <f t="shared" si="5"/>
        <v>8.0224919172598746E-2</v>
      </c>
      <c r="O25">
        <f t="shared" si="6"/>
        <v>358.24996409803396</v>
      </c>
      <c r="P25">
        <f t="shared" si="7"/>
        <v>178.24996409803396</v>
      </c>
      <c r="Q25">
        <f t="shared" si="8"/>
        <v>-80.187500000000014</v>
      </c>
      <c r="R25">
        <f t="shared" si="9"/>
        <v>2.4500000000000042</v>
      </c>
      <c r="S25">
        <f t="shared" si="10"/>
        <v>80.224919172598746</v>
      </c>
      <c r="T25">
        <f>Q25-'"0" цикл 24.06'!Q24</f>
        <v>-710.0320417261994</v>
      </c>
      <c r="U25">
        <f>R25-'"0" цикл 24.06'!R24</f>
        <v>-964.57419218101938</v>
      </c>
      <c r="V25">
        <f t="shared" si="11"/>
        <v>1197.7265432892191</v>
      </c>
      <c r="W25">
        <f t="shared" si="12"/>
        <v>233.64286956068199</v>
      </c>
      <c r="X25">
        <f t="shared" si="13"/>
        <v>233.64286956068199</v>
      </c>
    </row>
    <row r="26" spans="1:24" x14ac:dyDescent="0.45">
      <c r="A26">
        <v>11</v>
      </c>
      <c r="B26">
        <v>-170</v>
      </c>
      <c r="C26">
        <v>176</v>
      </c>
      <c r="D26">
        <v>-159</v>
      </c>
      <c r="E26">
        <v>166</v>
      </c>
      <c r="F26">
        <f t="shared" si="0"/>
        <v>-173</v>
      </c>
      <c r="G26">
        <f t="shared" si="1"/>
        <v>-162.5</v>
      </c>
      <c r="H26">
        <f t="shared" si="14"/>
        <v>-8.6501078727362936E-3</v>
      </c>
      <c r="I26">
        <f t="shared" si="14"/>
        <v>-8.1250893988146534E-3</v>
      </c>
      <c r="J26">
        <f t="shared" si="15"/>
        <v>-4.3249999999999999E-3</v>
      </c>
      <c r="K26">
        <f t="shared" si="15"/>
        <v>-4.0625000000000001E-3</v>
      </c>
      <c r="L26">
        <f t="shared" si="16"/>
        <v>-7.5862500000000013E-2</v>
      </c>
      <c r="M26">
        <f t="shared" si="16"/>
        <v>6.5125000000000061E-3</v>
      </c>
      <c r="N26">
        <f t="shared" si="5"/>
        <v>7.6141523247831092E-2</v>
      </c>
      <c r="O26">
        <f t="shared" si="6"/>
        <v>355.09341013144433</v>
      </c>
      <c r="P26">
        <f t="shared" si="7"/>
        <v>175.09341013144433</v>
      </c>
      <c r="Q26">
        <f t="shared" si="8"/>
        <v>-75.862500000000011</v>
      </c>
      <c r="R26">
        <f t="shared" si="9"/>
        <v>6.5124999999999886</v>
      </c>
      <c r="S26">
        <f t="shared" si="10"/>
        <v>76.141523247831088</v>
      </c>
      <c r="T26">
        <f>Q26-'"0" цикл 24.06'!Q25</f>
        <v>-707.20571977386339</v>
      </c>
      <c r="U26">
        <f>R26-'"0" цикл 24.06'!R25</f>
        <v>-961.74612979743711</v>
      </c>
      <c r="V26">
        <f t="shared" si="11"/>
        <v>1193.7736587231336</v>
      </c>
      <c r="W26">
        <f t="shared" si="12"/>
        <v>233.67164869231726</v>
      </c>
      <c r="X26">
        <f t="shared" si="13"/>
        <v>233.67164869231726</v>
      </c>
    </row>
    <row r="27" spans="1:24" x14ac:dyDescent="0.45">
      <c r="A27">
        <v>11.5</v>
      </c>
      <c r="B27">
        <v>-232</v>
      </c>
      <c r="C27">
        <v>230</v>
      </c>
      <c r="D27">
        <v>-91</v>
      </c>
      <c r="E27">
        <v>99</v>
      </c>
      <c r="F27">
        <f t="shared" si="0"/>
        <v>-231</v>
      </c>
      <c r="G27">
        <f t="shared" si="1"/>
        <v>-95</v>
      </c>
      <c r="H27">
        <f t="shared" si="14"/>
        <v>-1.1550256815229705E-2</v>
      </c>
      <c r="I27">
        <f t="shared" si="14"/>
        <v>-4.750017862160524E-3</v>
      </c>
      <c r="J27">
        <f t="shared" si="15"/>
        <v>-5.7749999999999998E-3</v>
      </c>
      <c r="K27">
        <f t="shared" si="15"/>
        <v>-2.3749999999999999E-3</v>
      </c>
      <c r="L27">
        <f t="shared" si="16"/>
        <v>-7.0087500000000011E-2</v>
      </c>
      <c r="M27">
        <f t="shared" si="16"/>
        <v>8.8875000000000065E-3</v>
      </c>
      <c r="N27">
        <f t="shared" si="5"/>
        <v>7.0648746007979518E-2</v>
      </c>
      <c r="O27">
        <f t="shared" si="6"/>
        <v>352.77313465396662</v>
      </c>
      <c r="P27">
        <f t="shared" si="7"/>
        <v>172.77313465396662</v>
      </c>
      <c r="Q27">
        <f t="shared" si="8"/>
        <v>-70.087500000000006</v>
      </c>
      <c r="R27">
        <f t="shared" si="9"/>
        <v>8.8875000000000206</v>
      </c>
      <c r="S27">
        <f t="shared" si="10"/>
        <v>70.648746007979511</v>
      </c>
      <c r="T27">
        <f>Q27-'"0" цикл 24.06'!Q26</f>
        <v>-703.83320472584921</v>
      </c>
      <c r="U27">
        <f>R27-'"0" цикл 24.06'!R26</f>
        <v>-962.00340028794562</v>
      </c>
      <c r="V27">
        <f t="shared" si="11"/>
        <v>1191.9864605943428</v>
      </c>
      <c r="W27">
        <f t="shared" si="12"/>
        <v>233.80957493999634</v>
      </c>
      <c r="X27">
        <f t="shared" si="13"/>
        <v>233.80957493999634</v>
      </c>
    </row>
    <row r="28" spans="1:24" x14ac:dyDescent="0.45">
      <c r="A28">
        <v>12</v>
      </c>
      <c r="B28">
        <v>-266</v>
      </c>
      <c r="C28">
        <v>266</v>
      </c>
      <c r="D28">
        <v>-56</v>
      </c>
      <c r="E28">
        <v>63</v>
      </c>
      <c r="F28">
        <f t="shared" si="0"/>
        <v>-266</v>
      </c>
      <c r="G28">
        <f t="shared" si="1"/>
        <v>-59.5</v>
      </c>
      <c r="H28">
        <f t="shared" si="14"/>
        <v>-1.3300392137381798E-2</v>
      </c>
      <c r="I28">
        <f t="shared" si="14"/>
        <v>-2.9750043884523743E-3</v>
      </c>
      <c r="J28">
        <f t="shared" si="15"/>
        <v>-6.6499999999999988E-3</v>
      </c>
      <c r="K28">
        <f t="shared" si="15"/>
        <v>-1.4875000000000001E-3</v>
      </c>
      <c r="L28">
        <f t="shared" si="16"/>
        <v>-6.3437500000000008E-2</v>
      </c>
      <c r="M28">
        <f t="shared" si="16"/>
        <v>1.0375000000000007E-2</v>
      </c>
      <c r="N28">
        <f t="shared" si="5"/>
        <v>6.428030049128583E-2</v>
      </c>
      <c r="O28">
        <f t="shared" si="6"/>
        <v>350.71168937504137</v>
      </c>
      <c r="P28">
        <f t="shared" si="7"/>
        <v>170.71168937504137</v>
      </c>
      <c r="Q28">
        <f t="shared" si="8"/>
        <v>-63.437500000000014</v>
      </c>
      <c r="R28">
        <f t="shared" si="9"/>
        <v>10.374999999999995</v>
      </c>
      <c r="S28">
        <f t="shared" si="10"/>
        <v>64.280300491285828</v>
      </c>
      <c r="T28">
        <f>Q28-'"0" цикл 24.06'!Q27</f>
        <v>-700.56233035964556</v>
      </c>
      <c r="U28">
        <f>R28-'"0" цикл 24.06'!R27</f>
        <v>-964.51493685644323</v>
      </c>
      <c r="V28">
        <f t="shared" si="11"/>
        <v>1192.0891921908049</v>
      </c>
      <c r="W28">
        <f t="shared" si="12"/>
        <v>234.00772976725645</v>
      </c>
      <c r="X28">
        <f t="shared" si="13"/>
        <v>234.00772976725645</v>
      </c>
    </row>
    <row r="29" spans="1:24" x14ac:dyDescent="0.45">
      <c r="A29">
        <v>12.5</v>
      </c>
      <c r="B29">
        <v>-306</v>
      </c>
      <c r="C29">
        <v>305</v>
      </c>
      <c r="D29">
        <v>-15</v>
      </c>
      <c r="E29">
        <v>23</v>
      </c>
      <c r="F29">
        <f t="shared" si="0"/>
        <v>-305.5</v>
      </c>
      <c r="G29">
        <f t="shared" si="1"/>
        <v>-19</v>
      </c>
      <c r="H29">
        <f t="shared" si="14"/>
        <v>-1.5275594070531105E-2</v>
      </c>
      <c r="I29">
        <f t="shared" si="14"/>
        <v>-9.5000014289589141E-4</v>
      </c>
      <c r="J29">
        <f t="shared" si="15"/>
        <v>-7.6375000000000002E-3</v>
      </c>
      <c r="K29">
        <f t="shared" si="15"/>
        <v>-4.75E-4</v>
      </c>
      <c r="L29">
        <f t="shared" si="16"/>
        <v>-5.5800000000000002E-2</v>
      </c>
      <c r="M29">
        <f t="shared" si="16"/>
        <v>1.0850000000000007E-2</v>
      </c>
      <c r="N29">
        <f t="shared" si="5"/>
        <v>5.6845074544765971E-2</v>
      </c>
      <c r="O29">
        <f t="shared" si="6"/>
        <v>348.99645914825049</v>
      </c>
      <c r="P29">
        <f t="shared" si="7"/>
        <v>168.99645914825055</v>
      </c>
      <c r="Q29">
        <f t="shared" si="8"/>
        <v>-55.800000000000011</v>
      </c>
      <c r="R29">
        <f t="shared" si="9"/>
        <v>10.84999999999995</v>
      </c>
      <c r="S29">
        <f t="shared" si="10"/>
        <v>56.845074544765971</v>
      </c>
      <c r="T29">
        <f>Q29-'"0" цикл 24.06'!Q28</f>
        <v>-697.4163262998552</v>
      </c>
      <c r="U29">
        <f>R29-'"0" цикл 24.06'!R28</f>
        <v>-969.61045476955076</v>
      </c>
      <c r="V29">
        <f t="shared" si="11"/>
        <v>1194.3759735476935</v>
      </c>
      <c r="W29">
        <f t="shared" si="12"/>
        <v>234.27348862348603</v>
      </c>
      <c r="X29">
        <f t="shared" si="13"/>
        <v>234.27348862348603</v>
      </c>
    </row>
    <row r="30" spans="1:24" x14ac:dyDescent="0.45">
      <c r="A30">
        <v>13</v>
      </c>
      <c r="B30">
        <v>-361</v>
      </c>
      <c r="C30">
        <v>344</v>
      </c>
      <c r="D30">
        <v>14</v>
      </c>
      <c r="E30">
        <v>-36</v>
      </c>
      <c r="F30">
        <f t="shared" si="0"/>
        <v>-352.5</v>
      </c>
      <c r="G30">
        <f t="shared" si="1"/>
        <v>25</v>
      </c>
      <c r="H30">
        <f t="shared" si="14"/>
        <v>-1.7625912634417287E-2</v>
      </c>
      <c r="I30">
        <f t="shared" si="14"/>
        <v>1.2500003255210622E-3</v>
      </c>
      <c r="J30">
        <f t="shared" si="15"/>
        <v>-8.8124999999999974E-3</v>
      </c>
      <c r="K30">
        <f t="shared" si="15"/>
        <v>6.2500000000000001E-4</v>
      </c>
      <c r="L30">
        <f t="shared" si="16"/>
        <v>-4.6987500000000001E-2</v>
      </c>
      <c r="M30">
        <f t="shared" si="16"/>
        <v>1.0225000000000007E-2</v>
      </c>
      <c r="N30">
        <f t="shared" si="5"/>
        <v>4.8087168571771831E-2</v>
      </c>
      <c r="O30">
        <f t="shared" si="6"/>
        <v>347.72320356793438</v>
      </c>
      <c r="P30">
        <f t="shared" si="7"/>
        <v>167.72320356793443</v>
      </c>
      <c r="Q30">
        <f t="shared" si="8"/>
        <v>-46.987500000000018</v>
      </c>
      <c r="R30">
        <f t="shared" si="9"/>
        <v>10.224999999999969</v>
      </c>
      <c r="S30">
        <f t="shared" si="10"/>
        <v>48.087168571771834</v>
      </c>
      <c r="T30">
        <f>Q30-'"0" цикл 24.06'!Q29</f>
        <v>-694.17264471241958</v>
      </c>
      <c r="U30">
        <f>R30-'"0" цикл 24.06'!R29</f>
        <v>-977.16324478816568</v>
      </c>
      <c r="V30">
        <f t="shared" si="11"/>
        <v>1198.6340841274171</v>
      </c>
      <c r="W30">
        <f t="shared" si="12"/>
        <v>234.61017452869586</v>
      </c>
      <c r="X30">
        <f t="shared" si="13"/>
        <v>234.61017452869586</v>
      </c>
    </row>
    <row r="31" spans="1:24" x14ac:dyDescent="0.45">
      <c r="A31">
        <v>13.5</v>
      </c>
      <c r="B31">
        <v>-280</v>
      </c>
      <c r="C31">
        <v>290</v>
      </c>
      <c r="D31">
        <v>73</v>
      </c>
      <c r="E31">
        <v>-42</v>
      </c>
      <c r="F31">
        <f t="shared" si="0"/>
        <v>-285</v>
      </c>
      <c r="G31">
        <f t="shared" si="1"/>
        <v>57.5</v>
      </c>
      <c r="H31">
        <f t="shared" si="14"/>
        <v>-1.4250482317512071E-2</v>
      </c>
      <c r="I31">
        <f t="shared" si="14"/>
        <v>2.8750039606267107E-3</v>
      </c>
      <c r="J31">
        <f t="shared" si="15"/>
        <v>-7.1250000000000003E-3</v>
      </c>
      <c r="K31">
        <f t="shared" si="15"/>
        <v>1.4375E-3</v>
      </c>
      <c r="L31">
        <f t="shared" si="16"/>
        <v>-3.9862500000000002E-2</v>
      </c>
      <c r="M31">
        <f t="shared" si="16"/>
        <v>8.7875000000000071E-3</v>
      </c>
      <c r="N31">
        <f t="shared" si="5"/>
        <v>4.0819591650333796E-2</v>
      </c>
      <c r="O31">
        <f t="shared" si="6"/>
        <v>347.56824885444507</v>
      </c>
      <c r="P31">
        <f t="shared" si="7"/>
        <v>167.56824885444507</v>
      </c>
      <c r="Q31">
        <f t="shared" si="8"/>
        <v>-39.862500000000004</v>
      </c>
      <c r="R31">
        <f t="shared" si="9"/>
        <v>8.7875000000000281</v>
      </c>
      <c r="S31">
        <f t="shared" si="10"/>
        <v>40.819591650333798</v>
      </c>
      <c r="T31">
        <f>Q31-'"0" цикл 24.06'!Q30</f>
        <v>-690.77873617424632</v>
      </c>
      <c r="U31">
        <f>R31-'"0" цикл 24.06'!R30</f>
        <v>-983.06891411003755</v>
      </c>
      <c r="V31">
        <f t="shared" si="11"/>
        <v>1201.4989605655003</v>
      </c>
      <c r="W31">
        <f t="shared" si="12"/>
        <v>234.90521508542486</v>
      </c>
      <c r="X31">
        <f t="shared" si="13"/>
        <v>234.90521508542486</v>
      </c>
    </row>
    <row r="32" spans="1:24" x14ac:dyDescent="0.45">
      <c r="A32">
        <v>14</v>
      </c>
      <c r="B32">
        <v>-202</v>
      </c>
      <c r="C32">
        <v>207</v>
      </c>
      <c r="D32">
        <v>51</v>
      </c>
      <c r="E32">
        <v>-43</v>
      </c>
      <c r="F32">
        <f t="shared" si="0"/>
        <v>-204.5</v>
      </c>
      <c r="G32">
        <f t="shared" si="1"/>
        <v>47</v>
      </c>
      <c r="H32">
        <f t="shared" si="14"/>
        <v>-1.022517818007321E-2</v>
      </c>
      <c r="I32">
        <f t="shared" si="14"/>
        <v>2.3500021629845424E-3</v>
      </c>
      <c r="J32">
        <f t="shared" si="15"/>
        <v>-5.1125000000000007E-3</v>
      </c>
      <c r="K32">
        <f t="shared" si="15"/>
        <v>1.1750000000000003E-3</v>
      </c>
      <c r="L32">
        <f t="shared" si="16"/>
        <v>-3.4750000000000003E-2</v>
      </c>
      <c r="M32">
        <f t="shared" si="16"/>
        <v>7.6125000000000064E-3</v>
      </c>
      <c r="N32">
        <f t="shared" si="5"/>
        <v>3.55740446990499E-2</v>
      </c>
      <c r="O32">
        <f t="shared" si="6"/>
        <v>347.64370364474939</v>
      </c>
      <c r="P32">
        <f t="shared" si="7"/>
        <v>167.64370364474939</v>
      </c>
      <c r="Q32">
        <f t="shared" si="8"/>
        <v>-34.75</v>
      </c>
      <c r="R32">
        <f t="shared" si="9"/>
        <v>7.6125000000000114</v>
      </c>
      <c r="S32">
        <f t="shared" si="10"/>
        <v>35.5740446990499</v>
      </c>
      <c r="T32">
        <f>Q32-'"0" цикл 24.06'!Q31</f>
        <v>-688.58201032950592</v>
      </c>
      <c r="U32">
        <f>R32-'"0" цикл 24.06'!R31</f>
        <v>-987.65352373275277</v>
      </c>
      <c r="V32">
        <f t="shared" si="11"/>
        <v>1203.9952939655318</v>
      </c>
      <c r="W32">
        <f t="shared" si="12"/>
        <v>235.11618281539234</v>
      </c>
      <c r="X32">
        <f t="shared" si="13"/>
        <v>235.11618281539234</v>
      </c>
    </row>
    <row r="33" spans="1:24" x14ac:dyDescent="0.45">
      <c r="A33">
        <v>14.5</v>
      </c>
      <c r="B33">
        <v>-100</v>
      </c>
      <c r="C33">
        <v>103</v>
      </c>
      <c r="D33">
        <v>61</v>
      </c>
      <c r="E33">
        <v>-53</v>
      </c>
      <c r="F33">
        <f t="shared" si="0"/>
        <v>-101.5</v>
      </c>
      <c r="G33">
        <f t="shared" si="1"/>
        <v>57</v>
      </c>
      <c r="H33">
        <f t="shared" si="14"/>
        <v>-5.0750217852186374E-3</v>
      </c>
      <c r="I33">
        <f t="shared" si="14"/>
        <v>2.8500038582016021E-3</v>
      </c>
      <c r="J33">
        <f t="shared" si="15"/>
        <v>-2.5374999999999998E-3</v>
      </c>
      <c r="K33">
        <f t="shared" si="15"/>
        <v>1.4249999999999998E-3</v>
      </c>
      <c r="L33">
        <f t="shared" si="16"/>
        <v>-3.2212500000000005E-2</v>
      </c>
      <c r="M33">
        <f t="shared" si="16"/>
        <v>6.1875000000000064E-3</v>
      </c>
      <c r="N33">
        <f t="shared" si="5"/>
        <v>3.2801376686047802E-2</v>
      </c>
      <c r="O33">
        <f t="shared" si="6"/>
        <v>349.12684303442603</v>
      </c>
      <c r="P33">
        <f t="shared" si="7"/>
        <v>169.12684303442597</v>
      </c>
      <c r="Q33">
        <f t="shared" si="8"/>
        <v>-32.212499999999999</v>
      </c>
      <c r="R33">
        <f t="shared" si="9"/>
        <v>6.1875000000000426</v>
      </c>
      <c r="S33">
        <f t="shared" si="10"/>
        <v>32.801376686047803</v>
      </c>
      <c r="T33">
        <f>Q33-'"0" цикл 24.06'!Q32</f>
        <v>-688.03078675667825</v>
      </c>
      <c r="U33">
        <f>R33-'"0" цикл 24.06'!R32</f>
        <v>-991.05426681979225</v>
      </c>
      <c r="V33">
        <f t="shared" si="11"/>
        <v>1206.4720980224656</v>
      </c>
      <c r="W33">
        <f t="shared" si="12"/>
        <v>235.23002244851295</v>
      </c>
      <c r="X33">
        <f t="shared" si="13"/>
        <v>235.23002244851295</v>
      </c>
    </row>
    <row r="34" spans="1:24" x14ac:dyDescent="0.45">
      <c r="A34">
        <v>15</v>
      </c>
      <c r="B34">
        <v>-26</v>
      </c>
      <c r="C34">
        <v>22</v>
      </c>
      <c r="D34">
        <v>80</v>
      </c>
      <c r="E34">
        <v>-72</v>
      </c>
      <c r="F34">
        <f t="shared" si="0"/>
        <v>-24</v>
      </c>
      <c r="G34">
        <f t="shared" si="1"/>
        <v>76</v>
      </c>
      <c r="H34">
        <f t="shared" si="14"/>
        <v>-1.2000002880001865E-3</v>
      </c>
      <c r="I34">
        <f t="shared" si="14"/>
        <v>3.8000091453927599E-3</v>
      </c>
      <c r="J34">
        <f t="shared" si="15"/>
        <v>-5.9999999999999995E-4</v>
      </c>
      <c r="K34">
        <f t="shared" si="15"/>
        <v>1.8999999999999998E-3</v>
      </c>
      <c r="L34">
        <f t="shared" si="16"/>
        <v>-3.1612500000000002E-2</v>
      </c>
      <c r="M34">
        <f t="shared" si="16"/>
        <v>4.2875000000000066E-3</v>
      </c>
      <c r="N34">
        <f t="shared" si="5"/>
        <v>3.1901924902739021E-2</v>
      </c>
      <c r="O34">
        <f t="shared" si="6"/>
        <v>352.27628891213607</v>
      </c>
      <c r="P34">
        <f t="shared" si="7"/>
        <v>172.27628891213612</v>
      </c>
      <c r="Q34">
        <f t="shared" si="8"/>
        <v>-31.612500000000004</v>
      </c>
      <c r="R34">
        <f t="shared" si="9"/>
        <v>4.2874999999999632</v>
      </c>
      <c r="S34">
        <f t="shared" si="10"/>
        <v>31.901924902739019</v>
      </c>
      <c r="T34">
        <f>Q34-'"0" цикл 24.06'!Q33</f>
        <v>-688.54573609580348</v>
      </c>
      <c r="U34">
        <f>R34-'"0" цикл 24.06'!R33</f>
        <v>-993.81996930090543</v>
      </c>
      <c r="V34">
        <f t="shared" si="11"/>
        <v>1209.0381971124668</v>
      </c>
      <c r="W34">
        <f t="shared" si="12"/>
        <v>235.28472087777996</v>
      </c>
      <c r="X34">
        <f t="shared" si="13"/>
        <v>235.28472087777996</v>
      </c>
    </row>
    <row r="35" spans="1:24" x14ac:dyDescent="0.45">
      <c r="A35">
        <v>15.5</v>
      </c>
      <c r="B35">
        <v>47</v>
      </c>
      <c r="C35">
        <v>-47</v>
      </c>
      <c r="D35">
        <v>71</v>
      </c>
      <c r="E35">
        <v>-66</v>
      </c>
      <c r="F35">
        <f t="shared" si="0"/>
        <v>47</v>
      </c>
      <c r="G35">
        <f t="shared" si="1"/>
        <v>68.5</v>
      </c>
      <c r="H35">
        <f t="shared" si="14"/>
        <v>2.3500021629845424E-3</v>
      </c>
      <c r="I35">
        <f t="shared" si="14"/>
        <v>3.4250066962671195E-3</v>
      </c>
      <c r="J35">
        <f t="shared" si="15"/>
        <v>1.1750000000000003E-3</v>
      </c>
      <c r="K35">
        <f t="shared" si="15"/>
        <v>1.7125000000000003E-3</v>
      </c>
      <c r="L35">
        <f t="shared" si="16"/>
        <v>-3.2787500000000004E-2</v>
      </c>
      <c r="M35">
        <f t="shared" si="16"/>
        <v>2.5750000000000065E-3</v>
      </c>
      <c r="N35">
        <f t="shared" si="5"/>
        <v>3.2888459697133887E-2</v>
      </c>
      <c r="O35">
        <f t="shared" si="6"/>
        <v>355.50943441549981</v>
      </c>
      <c r="P35">
        <f t="shared" si="7"/>
        <v>175.50943441549975</v>
      </c>
      <c r="Q35">
        <f t="shared" si="8"/>
        <v>-32.787499999999994</v>
      </c>
      <c r="R35">
        <f t="shared" si="9"/>
        <v>2.5750000000000539</v>
      </c>
      <c r="S35">
        <f t="shared" si="10"/>
        <v>32.888459697133889</v>
      </c>
      <c r="T35">
        <f>Q35-'"0" цикл 24.06'!Q34</f>
        <v>-689.98132343760278</v>
      </c>
      <c r="U35">
        <f>R35-'"0" цикл 24.06'!R34</f>
        <v>-995.16984657538615</v>
      </c>
      <c r="V35">
        <f t="shared" si="11"/>
        <v>1210.9654207389999</v>
      </c>
      <c r="W35">
        <f t="shared" si="12"/>
        <v>235.26526113331039</v>
      </c>
      <c r="X35">
        <f t="shared" si="13"/>
        <v>235.26526113331039</v>
      </c>
    </row>
    <row r="36" spans="1:24" x14ac:dyDescent="0.45">
      <c r="A36">
        <v>16</v>
      </c>
      <c r="B36">
        <v>120</v>
      </c>
      <c r="C36">
        <v>-120</v>
      </c>
      <c r="D36">
        <v>26</v>
      </c>
      <c r="E36">
        <v>-24</v>
      </c>
      <c r="F36">
        <f t="shared" si="0"/>
        <v>120</v>
      </c>
      <c r="G36">
        <f t="shared" si="1"/>
        <v>25</v>
      </c>
      <c r="H36">
        <f t="shared" si="14"/>
        <v>6.0000360005832134E-3</v>
      </c>
      <c r="I36">
        <f t="shared" si="14"/>
        <v>1.2500003255210622E-3</v>
      </c>
      <c r="J36">
        <f t="shared" si="15"/>
        <v>3.0000000000000005E-3</v>
      </c>
      <c r="K36">
        <f t="shared" si="15"/>
        <v>6.2500000000000001E-4</v>
      </c>
      <c r="L36">
        <f t="shared" si="16"/>
        <v>-3.5787500000000007E-2</v>
      </c>
      <c r="M36">
        <f t="shared" si="16"/>
        <v>1.9500000000000064E-3</v>
      </c>
      <c r="N36">
        <f t="shared" si="5"/>
        <v>3.5840586717435313E-2</v>
      </c>
      <c r="O36">
        <f t="shared" si="6"/>
        <v>356.88113460607815</v>
      </c>
      <c r="P36">
        <f t="shared" si="7"/>
        <v>176.88113460607815</v>
      </c>
      <c r="Q36">
        <f t="shared" si="8"/>
        <v>-35.787500000000009</v>
      </c>
      <c r="R36">
        <f t="shared" si="9"/>
        <v>1.9500000000000004</v>
      </c>
      <c r="S36">
        <f t="shared" si="10"/>
        <v>35.840586717435315</v>
      </c>
      <c r="T36">
        <f>Q36-'"0" цикл 24.06'!Q35</f>
        <v>-693.38602161372137</v>
      </c>
      <c r="U36">
        <f>R36-'"0" цикл 24.06'!R35</f>
        <v>-995.7151431418572</v>
      </c>
      <c r="V36">
        <f t="shared" si="11"/>
        <v>1213.3560158713983</v>
      </c>
      <c r="W36">
        <f t="shared" si="12"/>
        <v>235.14780947793753</v>
      </c>
      <c r="X36">
        <f t="shared" si="13"/>
        <v>235.14780947793753</v>
      </c>
    </row>
    <row r="37" spans="1:24" x14ac:dyDescent="0.45">
      <c r="A37">
        <v>16.5</v>
      </c>
      <c r="B37">
        <v>167</v>
      </c>
      <c r="C37">
        <v>-161</v>
      </c>
      <c r="D37">
        <v>-24</v>
      </c>
      <c r="E37">
        <v>35</v>
      </c>
      <c r="F37">
        <f t="shared" si="0"/>
        <v>164</v>
      </c>
      <c r="G37">
        <f t="shared" si="1"/>
        <v>-29.5</v>
      </c>
      <c r="H37">
        <f t="shared" si="14"/>
        <v>8.2000918974473262E-3</v>
      </c>
      <c r="I37">
        <f t="shared" si="14"/>
        <v>-1.4750005348416694E-3</v>
      </c>
      <c r="J37">
        <f t="shared" si="15"/>
        <v>4.0999999999999995E-3</v>
      </c>
      <c r="K37">
        <f t="shared" si="15"/>
        <v>-7.3749999999999998E-4</v>
      </c>
      <c r="L37">
        <f t="shared" si="16"/>
        <v>-3.9887500000000006E-2</v>
      </c>
      <c r="M37">
        <f t="shared" si="16"/>
        <v>2.6875000000000063E-3</v>
      </c>
      <c r="N37">
        <f t="shared" si="5"/>
        <v>3.9977935320624054E-2</v>
      </c>
      <c r="O37">
        <f t="shared" si="6"/>
        <v>356.1454081902786</v>
      </c>
      <c r="P37">
        <f t="shared" si="7"/>
        <v>176.14540819027866</v>
      </c>
      <c r="Q37">
        <f t="shared" si="8"/>
        <v>-39.88750000000001</v>
      </c>
      <c r="R37">
        <f t="shared" si="9"/>
        <v>2.6874999999999596</v>
      </c>
      <c r="S37">
        <f t="shared" si="10"/>
        <v>39.977935320624056</v>
      </c>
      <c r="T37">
        <f>Q37-'"0" цикл 24.06'!Q36</f>
        <v>-699.06105745538002</v>
      </c>
      <c r="U37">
        <f>R37-'"0" цикл 24.06'!R36</f>
        <v>-996.1979918380739</v>
      </c>
      <c r="V37">
        <f t="shared" si="11"/>
        <v>1217.0032050051657</v>
      </c>
      <c r="W37">
        <f t="shared" si="12"/>
        <v>234.9415461967755</v>
      </c>
      <c r="X37">
        <f t="shared" si="13"/>
        <v>234.9415461967755</v>
      </c>
    </row>
    <row r="38" spans="1:24" x14ac:dyDescent="0.45">
      <c r="A38">
        <v>17</v>
      </c>
      <c r="B38">
        <v>157</v>
      </c>
      <c r="C38">
        <v>-172</v>
      </c>
      <c r="D38">
        <v>-57</v>
      </c>
      <c r="E38">
        <v>63</v>
      </c>
      <c r="F38">
        <f t="shared" si="0"/>
        <v>164.5</v>
      </c>
      <c r="G38">
        <f t="shared" si="1"/>
        <v>-60</v>
      </c>
      <c r="H38">
        <f t="shared" si="14"/>
        <v>8.2250927405550789E-3</v>
      </c>
      <c r="I38">
        <f t="shared" si="14"/>
        <v>-3.0000045000182253E-3</v>
      </c>
      <c r="J38">
        <f t="shared" si="15"/>
        <v>4.1124999999999998E-3</v>
      </c>
      <c r="K38">
        <f t="shared" si="15"/>
        <v>-1.5E-3</v>
      </c>
      <c r="L38">
        <f t="shared" si="16"/>
        <v>-4.4000000000000004E-2</v>
      </c>
      <c r="M38">
        <f t="shared" si="16"/>
        <v>4.1875000000000063E-3</v>
      </c>
      <c r="N38">
        <f t="shared" si="5"/>
        <v>4.4198813968815955E-2</v>
      </c>
      <c r="O38">
        <f t="shared" si="6"/>
        <v>354.56350868352911</v>
      </c>
      <c r="P38">
        <f t="shared" si="7"/>
        <v>174.56350868352911</v>
      </c>
      <c r="Q38">
        <f t="shared" si="8"/>
        <v>-44.000000000000007</v>
      </c>
      <c r="R38">
        <f t="shared" si="9"/>
        <v>4.1875000000000071</v>
      </c>
      <c r="S38">
        <f t="shared" si="10"/>
        <v>44.198813968815955</v>
      </c>
      <c r="T38">
        <f>Q38-'"0" цикл 24.06'!Q37</f>
        <v>-704.94057844139559</v>
      </c>
      <c r="U38">
        <f>R38-'"0" цикл 24.06'!R37</f>
        <v>-996.4147306534943</v>
      </c>
      <c r="V38">
        <f t="shared" si="11"/>
        <v>1220.5668906686619</v>
      </c>
      <c r="W38">
        <f t="shared" si="12"/>
        <v>234.72146863066507</v>
      </c>
      <c r="X38">
        <f t="shared" si="13"/>
        <v>234.72146863066507</v>
      </c>
    </row>
    <row r="39" spans="1:24" x14ac:dyDescent="0.45">
      <c r="A39">
        <v>17.5</v>
      </c>
      <c r="B39">
        <v>158</v>
      </c>
      <c r="C39">
        <v>-155</v>
      </c>
      <c r="D39">
        <v>-117</v>
      </c>
      <c r="E39">
        <v>124</v>
      </c>
      <c r="F39">
        <f t="shared" si="0"/>
        <v>156.5</v>
      </c>
      <c r="G39">
        <f t="shared" si="1"/>
        <v>-120.5</v>
      </c>
      <c r="H39">
        <f t="shared" si="14"/>
        <v>7.8250798571404892E-3</v>
      </c>
      <c r="I39">
        <f t="shared" si="14"/>
        <v>-6.0250364524730695E-3</v>
      </c>
      <c r="J39">
        <f t="shared" si="15"/>
        <v>3.9124999999999993E-3</v>
      </c>
      <c r="K39">
        <f t="shared" si="15"/>
        <v>-3.0125000000000004E-3</v>
      </c>
      <c r="L39">
        <f t="shared" si="16"/>
        <v>-4.7912500000000004E-2</v>
      </c>
      <c r="M39">
        <f t="shared" si="16"/>
        <v>7.2000000000000067E-3</v>
      </c>
      <c r="N39">
        <f t="shared" si="5"/>
        <v>4.8450466006530836E-2</v>
      </c>
      <c r="O39">
        <f t="shared" si="6"/>
        <v>351.45388495721789</v>
      </c>
      <c r="P39">
        <f t="shared" si="7"/>
        <v>171.45388495721795</v>
      </c>
      <c r="Q39">
        <f t="shared" si="8"/>
        <v>-47.912500000000016</v>
      </c>
      <c r="R39">
        <f t="shared" si="9"/>
        <v>7.199999999999938</v>
      </c>
      <c r="S39">
        <f t="shared" si="10"/>
        <v>48.450466006530839</v>
      </c>
      <c r="T39">
        <f>Q39-'"0" цикл 24.06'!Q38</f>
        <v>-709.76125517016669</v>
      </c>
      <c r="U39">
        <f>R39-'"0" цикл 24.06'!R38</f>
        <v>-993.95933681823078</v>
      </c>
      <c r="V39">
        <f t="shared" si="11"/>
        <v>1221.3583432346411</v>
      </c>
      <c r="W39">
        <f t="shared" si="12"/>
        <v>234.47032717454181</v>
      </c>
      <c r="X39">
        <f t="shared" si="13"/>
        <v>234.47032717454181</v>
      </c>
    </row>
    <row r="40" spans="1:24" x14ac:dyDescent="0.45">
      <c r="A40">
        <v>18</v>
      </c>
      <c r="B40">
        <v>96</v>
      </c>
      <c r="C40">
        <v>-96</v>
      </c>
      <c r="D40">
        <v>-133</v>
      </c>
      <c r="E40">
        <v>140</v>
      </c>
      <c r="F40">
        <f t="shared" si="0"/>
        <v>96</v>
      </c>
      <c r="G40">
        <f t="shared" si="1"/>
        <v>-136.5</v>
      </c>
      <c r="H40">
        <f t="shared" si="14"/>
        <v>4.8000184321911055E-3</v>
      </c>
      <c r="I40">
        <f t="shared" si="14"/>
        <v>-6.8250529865716116E-3</v>
      </c>
      <c r="J40">
        <f t="shared" si="15"/>
        <v>2.3999999999999998E-3</v>
      </c>
      <c r="K40">
        <f t="shared" si="15"/>
        <v>-3.4125000000000002E-3</v>
      </c>
      <c r="L40">
        <f t="shared" si="16"/>
        <v>-5.0312500000000003E-2</v>
      </c>
      <c r="M40">
        <f t="shared" si="16"/>
        <v>1.0612500000000007E-2</v>
      </c>
      <c r="N40">
        <f t="shared" si="5"/>
        <v>5.1419576160252438E-2</v>
      </c>
      <c r="O40">
        <f t="shared" si="6"/>
        <v>348.0891039881954</v>
      </c>
      <c r="P40">
        <f t="shared" si="7"/>
        <v>168.08910398819535</v>
      </c>
      <c r="Q40">
        <f t="shared" si="8"/>
        <v>-50.312499999999993</v>
      </c>
      <c r="R40">
        <f t="shared" si="9"/>
        <v>10.61250000000007</v>
      </c>
      <c r="S40">
        <f t="shared" si="10"/>
        <v>51.41957616025244</v>
      </c>
      <c r="T40">
        <f>Q40-'"0" цикл 24.06'!Q39</f>
        <v>-711.86212514676572</v>
      </c>
      <c r="U40">
        <f>R40-'"0" цикл 24.06'!R39</f>
        <v>-989.37513410334759</v>
      </c>
      <c r="V40">
        <f t="shared" si="11"/>
        <v>1218.8563661073795</v>
      </c>
      <c r="W40">
        <f t="shared" si="12"/>
        <v>234.26472810336298</v>
      </c>
      <c r="X40">
        <f t="shared" si="13"/>
        <v>234.26472810336298</v>
      </c>
    </row>
    <row r="41" spans="1:24" x14ac:dyDescent="0.45">
      <c r="A41">
        <v>18.5</v>
      </c>
      <c r="B41">
        <v>0</v>
      </c>
      <c r="C41">
        <v>-4</v>
      </c>
      <c r="D41">
        <v>-119</v>
      </c>
      <c r="E41">
        <v>127</v>
      </c>
      <c r="F41">
        <f t="shared" si="0"/>
        <v>2</v>
      </c>
      <c r="G41">
        <f t="shared" si="1"/>
        <v>-123</v>
      </c>
      <c r="H41">
        <f t="shared" si="14"/>
        <v>1.0000000016666668E-4</v>
      </c>
      <c r="I41">
        <f t="shared" si="14"/>
        <v>-6.1500387687223523E-3</v>
      </c>
      <c r="J41">
        <f t="shared" si="15"/>
        <v>5.0000000000000009E-5</v>
      </c>
      <c r="K41">
        <f t="shared" si="15"/>
        <v>-3.075E-3</v>
      </c>
      <c r="L41">
        <f t="shared" si="16"/>
        <v>-5.0362500000000004E-2</v>
      </c>
      <c r="M41">
        <f t="shared" si="16"/>
        <v>1.3687500000000007E-2</v>
      </c>
      <c r="N41">
        <f t="shared" si="5"/>
        <v>5.2189357751365371E-2</v>
      </c>
      <c r="O41">
        <f t="shared" si="6"/>
        <v>344.79543213542536</v>
      </c>
      <c r="P41">
        <f t="shared" si="7"/>
        <v>164.79543213542536</v>
      </c>
      <c r="Q41">
        <f t="shared" si="8"/>
        <v>-50.362500000000004</v>
      </c>
      <c r="R41">
        <f t="shared" si="9"/>
        <v>13.6875</v>
      </c>
      <c r="S41">
        <f t="shared" si="10"/>
        <v>52.189357751365371</v>
      </c>
      <c r="T41">
        <f>Q41-'"0" цикл 24.06'!Q40</f>
        <v>-709.57775575272888</v>
      </c>
      <c r="U41">
        <f>R41-'"0" цикл 24.06'!R40</f>
        <v>-982.33860032368989</v>
      </c>
      <c r="V41">
        <f t="shared" si="11"/>
        <v>1211.8125750894753</v>
      </c>
      <c r="W41">
        <f t="shared" si="12"/>
        <v>234.15809286844186</v>
      </c>
      <c r="X41">
        <f t="shared" si="13"/>
        <v>234.15809286844186</v>
      </c>
    </row>
    <row r="42" spans="1:24" x14ac:dyDescent="0.45">
      <c r="A42">
        <v>19</v>
      </c>
      <c r="B42">
        <v>-96</v>
      </c>
      <c r="C42">
        <v>99</v>
      </c>
      <c r="D42">
        <v>-63</v>
      </c>
      <c r="E42">
        <v>72</v>
      </c>
      <c r="F42">
        <f t="shared" si="0"/>
        <v>-97.5</v>
      </c>
      <c r="G42">
        <f t="shared" si="1"/>
        <v>-67.5</v>
      </c>
      <c r="H42">
        <f t="shared" si="14"/>
        <v>-4.8750193097768218E-3</v>
      </c>
      <c r="I42">
        <f t="shared" si="14"/>
        <v>-3.3750064072594049E-3</v>
      </c>
      <c r="J42">
        <f t="shared" si="15"/>
        <v>-2.4374999999999996E-3</v>
      </c>
      <c r="K42">
        <f t="shared" si="15"/>
        <v>-1.6875E-3</v>
      </c>
      <c r="L42">
        <f t="shared" si="16"/>
        <v>-4.7925000000000002E-2</v>
      </c>
      <c r="M42">
        <f t="shared" si="16"/>
        <v>1.5375000000000007E-2</v>
      </c>
      <c r="N42">
        <f t="shared" si="5"/>
        <v>5.0330867765219389E-2</v>
      </c>
      <c r="O42">
        <f t="shared" si="6"/>
        <v>342.21304367449216</v>
      </c>
      <c r="P42">
        <f t="shared" si="7"/>
        <v>162.21304367449216</v>
      </c>
      <c r="Q42">
        <f t="shared" si="8"/>
        <v>-47.92499999999999</v>
      </c>
      <c r="R42">
        <f t="shared" si="9"/>
        <v>15.375000000000036</v>
      </c>
      <c r="S42">
        <f t="shared" si="10"/>
        <v>50.330867765219388</v>
      </c>
      <c r="T42">
        <f>Q42-'"0" цикл 24.06'!Q41</f>
        <v>-703.60550864753839</v>
      </c>
      <c r="U42">
        <f>R42-'"0" цикл 24.06'!R41</f>
        <v>-974.88892237024299</v>
      </c>
      <c r="V42">
        <f t="shared" si="11"/>
        <v>1202.2766415261401</v>
      </c>
      <c r="W42">
        <f t="shared" si="12"/>
        <v>234.18092739692474</v>
      </c>
      <c r="X42">
        <f t="shared" si="13"/>
        <v>234.18092739692474</v>
      </c>
    </row>
    <row r="43" spans="1:24" x14ac:dyDescent="0.45">
      <c r="A43">
        <v>19.5</v>
      </c>
      <c r="B43">
        <v>-77</v>
      </c>
      <c r="C43">
        <v>66</v>
      </c>
      <c r="D43">
        <v>-192</v>
      </c>
      <c r="E43">
        <v>196</v>
      </c>
      <c r="F43">
        <f t="shared" si="0"/>
        <v>-71.5</v>
      </c>
      <c r="G43">
        <f t="shared" si="1"/>
        <v>-194</v>
      </c>
      <c r="H43">
        <f t="shared" si="14"/>
        <v>-3.575007615166193E-3</v>
      </c>
      <c r="I43">
        <f t="shared" si="14"/>
        <v>-9.7001521186075319E-3</v>
      </c>
      <c r="J43">
        <f t="shared" si="15"/>
        <v>-1.7875E-3</v>
      </c>
      <c r="K43">
        <f t="shared" si="15"/>
        <v>-4.8499999999999993E-3</v>
      </c>
      <c r="L43">
        <f t="shared" si="16"/>
        <v>-4.6137500000000005E-2</v>
      </c>
      <c r="M43">
        <f t="shared" si="16"/>
        <v>2.0225000000000007E-2</v>
      </c>
      <c r="N43">
        <f t="shared" si="5"/>
        <v>5.0375783182497531E-2</v>
      </c>
      <c r="O43">
        <f t="shared" si="6"/>
        <v>336.32910477561273</v>
      </c>
      <c r="P43">
        <f t="shared" si="7"/>
        <v>156.32910477561268</v>
      </c>
      <c r="Q43">
        <f t="shared" si="8"/>
        <v>-46.137499999999974</v>
      </c>
      <c r="R43">
        <f t="shared" si="9"/>
        <v>20.22500000000008</v>
      </c>
      <c r="S43">
        <f t="shared" si="10"/>
        <v>50.375783182497528</v>
      </c>
      <c r="T43">
        <f>Q43-'"0" цикл 24.06'!Q42</f>
        <v>-701.14884476394627</v>
      </c>
      <c r="U43">
        <f>R43-'"0" цикл 24.06'!R42</f>
        <v>-968.20825529763079</v>
      </c>
      <c r="V43">
        <f t="shared" si="11"/>
        <v>1195.4233259144221</v>
      </c>
      <c r="W43">
        <f t="shared" si="12"/>
        <v>234.08901442010716</v>
      </c>
      <c r="X43">
        <f t="shared" si="13"/>
        <v>234.08901442010716</v>
      </c>
    </row>
    <row r="44" spans="1:24" x14ac:dyDescent="0.45">
      <c r="A44">
        <v>20</v>
      </c>
      <c r="B44">
        <v>-100</v>
      </c>
      <c r="C44">
        <v>106</v>
      </c>
      <c r="D44">
        <v>-130</v>
      </c>
      <c r="E44">
        <v>140</v>
      </c>
      <c r="F44">
        <f t="shared" si="0"/>
        <v>-103</v>
      </c>
      <c r="G44">
        <f t="shared" si="1"/>
        <v>-135</v>
      </c>
      <c r="H44">
        <f t="shared" si="14"/>
        <v>-5.1500227654175425E-3</v>
      </c>
      <c r="I44">
        <f t="shared" si="14"/>
        <v>-6.7500512588634732E-3</v>
      </c>
      <c r="J44">
        <f t="shared" si="15"/>
        <v>-2.575E-3</v>
      </c>
      <c r="K44">
        <f t="shared" si="15"/>
        <v>-3.3749999999999995E-3</v>
      </c>
      <c r="L44">
        <f t="shared" si="16"/>
        <v>-4.3562500000000004E-2</v>
      </c>
      <c r="M44">
        <f t="shared" si="16"/>
        <v>2.3600000000000006E-2</v>
      </c>
      <c r="N44">
        <f t="shared" si="5"/>
        <v>4.9544438701533397E-2</v>
      </c>
      <c r="O44">
        <f t="shared" si="6"/>
        <v>331.55336407644239</v>
      </c>
      <c r="P44">
        <f t="shared" si="7"/>
        <v>151.55336407644239</v>
      </c>
      <c r="Q44">
        <f t="shared" si="8"/>
        <v>-43.5625</v>
      </c>
      <c r="R44">
        <f t="shared" si="9"/>
        <v>23.599999999999998</v>
      </c>
      <c r="S44">
        <f t="shared" si="10"/>
        <v>49.544438701533394</v>
      </c>
      <c r="T44">
        <f>Q44-'"0" цикл 24.06'!Q43</f>
        <v>-697.99873466154247</v>
      </c>
      <c r="U44">
        <f>R44-'"0" цикл 24.06'!R43</f>
        <v>-963.14596067171806</v>
      </c>
      <c r="V44">
        <f t="shared" si="11"/>
        <v>1189.4756723646606</v>
      </c>
      <c r="W44">
        <f t="shared" si="12"/>
        <v>234.06888897185476</v>
      </c>
      <c r="X44">
        <f t="shared" si="13"/>
        <v>234.06888897185476</v>
      </c>
    </row>
    <row r="45" spans="1:24" x14ac:dyDescent="0.45">
      <c r="A45">
        <v>20.5</v>
      </c>
      <c r="B45">
        <v>-136</v>
      </c>
      <c r="C45">
        <v>129</v>
      </c>
      <c r="D45">
        <v>-55</v>
      </c>
      <c r="E45">
        <v>62</v>
      </c>
      <c r="F45">
        <f t="shared" si="0"/>
        <v>-132.5</v>
      </c>
      <c r="G45">
        <f t="shared" si="1"/>
        <v>-58.5</v>
      </c>
      <c r="H45">
        <f t="shared" si="14"/>
        <v>-6.6250484635223027E-3</v>
      </c>
      <c r="I45">
        <f t="shared" si="14"/>
        <v>-2.9250041708832456E-3</v>
      </c>
      <c r="J45">
        <f t="shared" si="15"/>
        <v>-3.3124999999999999E-3</v>
      </c>
      <c r="K45">
        <f t="shared" si="15"/>
        <v>-1.4625E-3</v>
      </c>
      <c r="L45">
        <f t="shared" si="16"/>
        <v>-4.0250000000000001E-2</v>
      </c>
      <c r="M45">
        <f t="shared" si="16"/>
        <v>2.5062500000000005E-2</v>
      </c>
      <c r="N45">
        <f t="shared" si="5"/>
        <v>4.7415096817891245E-2</v>
      </c>
      <c r="O45">
        <f t="shared" si="6"/>
        <v>328.09068339941484</v>
      </c>
      <c r="P45">
        <f t="shared" si="7"/>
        <v>148.09068339941484</v>
      </c>
      <c r="Q45">
        <f t="shared" si="8"/>
        <v>-40.250000000000007</v>
      </c>
      <c r="R45">
        <f t="shared" si="9"/>
        <v>25.0625</v>
      </c>
      <c r="S45">
        <f t="shared" si="10"/>
        <v>47.415096817891246</v>
      </c>
      <c r="T45">
        <f>Q45-'"0" цикл 24.06'!Q44</f>
        <v>-693.50850211576198</v>
      </c>
      <c r="U45">
        <f>R45-'"0" цикл 24.06'!R44</f>
        <v>-959.24234840944325</v>
      </c>
      <c r="V45">
        <f t="shared" si="11"/>
        <v>1183.6806687147136</v>
      </c>
      <c r="W45">
        <f t="shared" si="12"/>
        <v>234.13400104521389</v>
      </c>
      <c r="X45">
        <f t="shared" si="13"/>
        <v>234.13400104521389</v>
      </c>
    </row>
    <row r="46" spans="1:24" x14ac:dyDescent="0.45">
      <c r="A46">
        <v>21</v>
      </c>
      <c r="B46">
        <v>-111</v>
      </c>
      <c r="C46">
        <v>111</v>
      </c>
      <c r="D46">
        <v>-26</v>
      </c>
      <c r="E46">
        <v>35</v>
      </c>
      <c r="F46">
        <f t="shared" si="0"/>
        <v>-111</v>
      </c>
      <c r="G46">
        <f t="shared" si="1"/>
        <v>-30.5</v>
      </c>
      <c r="H46">
        <f t="shared" si="14"/>
        <v>-5.5500284927074437E-3</v>
      </c>
      <c r="I46">
        <f t="shared" si="14"/>
        <v>-1.5250005910969729E-3</v>
      </c>
      <c r="J46">
        <f t="shared" si="15"/>
        <v>-2.7750000000000006E-3</v>
      </c>
      <c r="K46">
        <f t="shared" si="15"/>
        <v>-7.6250000000000005E-4</v>
      </c>
      <c r="L46">
        <f t="shared" si="16"/>
        <v>-3.7475000000000001E-2</v>
      </c>
      <c r="M46">
        <f t="shared" si="16"/>
        <v>2.5825000000000004E-2</v>
      </c>
      <c r="N46">
        <f t="shared" si="5"/>
        <v>4.551160566273179E-2</v>
      </c>
      <c r="O46">
        <f t="shared" si="6"/>
        <v>325.4282599219348</v>
      </c>
      <c r="P46">
        <f t="shared" si="7"/>
        <v>145.4282599219348</v>
      </c>
      <c r="Q46">
        <f t="shared" si="8"/>
        <v>-37.474999999999994</v>
      </c>
      <c r="R46">
        <f t="shared" si="9"/>
        <v>25.82500000000001</v>
      </c>
      <c r="S46">
        <f t="shared" si="10"/>
        <v>45.511605662731789</v>
      </c>
      <c r="T46">
        <f>Q46-'"0" цикл 24.06'!Q45</f>
        <v>-688.55342310286414</v>
      </c>
      <c r="U46">
        <f>R46-'"0" цикл 24.06'!R45</f>
        <v>-954.77792372035935</v>
      </c>
      <c r="V46">
        <f t="shared" si="11"/>
        <v>1177.1604394008627</v>
      </c>
      <c r="W46">
        <f t="shared" si="12"/>
        <v>234.20213700525829</v>
      </c>
      <c r="X46">
        <f t="shared" si="13"/>
        <v>234.20213700525829</v>
      </c>
    </row>
    <row r="47" spans="1:24" x14ac:dyDescent="0.45">
      <c r="A47">
        <v>21.5</v>
      </c>
      <c r="B47">
        <v>-55</v>
      </c>
      <c r="C47">
        <v>57</v>
      </c>
      <c r="D47">
        <v>-26</v>
      </c>
      <c r="E47">
        <v>33</v>
      </c>
      <c r="F47">
        <f t="shared" si="0"/>
        <v>-56</v>
      </c>
      <c r="G47">
        <f t="shared" si="1"/>
        <v>-29.5</v>
      </c>
      <c r="H47">
        <f t="shared" si="14"/>
        <v>-2.8000036586795746E-3</v>
      </c>
      <c r="I47">
        <f t="shared" si="14"/>
        <v>-1.4750005348416694E-3</v>
      </c>
      <c r="J47">
        <f t="shared" si="15"/>
        <v>-1.4E-3</v>
      </c>
      <c r="K47">
        <f t="shared" si="15"/>
        <v>-7.3749999999999998E-4</v>
      </c>
      <c r="L47">
        <f t="shared" si="16"/>
        <v>-3.6075000000000003E-2</v>
      </c>
      <c r="M47">
        <f t="shared" si="16"/>
        <v>2.6562500000000003E-2</v>
      </c>
      <c r="N47">
        <f t="shared" si="5"/>
        <v>4.4799241413778425E-2</v>
      </c>
      <c r="O47">
        <f t="shared" si="6"/>
        <v>323.63529229582559</v>
      </c>
      <c r="P47">
        <f t="shared" si="7"/>
        <v>143.63529229582559</v>
      </c>
      <c r="Q47">
        <f t="shared" si="8"/>
        <v>-36.075000000000003</v>
      </c>
      <c r="R47">
        <f t="shared" si="9"/>
        <v>26.5625</v>
      </c>
      <c r="S47">
        <f t="shared" si="10"/>
        <v>44.799241413778425</v>
      </c>
      <c r="T47">
        <f>Q47-'"0" цикл 24.06'!Q46</f>
        <v>-684.50768598842569</v>
      </c>
      <c r="U47">
        <f>R47-'"0" цикл 24.06'!R46</f>
        <v>-949.41236757095226</v>
      </c>
      <c r="V47">
        <f t="shared" si="11"/>
        <v>1170.4420600242927</v>
      </c>
      <c r="W47">
        <f t="shared" si="12"/>
        <v>234.20913611688925</v>
      </c>
      <c r="X47">
        <f t="shared" si="13"/>
        <v>234.20913611688925</v>
      </c>
    </row>
    <row r="48" spans="1:24" x14ac:dyDescent="0.45">
      <c r="A48">
        <v>22</v>
      </c>
      <c r="B48">
        <v>-114</v>
      </c>
      <c r="C48">
        <v>119</v>
      </c>
      <c r="D48">
        <v>60</v>
      </c>
      <c r="E48">
        <v>-50</v>
      </c>
      <c r="F48">
        <f t="shared" si="0"/>
        <v>-116.5</v>
      </c>
      <c r="G48">
        <f t="shared" si="1"/>
        <v>55</v>
      </c>
      <c r="H48">
        <f t="shared" si="14"/>
        <v>-5.8250329414847495E-3</v>
      </c>
      <c r="I48">
        <f t="shared" si="14"/>
        <v>2.7500034661576286E-3</v>
      </c>
      <c r="J48">
        <f t="shared" si="15"/>
        <v>-2.9124999999999997E-3</v>
      </c>
      <c r="K48">
        <f t="shared" si="15"/>
        <v>1.3749999999999997E-3</v>
      </c>
      <c r="L48">
        <f t="shared" si="16"/>
        <v>-3.3162500000000004E-2</v>
      </c>
      <c r="M48">
        <f t="shared" si="16"/>
        <v>2.5187500000000002E-2</v>
      </c>
      <c r="N48">
        <f t="shared" si="5"/>
        <v>4.1643265511964844E-2</v>
      </c>
      <c r="O48">
        <f t="shared" si="6"/>
        <v>322.78269268783777</v>
      </c>
      <c r="P48">
        <f t="shared" si="7"/>
        <v>142.78269268783777</v>
      </c>
      <c r="Q48">
        <f t="shared" si="8"/>
        <v>-33.16250000000003</v>
      </c>
      <c r="R48">
        <f t="shared" si="9"/>
        <v>25.187499999999975</v>
      </c>
      <c r="S48">
        <f t="shared" si="10"/>
        <v>41.643265511964842</v>
      </c>
      <c r="T48">
        <f>Q48-'"0" цикл 24.06'!Q47</f>
        <v>-679.69799340328029</v>
      </c>
      <c r="U48">
        <f>R48-'"0" цикл 24.06'!R47</f>
        <v>-947.38250241815444</v>
      </c>
      <c r="V48">
        <f t="shared" si="11"/>
        <v>1165.9858353018401</v>
      </c>
      <c r="W48">
        <f t="shared" si="12"/>
        <v>234.3425148425344</v>
      </c>
      <c r="X48">
        <f t="shared" si="13"/>
        <v>234.3425148425344</v>
      </c>
    </row>
    <row r="49" spans="1:24" x14ac:dyDescent="0.45">
      <c r="A49">
        <v>22.5</v>
      </c>
      <c r="B49">
        <v>-166</v>
      </c>
      <c r="C49">
        <v>161</v>
      </c>
      <c r="D49">
        <v>167</v>
      </c>
      <c r="E49">
        <v>-160</v>
      </c>
      <c r="F49">
        <f t="shared" si="0"/>
        <v>-163.5</v>
      </c>
      <c r="G49">
        <f t="shared" si="1"/>
        <v>163.5</v>
      </c>
      <c r="H49">
        <f t="shared" si="14"/>
        <v>-8.1750910594650898E-3</v>
      </c>
      <c r="I49">
        <f t="shared" si="14"/>
        <v>8.1750910594650898E-3</v>
      </c>
      <c r="J49">
        <f t="shared" si="15"/>
        <v>-4.0874999999999991E-3</v>
      </c>
      <c r="K49">
        <f t="shared" si="15"/>
        <v>4.0874999999999991E-3</v>
      </c>
      <c r="L49">
        <f t="shared" si="16"/>
        <v>-2.9075000000000004E-2</v>
      </c>
      <c r="M49">
        <f t="shared" si="16"/>
        <v>2.1100000000000001E-2</v>
      </c>
      <c r="N49">
        <f t="shared" si="5"/>
        <v>3.5924443280307077E-2</v>
      </c>
      <c r="O49">
        <f t="shared" si="6"/>
        <v>324.0312561974136</v>
      </c>
      <c r="P49">
        <f t="shared" si="7"/>
        <v>144.0312561974136</v>
      </c>
      <c r="Q49">
        <f t="shared" si="8"/>
        <v>-29.074999999999999</v>
      </c>
      <c r="R49">
        <f t="shared" si="9"/>
        <v>21.100000000000005</v>
      </c>
      <c r="S49">
        <f t="shared" si="10"/>
        <v>35.924443280307074</v>
      </c>
      <c r="T49">
        <f>Q49-'"0" цикл 24.06'!Q48</f>
        <v>-676.36849930334165</v>
      </c>
      <c r="U49">
        <f>R49-'"0" цикл 24.06'!R48</f>
        <v>-951.67862698707415</v>
      </c>
      <c r="V49">
        <f t="shared" si="11"/>
        <v>1167.5472392643721</v>
      </c>
      <c r="W49">
        <f t="shared" si="12"/>
        <v>234.59817185016288</v>
      </c>
      <c r="X49">
        <f t="shared" si="13"/>
        <v>234.59817185016288</v>
      </c>
    </row>
    <row r="50" spans="1:24" x14ac:dyDescent="0.45">
      <c r="A50">
        <v>23</v>
      </c>
      <c r="B50">
        <v>-188</v>
      </c>
      <c r="C50">
        <v>188</v>
      </c>
      <c r="D50">
        <v>147</v>
      </c>
      <c r="E50">
        <v>-138</v>
      </c>
      <c r="F50">
        <f t="shared" si="0"/>
        <v>-188</v>
      </c>
      <c r="G50">
        <f t="shared" si="1"/>
        <v>142.5</v>
      </c>
      <c r="H50">
        <f t="shared" si="14"/>
        <v>-9.4001384361712386E-3</v>
      </c>
      <c r="I50">
        <f t="shared" si="14"/>
        <v>7.1250602855568923E-3</v>
      </c>
      <c r="J50">
        <f t="shared" si="15"/>
        <v>-4.7000000000000011E-3</v>
      </c>
      <c r="K50">
        <f t="shared" si="15"/>
        <v>3.5624999999999997E-3</v>
      </c>
      <c r="L50">
        <f t="shared" si="16"/>
        <v>-2.4375000000000001E-2</v>
      </c>
      <c r="M50">
        <f t="shared" si="16"/>
        <v>1.7537500000000001E-2</v>
      </c>
      <c r="N50">
        <f t="shared" si="5"/>
        <v>3.0028395415839324E-2</v>
      </c>
      <c r="O50">
        <f t="shared" si="6"/>
        <v>324.26546838084425</v>
      </c>
      <c r="P50">
        <f t="shared" si="7"/>
        <v>144.26546838084425</v>
      </c>
      <c r="Q50">
        <f t="shared" si="8"/>
        <v>-24.374999999999989</v>
      </c>
      <c r="R50">
        <f t="shared" si="9"/>
        <v>17.537500000000019</v>
      </c>
      <c r="S50">
        <f t="shared" si="10"/>
        <v>30.028395415839324</v>
      </c>
      <c r="T50">
        <f>Q50-'"0" цикл 24.06'!Q49</f>
        <v>-671.23265185922082</v>
      </c>
      <c r="U50">
        <f>R50-'"0" цикл 24.06'!R49</f>
        <v>-953.91082457770244</v>
      </c>
      <c r="V50">
        <f t="shared" si="11"/>
        <v>1166.4043613466447</v>
      </c>
      <c r="W50">
        <f t="shared" si="12"/>
        <v>234.86733060469587</v>
      </c>
      <c r="X50">
        <f t="shared" si="13"/>
        <v>234.86733060469587</v>
      </c>
    </row>
    <row r="51" spans="1:24" x14ac:dyDescent="0.45">
      <c r="A51">
        <v>23.5</v>
      </c>
      <c r="B51">
        <v>-194</v>
      </c>
      <c r="C51">
        <v>191</v>
      </c>
      <c r="D51">
        <v>147</v>
      </c>
      <c r="E51">
        <v>-137</v>
      </c>
      <c r="F51">
        <f t="shared" si="0"/>
        <v>-192.5</v>
      </c>
      <c r="G51">
        <f t="shared" si="1"/>
        <v>142</v>
      </c>
      <c r="H51">
        <f t="shared" si="14"/>
        <v>-9.6251486171982838E-3</v>
      </c>
      <c r="I51">
        <f t="shared" si="14"/>
        <v>7.1000596531865462E-3</v>
      </c>
      <c r="J51">
        <f t="shared" si="15"/>
        <v>-4.8125000000000008E-3</v>
      </c>
      <c r="K51">
        <f t="shared" si="15"/>
        <v>3.5500000000000002E-3</v>
      </c>
      <c r="L51">
        <f t="shared" si="16"/>
        <v>-1.95625E-2</v>
      </c>
      <c r="M51">
        <f t="shared" si="16"/>
        <v>1.39875E-2</v>
      </c>
      <c r="N51">
        <f t="shared" si="5"/>
        <v>2.4048733074738055E-2</v>
      </c>
      <c r="O51">
        <f t="shared" si="6"/>
        <v>324.43462636510088</v>
      </c>
      <c r="P51">
        <f t="shared" si="7"/>
        <v>144.43462636510088</v>
      </c>
      <c r="Q51">
        <f t="shared" si="8"/>
        <v>-19.562499999999996</v>
      </c>
      <c r="R51">
        <f t="shared" si="9"/>
        <v>13.98750000000001</v>
      </c>
      <c r="S51">
        <f t="shared" si="10"/>
        <v>24.048733074738056</v>
      </c>
      <c r="T51">
        <f>Q51-'"0" цикл 24.06'!Q50</f>
        <v>-662.86540669226497</v>
      </c>
      <c r="U51">
        <f>R51-'"0" цикл 24.06'!R50</f>
        <v>-951.62044745316393</v>
      </c>
      <c r="V51">
        <f t="shared" si="11"/>
        <v>1159.7292888429877</v>
      </c>
      <c r="W51">
        <f t="shared" si="12"/>
        <v>235.14028465024472</v>
      </c>
      <c r="X51">
        <f t="shared" si="13"/>
        <v>235.14028465024472</v>
      </c>
    </row>
    <row r="52" spans="1:24" x14ac:dyDescent="0.45">
      <c r="A52">
        <v>24</v>
      </c>
      <c r="B52">
        <v>-238</v>
      </c>
      <c r="C52">
        <v>240</v>
      </c>
      <c r="D52">
        <v>167</v>
      </c>
      <c r="E52">
        <v>-158</v>
      </c>
      <c r="F52">
        <f t="shared" si="0"/>
        <v>-239</v>
      </c>
      <c r="G52">
        <f t="shared" si="1"/>
        <v>162.5</v>
      </c>
      <c r="H52">
        <f t="shared" si="14"/>
        <v>-1.1950284433257548E-2</v>
      </c>
      <c r="I52">
        <f t="shared" si="14"/>
        <v>8.1250893988146517E-3</v>
      </c>
      <c r="J52">
        <f t="shared" si="15"/>
        <v>-5.9750000000000003E-3</v>
      </c>
      <c r="K52">
        <f t="shared" si="15"/>
        <v>4.0624999999999993E-3</v>
      </c>
      <c r="L52">
        <f t="shared" si="16"/>
        <v>-1.3587499999999999E-2</v>
      </c>
      <c r="M52">
        <f t="shared" si="16"/>
        <v>9.9249999999999998E-3</v>
      </c>
      <c r="N52">
        <f t="shared" si="5"/>
        <v>1.6826341885567402E-2</v>
      </c>
      <c r="O52">
        <f t="shared" si="6"/>
        <v>323.85371042639559</v>
      </c>
      <c r="P52">
        <f t="shared" si="7"/>
        <v>143.85371042639559</v>
      </c>
      <c r="Q52">
        <f t="shared" si="8"/>
        <v>-13.587499999999995</v>
      </c>
      <c r="R52">
        <f t="shared" si="9"/>
        <v>9.9250000000000043</v>
      </c>
      <c r="S52">
        <f t="shared" si="10"/>
        <v>16.826341885567402</v>
      </c>
      <c r="T52">
        <f>Q52-'"0" цикл 24.06'!Q51</f>
        <v>-648.81000522879287</v>
      </c>
      <c r="U52">
        <f>R52-'"0" цикл 24.06'!R51</f>
        <v>-943.57511345768171</v>
      </c>
      <c r="V52">
        <f t="shared" si="11"/>
        <v>1145.1150237516156</v>
      </c>
      <c r="W52">
        <f t="shared" si="12"/>
        <v>235.48726673012357</v>
      </c>
      <c r="X52">
        <f t="shared" si="13"/>
        <v>235.48726673012357</v>
      </c>
    </row>
    <row r="53" spans="1:24" x14ac:dyDescent="0.45">
      <c r="A53">
        <v>24.5</v>
      </c>
      <c r="B53">
        <v>-268</v>
      </c>
      <c r="C53">
        <v>267</v>
      </c>
      <c r="D53">
        <v>197</v>
      </c>
      <c r="E53">
        <v>-188</v>
      </c>
      <c r="F53">
        <f t="shared" si="0"/>
        <v>-267.5</v>
      </c>
      <c r="G53">
        <f t="shared" si="1"/>
        <v>192.5</v>
      </c>
      <c r="H53">
        <f t="shared" ref="H53:I54" si="17">ASIN(F53/20000)</f>
        <v>-1.337539880912351E-2</v>
      </c>
      <c r="I53">
        <f t="shared" si="17"/>
        <v>9.6251486171982838E-3</v>
      </c>
      <c r="J53">
        <f t="shared" ref="J53:K54" si="18">0.5*SIN(H53)</f>
        <v>-6.6874999999999999E-3</v>
      </c>
      <c r="K53">
        <f t="shared" si="18"/>
        <v>4.8125000000000008E-3</v>
      </c>
      <c r="L53">
        <f t="shared" ref="L53:M54" si="19">J54+L54</f>
        <v>-6.899999999999999E-3</v>
      </c>
      <c r="M53">
        <f t="shared" si="19"/>
        <v>5.1124999999999999E-3</v>
      </c>
      <c r="N53">
        <f t="shared" si="5"/>
        <v>8.5876455591739464E-3</v>
      </c>
      <c r="O53">
        <f t="shared" si="6"/>
        <v>323.46369846521151</v>
      </c>
      <c r="P53">
        <f t="shared" si="7"/>
        <v>143.46369846521151</v>
      </c>
      <c r="Q53">
        <f t="shared" si="8"/>
        <v>-6.8999999999999995</v>
      </c>
      <c r="R53">
        <f t="shared" si="9"/>
        <v>5.1125000000000025</v>
      </c>
      <c r="S53">
        <f t="shared" si="10"/>
        <v>8.5876455591739465</v>
      </c>
      <c r="T53">
        <f>Q53-'"0" цикл 24.06'!Q52</f>
        <v>-630.19176697729188</v>
      </c>
      <c r="U53">
        <f>R53-'"0" цикл 24.06'!R52</f>
        <v>-930.92852566861643</v>
      </c>
      <c r="V53">
        <f t="shared" si="11"/>
        <v>1124.1750678028334</v>
      </c>
      <c r="W53">
        <f t="shared" si="12"/>
        <v>235.90397680883245</v>
      </c>
      <c r="X53">
        <f t="shared" si="13"/>
        <v>235.90397680883245</v>
      </c>
    </row>
    <row r="54" spans="1:24" x14ac:dyDescent="0.45">
      <c r="A54">
        <v>25</v>
      </c>
      <c r="B54">
        <v>-279</v>
      </c>
      <c r="C54">
        <v>273</v>
      </c>
      <c r="D54">
        <v>209</v>
      </c>
      <c r="E54">
        <v>-200</v>
      </c>
      <c r="F54">
        <f t="shared" si="0"/>
        <v>-276</v>
      </c>
      <c r="G54">
        <f t="shared" si="1"/>
        <v>204.5</v>
      </c>
      <c r="H54">
        <f t="shared" si="17"/>
        <v>-1.3800438049541007E-2</v>
      </c>
      <c r="I54">
        <f t="shared" si="17"/>
        <v>1.0225178180073208E-2</v>
      </c>
      <c r="J54">
        <f t="shared" si="18"/>
        <v>-6.899999999999999E-3</v>
      </c>
      <c r="K54">
        <f t="shared" si="18"/>
        <v>5.1124999999999999E-3</v>
      </c>
      <c r="L54">
        <f t="shared" si="19"/>
        <v>0</v>
      </c>
      <c r="M54">
        <f t="shared" si="19"/>
        <v>0</v>
      </c>
      <c r="N54">
        <f t="shared" si="5"/>
        <v>0</v>
      </c>
      <c r="O54">
        <v>0</v>
      </c>
      <c r="P54">
        <v>0</v>
      </c>
      <c r="Q54">
        <f t="shared" si="8"/>
        <v>0</v>
      </c>
      <c r="R54">
        <f t="shared" si="9"/>
        <v>0</v>
      </c>
      <c r="S54">
        <f t="shared" si="10"/>
        <v>0</v>
      </c>
      <c r="T54">
        <f>Q54-'"0" цикл 24.06'!Q53</f>
        <v>-609.23571912388809</v>
      </c>
      <c r="U54">
        <f>R54-'"0" цикл 24.06'!R53</f>
        <v>-915.46942750717574</v>
      </c>
      <c r="V54">
        <f t="shared" si="11"/>
        <v>1099.660144843268</v>
      </c>
      <c r="W54">
        <f t="shared" si="12"/>
        <v>236.35663315793096</v>
      </c>
      <c r="X54">
        <f t="shared" si="13"/>
        <v>236.35663315793096</v>
      </c>
    </row>
  </sheetData>
  <mergeCells count="1">
    <mergeCell ref="B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54"/>
  <sheetViews>
    <sheetView zoomScale="74" zoomScaleNormal="80" workbookViewId="0">
      <selection activeCell="B3" sqref="B3:E54"/>
    </sheetView>
  </sheetViews>
  <sheetFormatPr defaultRowHeight="14.25" x14ac:dyDescent="0.45"/>
  <sheetData>
    <row r="1" spans="1:24" x14ac:dyDescent="0.45">
      <c r="B1" s="57" t="s">
        <v>0</v>
      </c>
      <c r="C1" s="57"/>
      <c r="D1" s="57"/>
      <c r="E1" s="57"/>
      <c r="H1" t="s">
        <v>93</v>
      </c>
      <c r="L1" s="1"/>
      <c r="M1" s="1"/>
      <c r="O1" t="s">
        <v>1</v>
      </c>
      <c r="P1" s="4">
        <v>180</v>
      </c>
    </row>
    <row r="2" spans="1:24" x14ac:dyDescent="0.45">
      <c r="A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t="s">
        <v>7</v>
      </c>
      <c r="G2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Q2" t="s">
        <v>17</v>
      </c>
      <c r="R2" t="s">
        <v>18</v>
      </c>
      <c r="S2" s="1" t="s">
        <v>15</v>
      </c>
      <c r="T2" s="1" t="s">
        <v>19</v>
      </c>
      <c r="U2" s="1" t="s">
        <v>20</v>
      </c>
      <c r="V2" s="1" t="s">
        <v>21</v>
      </c>
      <c r="W2" s="1"/>
      <c r="X2" s="1" t="s">
        <v>22</v>
      </c>
    </row>
    <row r="3" spans="1:24" x14ac:dyDescent="0.45">
      <c r="A3">
        <v>-0.5</v>
      </c>
      <c r="F3">
        <f>(B3-C3)/2</f>
        <v>0</v>
      </c>
      <c r="G3">
        <f>(D3-E3)/2</f>
        <v>0</v>
      </c>
      <c r="H3">
        <f>ASIN(F3/20000)</f>
        <v>0</v>
      </c>
      <c r="I3">
        <f>ASIN(G3/20000)</f>
        <v>0</v>
      </c>
      <c r="J3">
        <f>0.5*SIN(H3)</f>
        <v>0</v>
      </c>
      <c r="K3">
        <f>0.5*SIN(I3)</f>
        <v>0</v>
      </c>
      <c r="L3">
        <f>J4+L4</f>
        <v>0</v>
      </c>
      <c r="M3">
        <f>K4+M4</f>
        <v>0</v>
      </c>
      <c r="N3">
        <f>SQRT(L3^2+M3^2)</f>
        <v>0</v>
      </c>
      <c r="O3" t="e">
        <f>IF(L3&gt;=0,180-DEGREES(ASIN(-M3/N3)),IF(M3&lt;0,DEGREES(ASIN(-M3/N3)),360-DEGREES(ASIN(M3/N3))))</f>
        <v>#DIV/0!</v>
      </c>
      <c r="P3" t="e">
        <f>IF((O3+$P$1)&lt;=360,O3+$P$1,O3+$P$1-360)</f>
        <v>#DIV/0!</v>
      </c>
      <c r="Q3" t="e">
        <f>1000*N3*COS(RADIANS(P3))</f>
        <v>#DIV/0!</v>
      </c>
      <c r="R3" t="e">
        <f>1000*N3*SIN(RADIANS(P3))</f>
        <v>#DIV/0!</v>
      </c>
      <c r="S3">
        <f>N3*1000</f>
        <v>0</v>
      </c>
      <c r="T3" t="e">
        <f>Q3-'"0" цикл 24.06'!#REF!</f>
        <v>#DIV/0!</v>
      </c>
      <c r="U3" t="e">
        <f>R3-'"0" цикл 24.06'!#REF!</f>
        <v>#DIV/0!</v>
      </c>
      <c r="V3" t="e">
        <f>SQRT(T3^2+U3^2)</f>
        <v>#DIV/0!</v>
      </c>
      <c r="W3" t="e">
        <f>IF(V3=0,0,IF(T3&gt;=0,DEGREES(ASIN(U3/V3)),(180-DEGREES(ASIN(U3/V3)))))</f>
        <v>#DIV/0!</v>
      </c>
      <c r="X3" t="e">
        <f>IF(W3&lt;0,360+W3,W3)</f>
        <v>#DIV/0!</v>
      </c>
    </row>
    <row r="4" spans="1:24" x14ac:dyDescent="0.45">
      <c r="A4">
        <v>0</v>
      </c>
      <c r="F4">
        <f t="shared" ref="F4:F54" si="0">(B4-C4)/2</f>
        <v>0</v>
      </c>
      <c r="G4">
        <f t="shared" ref="G4:G54" si="1">(D4-E4)/2</f>
        <v>0</v>
      </c>
      <c r="H4">
        <f t="shared" ref="H4:I19" si="2">ASIN(F4/20000)</f>
        <v>0</v>
      </c>
      <c r="I4">
        <f t="shared" si="2"/>
        <v>0</v>
      </c>
      <c r="J4">
        <f t="shared" ref="J4:K19" si="3">0.5*SIN(H4)</f>
        <v>0</v>
      </c>
      <c r="K4">
        <f t="shared" si="3"/>
        <v>0</v>
      </c>
      <c r="L4">
        <f t="shared" ref="L4:M19" si="4">J5+L5</f>
        <v>0</v>
      </c>
      <c r="M4">
        <f t="shared" si="4"/>
        <v>0</v>
      </c>
      <c r="N4">
        <f t="shared" ref="N4:N54" si="5">SQRT(L4^2+M4^2)</f>
        <v>0</v>
      </c>
      <c r="O4" t="e">
        <f t="shared" ref="O4:O53" si="6">IF(L4&gt;=0,180-DEGREES(ASIN(-M4/N4)),IF(M4&lt;0,DEGREES(ASIN(-M4/N4)),360-DEGREES(ASIN(M4/N4))))</f>
        <v>#DIV/0!</v>
      </c>
      <c r="P4" t="e">
        <f t="shared" ref="P4:P53" si="7">IF((O4+$P$1)&lt;=360,O4+$P$1,O4+$P$1-360)</f>
        <v>#DIV/0!</v>
      </c>
      <c r="Q4" t="e">
        <f t="shared" ref="Q4:Q54" si="8">1000*N4*COS(RADIANS(P4))</f>
        <v>#DIV/0!</v>
      </c>
      <c r="R4" t="e">
        <f t="shared" ref="R4:R54" si="9">1000*N4*SIN(RADIANS(P4))</f>
        <v>#DIV/0!</v>
      </c>
      <c r="S4">
        <f t="shared" ref="S4:S54" si="10">N4*1000</f>
        <v>0</v>
      </c>
      <c r="T4" t="e">
        <f>Q4-'"0" цикл 24.06'!Q3</f>
        <v>#DIV/0!</v>
      </c>
      <c r="U4" t="e">
        <f>R4-'"0" цикл 24.06'!R3</f>
        <v>#DIV/0!</v>
      </c>
      <c r="V4" t="e">
        <f t="shared" ref="V4:V54" si="11">SQRT(T4^2+U4^2)</f>
        <v>#DIV/0!</v>
      </c>
      <c r="W4" t="e">
        <f t="shared" ref="W4:W54" si="12">IF(V4=0,0,IF(T4&gt;=0,DEGREES(ASIN(U4/V4)),(180-DEGREES(ASIN(U4/V4)))))</f>
        <v>#DIV/0!</v>
      </c>
      <c r="X4" t="e">
        <f t="shared" ref="X4:X54" si="13">IF(W4&lt;0,360+W4,W4)</f>
        <v>#DIV/0!</v>
      </c>
    </row>
    <row r="5" spans="1:24" x14ac:dyDescent="0.45">
      <c r="A5">
        <v>0.5</v>
      </c>
      <c r="F5">
        <f t="shared" si="0"/>
        <v>0</v>
      </c>
      <c r="G5">
        <f t="shared" si="1"/>
        <v>0</v>
      </c>
      <c r="H5">
        <f t="shared" si="2"/>
        <v>0</v>
      </c>
      <c r="I5">
        <f t="shared" si="2"/>
        <v>0</v>
      </c>
      <c r="J5">
        <f t="shared" si="3"/>
        <v>0</v>
      </c>
      <c r="K5">
        <f t="shared" si="3"/>
        <v>0</v>
      </c>
      <c r="L5">
        <f t="shared" si="4"/>
        <v>0</v>
      </c>
      <c r="M5">
        <f t="shared" si="4"/>
        <v>0</v>
      </c>
      <c r="N5">
        <f t="shared" si="5"/>
        <v>0</v>
      </c>
      <c r="O5" t="e">
        <f t="shared" si="6"/>
        <v>#DIV/0!</v>
      </c>
      <c r="P5" t="e">
        <f t="shared" si="7"/>
        <v>#DIV/0!</v>
      </c>
      <c r="Q5" t="e">
        <f t="shared" si="8"/>
        <v>#DIV/0!</v>
      </c>
      <c r="R5" t="e">
        <f t="shared" si="9"/>
        <v>#DIV/0!</v>
      </c>
      <c r="S5">
        <f t="shared" si="10"/>
        <v>0</v>
      </c>
      <c r="T5" t="e">
        <f>Q5-'"0" цикл 24.06'!Q4</f>
        <v>#DIV/0!</v>
      </c>
      <c r="U5" t="e">
        <f>R5-'"0" цикл 24.06'!R4</f>
        <v>#DIV/0!</v>
      </c>
      <c r="V5" t="e">
        <f t="shared" si="11"/>
        <v>#DIV/0!</v>
      </c>
      <c r="W5" t="e">
        <f t="shared" si="12"/>
        <v>#DIV/0!</v>
      </c>
      <c r="X5" t="e">
        <f t="shared" si="13"/>
        <v>#DIV/0!</v>
      </c>
    </row>
    <row r="6" spans="1:24" x14ac:dyDescent="0.45">
      <c r="A6">
        <v>1</v>
      </c>
      <c r="F6">
        <f t="shared" si="0"/>
        <v>0</v>
      </c>
      <c r="G6">
        <f t="shared" si="1"/>
        <v>0</v>
      </c>
      <c r="H6">
        <f t="shared" si="2"/>
        <v>0</v>
      </c>
      <c r="I6">
        <f t="shared" si="2"/>
        <v>0</v>
      </c>
      <c r="J6">
        <f t="shared" si="3"/>
        <v>0</v>
      </c>
      <c r="K6">
        <f t="shared" si="3"/>
        <v>0</v>
      </c>
      <c r="L6">
        <f t="shared" si="4"/>
        <v>0</v>
      </c>
      <c r="M6">
        <f t="shared" si="4"/>
        <v>0</v>
      </c>
      <c r="N6">
        <f t="shared" si="5"/>
        <v>0</v>
      </c>
      <c r="O6" t="e">
        <f t="shared" si="6"/>
        <v>#DIV/0!</v>
      </c>
      <c r="P6" t="e">
        <f t="shared" si="7"/>
        <v>#DIV/0!</v>
      </c>
      <c r="Q6" t="e">
        <f t="shared" si="8"/>
        <v>#DIV/0!</v>
      </c>
      <c r="R6" t="e">
        <f t="shared" si="9"/>
        <v>#DIV/0!</v>
      </c>
      <c r="S6">
        <f t="shared" si="10"/>
        <v>0</v>
      </c>
      <c r="T6" t="e">
        <f>Q6-'"0" цикл 24.06'!Q5</f>
        <v>#DIV/0!</v>
      </c>
      <c r="U6" t="e">
        <f>R6-'"0" цикл 24.06'!R5</f>
        <v>#DIV/0!</v>
      </c>
      <c r="V6" t="e">
        <f t="shared" si="11"/>
        <v>#DIV/0!</v>
      </c>
      <c r="W6" t="e">
        <f t="shared" si="12"/>
        <v>#DIV/0!</v>
      </c>
      <c r="X6" t="e">
        <f t="shared" si="13"/>
        <v>#DIV/0!</v>
      </c>
    </row>
    <row r="7" spans="1:24" x14ac:dyDescent="0.45">
      <c r="A7">
        <v>1.5</v>
      </c>
      <c r="F7">
        <f t="shared" si="0"/>
        <v>0</v>
      </c>
      <c r="G7">
        <f t="shared" si="1"/>
        <v>0</v>
      </c>
      <c r="H7">
        <f t="shared" si="2"/>
        <v>0</v>
      </c>
      <c r="I7">
        <f t="shared" si="2"/>
        <v>0</v>
      </c>
      <c r="J7">
        <f t="shared" si="3"/>
        <v>0</v>
      </c>
      <c r="K7">
        <f t="shared" si="3"/>
        <v>0</v>
      </c>
      <c r="L7">
        <f t="shared" si="4"/>
        <v>0</v>
      </c>
      <c r="M7">
        <f t="shared" si="4"/>
        <v>0</v>
      </c>
      <c r="N7">
        <f t="shared" si="5"/>
        <v>0</v>
      </c>
      <c r="O7" t="e">
        <f t="shared" si="6"/>
        <v>#DIV/0!</v>
      </c>
      <c r="P7" t="e">
        <f t="shared" si="7"/>
        <v>#DIV/0!</v>
      </c>
      <c r="Q7" t="e">
        <f t="shared" si="8"/>
        <v>#DIV/0!</v>
      </c>
      <c r="R7" t="e">
        <f t="shared" si="9"/>
        <v>#DIV/0!</v>
      </c>
      <c r="S7">
        <f t="shared" si="10"/>
        <v>0</v>
      </c>
      <c r="T7" t="e">
        <f>Q7-'"0" цикл 24.06'!Q6</f>
        <v>#DIV/0!</v>
      </c>
      <c r="U7" t="e">
        <f>R7-'"0" цикл 24.06'!R6</f>
        <v>#DIV/0!</v>
      </c>
      <c r="V7" t="e">
        <f t="shared" si="11"/>
        <v>#DIV/0!</v>
      </c>
      <c r="W7" t="e">
        <f t="shared" si="12"/>
        <v>#DIV/0!</v>
      </c>
      <c r="X7" t="e">
        <f t="shared" si="13"/>
        <v>#DIV/0!</v>
      </c>
    </row>
    <row r="8" spans="1:24" x14ac:dyDescent="0.45">
      <c r="A8">
        <v>2</v>
      </c>
      <c r="F8">
        <f t="shared" si="0"/>
        <v>0</v>
      </c>
      <c r="G8">
        <f t="shared" si="1"/>
        <v>0</v>
      </c>
      <c r="H8">
        <f t="shared" si="2"/>
        <v>0</v>
      </c>
      <c r="I8">
        <f t="shared" si="2"/>
        <v>0</v>
      </c>
      <c r="J8">
        <f t="shared" si="3"/>
        <v>0</v>
      </c>
      <c r="K8">
        <f t="shared" si="3"/>
        <v>0</v>
      </c>
      <c r="L8">
        <f t="shared" si="4"/>
        <v>0</v>
      </c>
      <c r="M8">
        <f t="shared" si="4"/>
        <v>0</v>
      </c>
      <c r="N8">
        <f t="shared" si="5"/>
        <v>0</v>
      </c>
      <c r="O8" t="e">
        <f t="shared" si="6"/>
        <v>#DIV/0!</v>
      </c>
      <c r="P8" t="e">
        <f t="shared" si="7"/>
        <v>#DIV/0!</v>
      </c>
      <c r="Q8" t="e">
        <f t="shared" si="8"/>
        <v>#DIV/0!</v>
      </c>
      <c r="R8" t="e">
        <f t="shared" si="9"/>
        <v>#DIV/0!</v>
      </c>
      <c r="S8">
        <f t="shared" si="10"/>
        <v>0</v>
      </c>
      <c r="T8" t="e">
        <f>Q8-'"0" цикл 24.06'!Q7</f>
        <v>#DIV/0!</v>
      </c>
      <c r="U8" t="e">
        <f>R8-'"0" цикл 24.06'!R7</f>
        <v>#DIV/0!</v>
      </c>
      <c r="V8" t="e">
        <f t="shared" si="11"/>
        <v>#DIV/0!</v>
      </c>
      <c r="W8" t="e">
        <f t="shared" si="12"/>
        <v>#DIV/0!</v>
      </c>
      <c r="X8" t="e">
        <f t="shared" si="13"/>
        <v>#DIV/0!</v>
      </c>
    </row>
    <row r="9" spans="1:24" x14ac:dyDescent="0.45">
      <c r="A9">
        <v>2.5</v>
      </c>
      <c r="F9">
        <f t="shared" si="0"/>
        <v>0</v>
      </c>
      <c r="G9">
        <f t="shared" si="1"/>
        <v>0</v>
      </c>
      <c r="H9">
        <f t="shared" si="2"/>
        <v>0</v>
      </c>
      <c r="I9">
        <f t="shared" si="2"/>
        <v>0</v>
      </c>
      <c r="J9">
        <f t="shared" si="3"/>
        <v>0</v>
      </c>
      <c r="K9">
        <f t="shared" si="3"/>
        <v>0</v>
      </c>
      <c r="L9">
        <f t="shared" si="4"/>
        <v>0</v>
      </c>
      <c r="M9">
        <f t="shared" si="4"/>
        <v>0</v>
      </c>
      <c r="N9">
        <f t="shared" si="5"/>
        <v>0</v>
      </c>
      <c r="O9" t="e">
        <f t="shared" si="6"/>
        <v>#DIV/0!</v>
      </c>
      <c r="P9" t="e">
        <f t="shared" si="7"/>
        <v>#DIV/0!</v>
      </c>
      <c r="Q9" t="e">
        <f t="shared" si="8"/>
        <v>#DIV/0!</v>
      </c>
      <c r="R9" t="e">
        <f t="shared" si="9"/>
        <v>#DIV/0!</v>
      </c>
      <c r="S9">
        <f t="shared" si="10"/>
        <v>0</v>
      </c>
      <c r="T9" t="e">
        <f>Q9-'"0" цикл 24.06'!Q8</f>
        <v>#DIV/0!</v>
      </c>
      <c r="U9" t="e">
        <f>R9-'"0" цикл 24.06'!R8</f>
        <v>#DIV/0!</v>
      </c>
      <c r="V9" t="e">
        <f t="shared" si="11"/>
        <v>#DIV/0!</v>
      </c>
      <c r="W9" t="e">
        <f t="shared" si="12"/>
        <v>#DIV/0!</v>
      </c>
      <c r="X9" t="e">
        <f t="shared" si="13"/>
        <v>#DIV/0!</v>
      </c>
    </row>
    <row r="10" spans="1:24" x14ac:dyDescent="0.45">
      <c r="A10">
        <v>3</v>
      </c>
      <c r="F10">
        <f t="shared" si="0"/>
        <v>0</v>
      </c>
      <c r="G10">
        <f t="shared" si="1"/>
        <v>0</v>
      </c>
      <c r="H10">
        <f t="shared" si="2"/>
        <v>0</v>
      </c>
      <c r="I10">
        <f t="shared" si="2"/>
        <v>0</v>
      </c>
      <c r="J10">
        <f t="shared" si="3"/>
        <v>0</v>
      </c>
      <c r="K10">
        <f t="shared" si="3"/>
        <v>0</v>
      </c>
      <c r="L10">
        <f t="shared" si="4"/>
        <v>0</v>
      </c>
      <c r="M10">
        <f t="shared" si="4"/>
        <v>0</v>
      </c>
      <c r="N10">
        <f t="shared" si="5"/>
        <v>0</v>
      </c>
      <c r="O10" t="e">
        <f t="shared" si="6"/>
        <v>#DIV/0!</v>
      </c>
      <c r="P10" t="e">
        <f t="shared" si="7"/>
        <v>#DIV/0!</v>
      </c>
      <c r="Q10" t="e">
        <f t="shared" si="8"/>
        <v>#DIV/0!</v>
      </c>
      <c r="R10" t="e">
        <f t="shared" si="9"/>
        <v>#DIV/0!</v>
      </c>
      <c r="S10">
        <f t="shared" si="10"/>
        <v>0</v>
      </c>
      <c r="T10" t="e">
        <f>Q10-'"0" цикл 24.06'!Q9</f>
        <v>#DIV/0!</v>
      </c>
      <c r="U10" t="e">
        <f>R10-'"0" цикл 24.06'!R9</f>
        <v>#DIV/0!</v>
      </c>
      <c r="V10" t="e">
        <f t="shared" si="11"/>
        <v>#DIV/0!</v>
      </c>
      <c r="W10" t="e">
        <f t="shared" si="12"/>
        <v>#DIV/0!</v>
      </c>
      <c r="X10" t="e">
        <f t="shared" si="13"/>
        <v>#DIV/0!</v>
      </c>
    </row>
    <row r="11" spans="1:24" x14ac:dyDescent="0.45">
      <c r="A11">
        <v>3.5</v>
      </c>
      <c r="F11">
        <f t="shared" si="0"/>
        <v>0</v>
      </c>
      <c r="G11">
        <f t="shared" si="1"/>
        <v>0</v>
      </c>
      <c r="H11">
        <f t="shared" si="2"/>
        <v>0</v>
      </c>
      <c r="I11">
        <f t="shared" si="2"/>
        <v>0</v>
      </c>
      <c r="J11">
        <f t="shared" si="3"/>
        <v>0</v>
      </c>
      <c r="K11">
        <f t="shared" si="3"/>
        <v>0</v>
      </c>
      <c r="L11">
        <f t="shared" si="4"/>
        <v>0</v>
      </c>
      <c r="M11">
        <f t="shared" si="4"/>
        <v>0</v>
      </c>
      <c r="N11">
        <f t="shared" si="5"/>
        <v>0</v>
      </c>
      <c r="O11" t="e">
        <f t="shared" si="6"/>
        <v>#DIV/0!</v>
      </c>
      <c r="P11" t="e">
        <f t="shared" si="7"/>
        <v>#DIV/0!</v>
      </c>
      <c r="Q11" t="e">
        <f t="shared" si="8"/>
        <v>#DIV/0!</v>
      </c>
      <c r="R11" t="e">
        <f t="shared" si="9"/>
        <v>#DIV/0!</v>
      </c>
      <c r="S11">
        <f t="shared" si="10"/>
        <v>0</v>
      </c>
      <c r="T11" t="e">
        <f>Q11-'"0" цикл 24.06'!Q10</f>
        <v>#DIV/0!</v>
      </c>
      <c r="U11" t="e">
        <f>R11-'"0" цикл 24.06'!R10</f>
        <v>#DIV/0!</v>
      </c>
      <c r="V11" t="e">
        <f t="shared" si="11"/>
        <v>#DIV/0!</v>
      </c>
      <c r="W11" t="e">
        <f t="shared" si="12"/>
        <v>#DIV/0!</v>
      </c>
      <c r="X11" t="e">
        <f t="shared" si="13"/>
        <v>#DIV/0!</v>
      </c>
    </row>
    <row r="12" spans="1:24" x14ac:dyDescent="0.45">
      <c r="A12">
        <v>4</v>
      </c>
      <c r="F12">
        <f t="shared" si="0"/>
        <v>0</v>
      </c>
      <c r="G12">
        <f t="shared" si="1"/>
        <v>0</v>
      </c>
      <c r="H12">
        <f t="shared" si="2"/>
        <v>0</v>
      </c>
      <c r="I12">
        <f t="shared" si="2"/>
        <v>0</v>
      </c>
      <c r="J12">
        <f t="shared" si="3"/>
        <v>0</v>
      </c>
      <c r="K12">
        <f t="shared" si="3"/>
        <v>0</v>
      </c>
      <c r="L12">
        <f t="shared" si="4"/>
        <v>0</v>
      </c>
      <c r="M12">
        <f t="shared" si="4"/>
        <v>0</v>
      </c>
      <c r="N12">
        <f t="shared" si="5"/>
        <v>0</v>
      </c>
      <c r="O12" t="e">
        <f t="shared" si="6"/>
        <v>#DIV/0!</v>
      </c>
      <c r="P12" t="e">
        <f t="shared" si="7"/>
        <v>#DIV/0!</v>
      </c>
      <c r="Q12" t="e">
        <f t="shared" si="8"/>
        <v>#DIV/0!</v>
      </c>
      <c r="R12" t="e">
        <f t="shared" si="9"/>
        <v>#DIV/0!</v>
      </c>
      <c r="S12">
        <f t="shared" si="10"/>
        <v>0</v>
      </c>
      <c r="T12" t="e">
        <f>Q12-'"0" цикл 24.06'!Q11</f>
        <v>#DIV/0!</v>
      </c>
      <c r="U12" t="e">
        <f>R12-'"0" цикл 24.06'!R11</f>
        <v>#DIV/0!</v>
      </c>
      <c r="V12" t="e">
        <f t="shared" si="11"/>
        <v>#DIV/0!</v>
      </c>
      <c r="W12" t="e">
        <f t="shared" si="12"/>
        <v>#DIV/0!</v>
      </c>
      <c r="X12" t="e">
        <f t="shared" si="13"/>
        <v>#DIV/0!</v>
      </c>
    </row>
    <row r="13" spans="1:24" x14ac:dyDescent="0.45">
      <c r="A13">
        <v>4.5</v>
      </c>
      <c r="F13">
        <f t="shared" si="0"/>
        <v>0</v>
      </c>
      <c r="G13">
        <f t="shared" si="1"/>
        <v>0</v>
      </c>
      <c r="H13">
        <f t="shared" si="2"/>
        <v>0</v>
      </c>
      <c r="I13">
        <f t="shared" si="2"/>
        <v>0</v>
      </c>
      <c r="J13">
        <f t="shared" si="3"/>
        <v>0</v>
      </c>
      <c r="K13">
        <f t="shared" si="3"/>
        <v>0</v>
      </c>
      <c r="L13">
        <f t="shared" si="4"/>
        <v>0</v>
      </c>
      <c r="M13">
        <f t="shared" si="4"/>
        <v>0</v>
      </c>
      <c r="N13">
        <f t="shared" si="5"/>
        <v>0</v>
      </c>
      <c r="O13" t="e">
        <f t="shared" si="6"/>
        <v>#DIV/0!</v>
      </c>
      <c r="P13" t="e">
        <f t="shared" si="7"/>
        <v>#DIV/0!</v>
      </c>
      <c r="Q13" t="e">
        <f t="shared" si="8"/>
        <v>#DIV/0!</v>
      </c>
      <c r="R13" t="e">
        <f t="shared" si="9"/>
        <v>#DIV/0!</v>
      </c>
      <c r="S13">
        <f t="shared" si="10"/>
        <v>0</v>
      </c>
      <c r="T13" t="e">
        <f>Q13-'"0" цикл 24.06'!Q12</f>
        <v>#DIV/0!</v>
      </c>
      <c r="U13" t="e">
        <f>R13-'"0" цикл 24.06'!R12</f>
        <v>#DIV/0!</v>
      </c>
      <c r="V13" t="e">
        <f t="shared" si="11"/>
        <v>#DIV/0!</v>
      </c>
      <c r="W13" t="e">
        <f t="shared" si="12"/>
        <v>#DIV/0!</v>
      </c>
      <c r="X13" t="e">
        <f t="shared" si="13"/>
        <v>#DIV/0!</v>
      </c>
    </row>
    <row r="14" spans="1:24" x14ac:dyDescent="0.45">
      <c r="A14">
        <v>5</v>
      </c>
      <c r="F14">
        <f t="shared" si="0"/>
        <v>0</v>
      </c>
      <c r="G14">
        <f t="shared" si="1"/>
        <v>0</v>
      </c>
      <c r="H14">
        <f t="shared" si="2"/>
        <v>0</v>
      </c>
      <c r="I14">
        <f t="shared" si="2"/>
        <v>0</v>
      </c>
      <c r="J14">
        <f t="shared" si="3"/>
        <v>0</v>
      </c>
      <c r="K14">
        <f t="shared" si="3"/>
        <v>0</v>
      </c>
      <c r="L14">
        <f t="shared" si="4"/>
        <v>0</v>
      </c>
      <c r="M14">
        <f t="shared" si="4"/>
        <v>0</v>
      </c>
      <c r="N14">
        <f t="shared" si="5"/>
        <v>0</v>
      </c>
      <c r="O14" t="e">
        <f t="shared" si="6"/>
        <v>#DIV/0!</v>
      </c>
      <c r="P14" t="e">
        <f t="shared" si="7"/>
        <v>#DIV/0!</v>
      </c>
      <c r="Q14" t="e">
        <f t="shared" si="8"/>
        <v>#DIV/0!</v>
      </c>
      <c r="R14" t="e">
        <f t="shared" si="9"/>
        <v>#DIV/0!</v>
      </c>
      <c r="S14">
        <f t="shared" si="10"/>
        <v>0</v>
      </c>
      <c r="T14" t="e">
        <f>Q14-'"0" цикл 24.06'!Q13</f>
        <v>#DIV/0!</v>
      </c>
      <c r="U14" t="e">
        <f>R14-'"0" цикл 24.06'!R13</f>
        <v>#DIV/0!</v>
      </c>
      <c r="V14" t="e">
        <f t="shared" si="11"/>
        <v>#DIV/0!</v>
      </c>
      <c r="W14" t="e">
        <f t="shared" si="12"/>
        <v>#DIV/0!</v>
      </c>
      <c r="X14" t="e">
        <f t="shared" si="13"/>
        <v>#DIV/0!</v>
      </c>
    </row>
    <row r="15" spans="1:24" x14ac:dyDescent="0.45">
      <c r="A15">
        <v>5.5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2"/>
        <v>0</v>
      </c>
      <c r="J15">
        <f t="shared" si="3"/>
        <v>0</v>
      </c>
      <c r="K15">
        <f t="shared" si="3"/>
        <v>0</v>
      </c>
      <c r="L15">
        <f t="shared" si="4"/>
        <v>0</v>
      </c>
      <c r="M15">
        <f t="shared" si="4"/>
        <v>0</v>
      </c>
      <c r="N15">
        <f t="shared" si="5"/>
        <v>0</v>
      </c>
      <c r="O15" t="e">
        <f t="shared" si="6"/>
        <v>#DIV/0!</v>
      </c>
      <c r="P15" t="e">
        <f t="shared" si="7"/>
        <v>#DIV/0!</v>
      </c>
      <c r="Q15" t="e">
        <f t="shared" si="8"/>
        <v>#DIV/0!</v>
      </c>
      <c r="R15" t="e">
        <f t="shared" si="9"/>
        <v>#DIV/0!</v>
      </c>
      <c r="S15">
        <f t="shared" si="10"/>
        <v>0</v>
      </c>
      <c r="T15" t="e">
        <f>Q15-'"0" цикл 24.06'!Q14</f>
        <v>#DIV/0!</v>
      </c>
      <c r="U15" t="e">
        <f>R15-'"0" цикл 24.06'!R14</f>
        <v>#DIV/0!</v>
      </c>
      <c r="V15" t="e">
        <f t="shared" si="11"/>
        <v>#DIV/0!</v>
      </c>
      <c r="W15" t="e">
        <f t="shared" si="12"/>
        <v>#DIV/0!</v>
      </c>
      <c r="X15" t="e">
        <f t="shared" si="13"/>
        <v>#DIV/0!</v>
      </c>
    </row>
    <row r="16" spans="1:24" x14ac:dyDescent="0.45">
      <c r="A16">
        <v>6</v>
      </c>
      <c r="F16">
        <f t="shared" si="0"/>
        <v>0</v>
      </c>
      <c r="G16">
        <f t="shared" si="1"/>
        <v>0</v>
      </c>
      <c r="H16">
        <f t="shared" si="2"/>
        <v>0</v>
      </c>
      <c r="I16">
        <f t="shared" si="2"/>
        <v>0</v>
      </c>
      <c r="J16">
        <f t="shared" si="3"/>
        <v>0</v>
      </c>
      <c r="K16">
        <f t="shared" si="3"/>
        <v>0</v>
      </c>
      <c r="L16">
        <f t="shared" si="4"/>
        <v>0</v>
      </c>
      <c r="M16">
        <f t="shared" si="4"/>
        <v>0</v>
      </c>
      <c r="N16">
        <f t="shared" si="5"/>
        <v>0</v>
      </c>
      <c r="O16" t="e">
        <f t="shared" si="6"/>
        <v>#DIV/0!</v>
      </c>
      <c r="P16" t="e">
        <f t="shared" si="7"/>
        <v>#DIV/0!</v>
      </c>
      <c r="Q16" t="e">
        <f t="shared" si="8"/>
        <v>#DIV/0!</v>
      </c>
      <c r="R16" t="e">
        <f t="shared" si="9"/>
        <v>#DIV/0!</v>
      </c>
      <c r="S16">
        <f t="shared" si="10"/>
        <v>0</v>
      </c>
      <c r="T16" t="e">
        <f>Q16-'"0" цикл 24.06'!Q15</f>
        <v>#DIV/0!</v>
      </c>
      <c r="U16" t="e">
        <f>R16-'"0" цикл 24.06'!R15</f>
        <v>#DIV/0!</v>
      </c>
      <c r="V16" t="e">
        <f t="shared" si="11"/>
        <v>#DIV/0!</v>
      </c>
      <c r="W16" t="e">
        <f t="shared" si="12"/>
        <v>#DIV/0!</v>
      </c>
      <c r="X16" t="e">
        <f t="shared" si="13"/>
        <v>#DIV/0!</v>
      </c>
    </row>
    <row r="17" spans="1:24" x14ac:dyDescent="0.45">
      <c r="A17">
        <v>6.5</v>
      </c>
      <c r="F17">
        <f t="shared" si="0"/>
        <v>0</v>
      </c>
      <c r="G17">
        <f t="shared" si="1"/>
        <v>0</v>
      </c>
      <c r="H17">
        <f t="shared" si="2"/>
        <v>0</v>
      </c>
      <c r="I17">
        <f t="shared" si="2"/>
        <v>0</v>
      </c>
      <c r="J17">
        <f t="shared" si="3"/>
        <v>0</v>
      </c>
      <c r="K17">
        <f t="shared" si="3"/>
        <v>0</v>
      </c>
      <c r="L17">
        <f t="shared" si="4"/>
        <v>0</v>
      </c>
      <c r="M17">
        <f t="shared" si="4"/>
        <v>0</v>
      </c>
      <c r="N17">
        <f t="shared" si="5"/>
        <v>0</v>
      </c>
      <c r="O17" t="e">
        <f t="shared" si="6"/>
        <v>#DIV/0!</v>
      </c>
      <c r="P17" t="e">
        <f t="shared" si="7"/>
        <v>#DIV/0!</v>
      </c>
      <c r="Q17" t="e">
        <f t="shared" si="8"/>
        <v>#DIV/0!</v>
      </c>
      <c r="R17" t="e">
        <f t="shared" si="9"/>
        <v>#DIV/0!</v>
      </c>
      <c r="S17">
        <f t="shared" si="10"/>
        <v>0</v>
      </c>
      <c r="T17" t="e">
        <f>Q17-'"0" цикл 24.06'!Q16</f>
        <v>#DIV/0!</v>
      </c>
      <c r="U17" t="e">
        <f>R17-'"0" цикл 24.06'!R16</f>
        <v>#DIV/0!</v>
      </c>
      <c r="V17" t="e">
        <f t="shared" si="11"/>
        <v>#DIV/0!</v>
      </c>
      <c r="W17" t="e">
        <f t="shared" si="12"/>
        <v>#DIV/0!</v>
      </c>
      <c r="X17" t="e">
        <f t="shared" si="13"/>
        <v>#DIV/0!</v>
      </c>
    </row>
    <row r="18" spans="1:24" x14ac:dyDescent="0.45">
      <c r="A18">
        <v>7</v>
      </c>
      <c r="F18">
        <f t="shared" si="0"/>
        <v>0</v>
      </c>
      <c r="G18">
        <f t="shared" si="1"/>
        <v>0</v>
      </c>
      <c r="H18">
        <f t="shared" si="2"/>
        <v>0</v>
      </c>
      <c r="I18">
        <f t="shared" si="2"/>
        <v>0</v>
      </c>
      <c r="J18">
        <f t="shared" si="3"/>
        <v>0</v>
      </c>
      <c r="K18">
        <f t="shared" si="3"/>
        <v>0</v>
      </c>
      <c r="L18">
        <f t="shared" si="4"/>
        <v>0</v>
      </c>
      <c r="M18">
        <f t="shared" si="4"/>
        <v>0</v>
      </c>
      <c r="N18">
        <f t="shared" si="5"/>
        <v>0</v>
      </c>
      <c r="O18" t="e">
        <f t="shared" si="6"/>
        <v>#DIV/0!</v>
      </c>
      <c r="P18" t="e">
        <f t="shared" si="7"/>
        <v>#DIV/0!</v>
      </c>
      <c r="Q18" t="e">
        <f t="shared" si="8"/>
        <v>#DIV/0!</v>
      </c>
      <c r="R18" t="e">
        <f t="shared" si="9"/>
        <v>#DIV/0!</v>
      </c>
      <c r="S18">
        <f t="shared" si="10"/>
        <v>0</v>
      </c>
      <c r="T18" t="e">
        <f>Q18-'"0" цикл 24.06'!Q17</f>
        <v>#DIV/0!</v>
      </c>
      <c r="U18" t="e">
        <f>R18-'"0" цикл 24.06'!R17</f>
        <v>#DIV/0!</v>
      </c>
      <c r="V18" t="e">
        <f t="shared" si="11"/>
        <v>#DIV/0!</v>
      </c>
      <c r="W18" t="e">
        <f t="shared" si="12"/>
        <v>#DIV/0!</v>
      </c>
      <c r="X18" t="e">
        <f t="shared" si="13"/>
        <v>#DIV/0!</v>
      </c>
    </row>
    <row r="19" spans="1:24" x14ac:dyDescent="0.45">
      <c r="A19">
        <v>7.5</v>
      </c>
      <c r="F19">
        <f t="shared" si="0"/>
        <v>0</v>
      </c>
      <c r="G19">
        <f t="shared" si="1"/>
        <v>0</v>
      </c>
      <c r="H19">
        <f t="shared" si="2"/>
        <v>0</v>
      </c>
      <c r="I19">
        <f t="shared" si="2"/>
        <v>0</v>
      </c>
      <c r="J19">
        <f t="shared" si="3"/>
        <v>0</v>
      </c>
      <c r="K19">
        <f t="shared" si="3"/>
        <v>0</v>
      </c>
      <c r="L19">
        <f t="shared" si="4"/>
        <v>0</v>
      </c>
      <c r="M19">
        <f t="shared" si="4"/>
        <v>0</v>
      </c>
      <c r="N19">
        <f t="shared" si="5"/>
        <v>0</v>
      </c>
      <c r="O19" t="e">
        <f t="shared" si="6"/>
        <v>#DIV/0!</v>
      </c>
      <c r="P19" t="e">
        <f t="shared" si="7"/>
        <v>#DIV/0!</v>
      </c>
      <c r="Q19" t="e">
        <f t="shared" si="8"/>
        <v>#DIV/0!</v>
      </c>
      <c r="R19" t="e">
        <f t="shared" si="9"/>
        <v>#DIV/0!</v>
      </c>
      <c r="S19">
        <f t="shared" si="10"/>
        <v>0</v>
      </c>
      <c r="T19" t="e">
        <f>Q19-'"0" цикл 24.06'!Q18</f>
        <v>#DIV/0!</v>
      </c>
      <c r="U19" t="e">
        <f>R19-'"0" цикл 24.06'!R18</f>
        <v>#DIV/0!</v>
      </c>
      <c r="V19" t="e">
        <f t="shared" si="11"/>
        <v>#DIV/0!</v>
      </c>
      <c r="W19" t="e">
        <f t="shared" si="12"/>
        <v>#DIV/0!</v>
      </c>
      <c r="X19" t="e">
        <f t="shared" si="13"/>
        <v>#DIV/0!</v>
      </c>
    </row>
    <row r="20" spans="1:24" x14ac:dyDescent="0.45">
      <c r="A20">
        <v>8</v>
      </c>
      <c r="F20">
        <f t="shared" si="0"/>
        <v>0</v>
      </c>
      <c r="G20">
        <f t="shared" si="1"/>
        <v>0</v>
      </c>
      <c r="H20">
        <f t="shared" ref="H20:I52" si="14">ASIN(F20/20000)</f>
        <v>0</v>
      </c>
      <c r="I20">
        <f t="shared" si="14"/>
        <v>0</v>
      </c>
      <c r="J20">
        <f t="shared" ref="J20:K52" si="15">0.5*SIN(H20)</f>
        <v>0</v>
      </c>
      <c r="K20">
        <f t="shared" si="15"/>
        <v>0</v>
      </c>
      <c r="L20">
        <f t="shared" ref="L20:M52" si="16">J21+L21</f>
        <v>0</v>
      </c>
      <c r="M20">
        <f t="shared" si="16"/>
        <v>0</v>
      </c>
      <c r="N20">
        <f t="shared" si="5"/>
        <v>0</v>
      </c>
      <c r="O20" t="e">
        <f t="shared" si="6"/>
        <v>#DIV/0!</v>
      </c>
      <c r="P20" t="e">
        <f t="shared" si="7"/>
        <v>#DIV/0!</v>
      </c>
      <c r="Q20" t="e">
        <f t="shared" si="8"/>
        <v>#DIV/0!</v>
      </c>
      <c r="R20" t="e">
        <f t="shared" si="9"/>
        <v>#DIV/0!</v>
      </c>
      <c r="S20">
        <f t="shared" si="10"/>
        <v>0</v>
      </c>
      <c r="T20" t="e">
        <f>Q20-'"0" цикл 24.06'!Q19</f>
        <v>#DIV/0!</v>
      </c>
      <c r="U20" t="e">
        <f>R20-'"0" цикл 24.06'!R19</f>
        <v>#DIV/0!</v>
      </c>
      <c r="V20" t="e">
        <f t="shared" si="11"/>
        <v>#DIV/0!</v>
      </c>
      <c r="W20" t="e">
        <f t="shared" si="12"/>
        <v>#DIV/0!</v>
      </c>
      <c r="X20" t="e">
        <f t="shared" si="13"/>
        <v>#DIV/0!</v>
      </c>
    </row>
    <row r="21" spans="1:24" x14ac:dyDescent="0.45">
      <c r="A21">
        <v>8.5</v>
      </c>
      <c r="F21">
        <f t="shared" si="0"/>
        <v>0</v>
      </c>
      <c r="G21">
        <f t="shared" si="1"/>
        <v>0</v>
      </c>
      <c r="H21">
        <f t="shared" si="14"/>
        <v>0</v>
      </c>
      <c r="I21">
        <f t="shared" si="14"/>
        <v>0</v>
      </c>
      <c r="J21">
        <f t="shared" si="15"/>
        <v>0</v>
      </c>
      <c r="K21">
        <f t="shared" si="15"/>
        <v>0</v>
      </c>
      <c r="L21">
        <f t="shared" si="16"/>
        <v>0</v>
      </c>
      <c r="M21">
        <f t="shared" si="16"/>
        <v>0</v>
      </c>
      <c r="N21">
        <f t="shared" si="5"/>
        <v>0</v>
      </c>
      <c r="O21" t="e">
        <f t="shared" si="6"/>
        <v>#DIV/0!</v>
      </c>
      <c r="P21" t="e">
        <f t="shared" si="7"/>
        <v>#DIV/0!</v>
      </c>
      <c r="Q21" t="e">
        <f t="shared" si="8"/>
        <v>#DIV/0!</v>
      </c>
      <c r="R21" t="e">
        <f t="shared" si="9"/>
        <v>#DIV/0!</v>
      </c>
      <c r="S21">
        <f t="shared" si="10"/>
        <v>0</v>
      </c>
      <c r="T21" t="e">
        <f>Q21-'"0" цикл 24.06'!Q20</f>
        <v>#DIV/0!</v>
      </c>
      <c r="U21" t="e">
        <f>R21-'"0" цикл 24.06'!R20</f>
        <v>#DIV/0!</v>
      </c>
      <c r="V21" t="e">
        <f t="shared" si="11"/>
        <v>#DIV/0!</v>
      </c>
      <c r="W21" t="e">
        <f t="shared" si="12"/>
        <v>#DIV/0!</v>
      </c>
      <c r="X21" t="e">
        <f t="shared" si="13"/>
        <v>#DIV/0!</v>
      </c>
    </row>
    <row r="22" spans="1:24" x14ac:dyDescent="0.45">
      <c r="A22">
        <v>9</v>
      </c>
      <c r="F22">
        <f t="shared" si="0"/>
        <v>0</v>
      </c>
      <c r="G22">
        <f t="shared" si="1"/>
        <v>0</v>
      </c>
      <c r="H22">
        <f t="shared" si="14"/>
        <v>0</v>
      </c>
      <c r="I22">
        <f t="shared" si="14"/>
        <v>0</v>
      </c>
      <c r="J22">
        <f t="shared" si="15"/>
        <v>0</v>
      </c>
      <c r="K22">
        <f t="shared" si="15"/>
        <v>0</v>
      </c>
      <c r="L22">
        <f t="shared" si="16"/>
        <v>0</v>
      </c>
      <c r="M22">
        <f t="shared" si="16"/>
        <v>0</v>
      </c>
      <c r="N22">
        <f t="shared" si="5"/>
        <v>0</v>
      </c>
      <c r="O22" t="e">
        <f t="shared" si="6"/>
        <v>#DIV/0!</v>
      </c>
      <c r="P22" t="e">
        <f t="shared" si="7"/>
        <v>#DIV/0!</v>
      </c>
      <c r="Q22" t="e">
        <f t="shared" si="8"/>
        <v>#DIV/0!</v>
      </c>
      <c r="R22" t="e">
        <f t="shared" si="9"/>
        <v>#DIV/0!</v>
      </c>
      <c r="S22">
        <f t="shared" si="10"/>
        <v>0</v>
      </c>
      <c r="T22" t="e">
        <f>Q22-'"0" цикл 24.06'!Q21</f>
        <v>#DIV/0!</v>
      </c>
      <c r="U22" t="e">
        <f>R22-'"0" цикл 24.06'!R21</f>
        <v>#DIV/0!</v>
      </c>
      <c r="V22" t="e">
        <f t="shared" si="11"/>
        <v>#DIV/0!</v>
      </c>
      <c r="W22" t="e">
        <f t="shared" si="12"/>
        <v>#DIV/0!</v>
      </c>
      <c r="X22" t="e">
        <f t="shared" si="13"/>
        <v>#DIV/0!</v>
      </c>
    </row>
    <row r="23" spans="1:24" x14ac:dyDescent="0.45">
      <c r="A23">
        <v>9.5</v>
      </c>
      <c r="F23">
        <f t="shared" si="0"/>
        <v>0</v>
      </c>
      <c r="G23">
        <f t="shared" si="1"/>
        <v>0</v>
      </c>
      <c r="H23">
        <f t="shared" si="14"/>
        <v>0</v>
      </c>
      <c r="I23">
        <f t="shared" si="14"/>
        <v>0</v>
      </c>
      <c r="J23">
        <f t="shared" si="15"/>
        <v>0</v>
      </c>
      <c r="K23">
        <f t="shared" si="15"/>
        <v>0</v>
      </c>
      <c r="L23">
        <f t="shared" si="16"/>
        <v>0</v>
      </c>
      <c r="M23">
        <f t="shared" si="16"/>
        <v>0</v>
      </c>
      <c r="N23">
        <f t="shared" si="5"/>
        <v>0</v>
      </c>
      <c r="O23" t="e">
        <f t="shared" si="6"/>
        <v>#DIV/0!</v>
      </c>
      <c r="P23" t="e">
        <f t="shared" si="7"/>
        <v>#DIV/0!</v>
      </c>
      <c r="Q23" t="e">
        <f t="shared" si="8"/>
        <v>#DIV/0!</v>
      </c>
      <c r="R23" t="e">
        <f t="shared" si="9"/>
        <v>#DIV/0!</v>
      </c>
      <c r="S23">
        <f t="shared" si="10"/>
        <v>0</v>
      </c>
      <c r="T23" t="e">
        <f>Q23-'"0" цикл 24.06'!Q22</f>
        <v>#DIV/0!</v>
      </c>
      <c r="U23" t="e">
        <f>R23-'"0" цикл 24.06'!R22</f>
        <v>#DIV/0!</v>
      </c>
      <c r="V23" t="e">
        <f t="shared" si="11"/>
        <v>#DIV/0!</v>
      </c>
      <c r="W23" t="e">
        <f t="shared" si="12"/>
        <v>#DIV/0!</v>
      </c>
      <c r="X23" t="e">
        <f t="shared" si="13"/>
        <v>#DIV/0!</v>
      </c>
    </row>
    <row r="24" spans="1:24" x14ac:dyDescent="0.45">
      <c r="A24">
        <v>10</v>
      </c>
      <c r="F24">
        <f t="shared" si="0"/>
        <v>0</v>
      </c>
      <c r="G24">
        <f t="shared" si="1"/>
        <v>0</v>
      </c>
      <c r="H24">
        <f t="shared" si="14"/>
        <v>0</v>
      </c>
      <c r="I24">
        <f t="shared" si="14"/>
        <v>0</v>
      </c>
      <c r="J24">
        <f t="shared" si="15"/>
        <v>0</v>
      </c>
      <c r="K24">
        <f t="shared" si="15"/>
        <v>0</v>
      </c>
      <c r="L24">
        <f t="shared" si="16"/>
        <v>0</v>
      </c>
      <c r="M24">
        <f t="shared" si="16"/>
        <v>0</v>
      </c>
      <c r="N24">
        <f t="shared" si="5"/>
        <v>0</v>
      </c>
      <c r="O24" t="e">
        <f t="shared" si="6"/>
        <v>#DIV/0!</v>
      </c>
      <c r="P24" t="e">
        <f t="shared" si="7"/>
        <v>#DIV/0!</v>
      </c>
      <c r="Q24" t="e">
        <f t="shared" si="8"/>
        <v>#DIV/0!</v>
      </c>
      <c r="R24" t="e">
        <f t="shared" si="9"/>
        <v>#DIV/0!</v>
      </c>
      <c r="S24">
        <f t="shared" si="10"/>
        <v>0</v>
      </c>
      <c r="T24" t="e">
        <f>Q24-'"0" цикл 24.06'!Q23</f>
        <v>#DIV/0!</v>
      </c>
      <c r="U24" t="e">
        <f>R24-'"0" цикл 24.06'!R23</f>
        <v>#DIV/0!</v>
      </c>
      <c r="V24" t="e">
        <f t="shared" si="11"/>
        <v>#DIV/0!</v>
      </c>
      <c r="W24" t="e">
        <f t="shared" si="12"/>
        <v>#DIV/0!</v>
      </c>
      <c r="X24" t="e">
        <f t="shared" si="13"/>
        <v>#DIV/0!</v>
      </c>
    </row>
    <row r="25" spans="1:24" x14ac:dyDescent="0.45">
      <c r="A25">
        <v>10.5</v>
      </c>
      <c r="F25">
        <f t="shared" si="0"/>
        <v>0</v>
      </c>
      <c r="G25">
        <f t="shared" si="1"/>
        <v>0</v>
      </c>
      <c r="H25">
        <f t="shared" si="14"/>
        <v>0</v>
      </c>
      <c r="I25">
        <f t="shared" si="14"/>
        <v>0</v>
      </c>
      <c r="J25">
        <f t="shared" si="15"/>
        <v>0</v>
      </c>
      <c r="K25">
        <f t="shared" si="15"/>
        <v>0</v>
      </c>
      <c r="L25">
        <f t="shared" si="16"/>
        <v>0</v>
      </c>
      <c r="M25">
        <f t="shared" si="16"/>
        <v>0</v>
      </c>
      <c r="N25">
        <f t="shared" si="5"/>
        <v>0</v>
      </c>
      <c r="O25" t="e">
        <f t="shared" si="6"/>
        <v>#DIV/0!</v>
      </c>
      <c r="P25" t="e">
        <f t="shared" si="7"/>
        <v>#DIV/0!</v>
      </c>
      <c r="Q25" t="e">
        <f t="shared" si="8"/>
        <v>#DIV/0!</v>
      </c>
      <c r="R25" t="e">
        <f t="shared" si="9"/>
        <v>#DIV/0!</v>
      </c>
      <c r="S25">
        <f t="shared" si="10"/>
        <v>0</v>
      </c>
      <c r="T25" t="e">
        <f>Q25-'"0" цикл 24.06'!Q24</f>
        <v>#DIV/0!</v>
      </c>
      <c r="U25" t="e">
        <f>R25-'"0" цикл 24.06'!R24</f>
        <v>#DIV/0!</v>
      </c>
      <c r="V25" t="e">
        <f t="shared" si="11"/>
        <v>#DIV/0!</v>
      </c>
      <c r="W25" t="e">
        <f t="shared" si="12"/>
        <v>#DIV/0!</v>
      </c>
      <c r="X25" t="e">
        <f t="shared" si="13"/>
        <v>#DIV/0!</v>
      </c>
    </row>
    <row r="26" spans="1:24" x14ac:dyDescent="0.45">
      <c r="A26">
        <v>11</v>
      </c>
      <c r="F26">
        <f t="shared" si="0"/>
        <v>0</v>
      </c>
      <c r="G26">
        <f t="shared" si="1"/>
        <v>0</v>
      </c>
      <c r="H26">
        <f t="shared" si="14"/>
        <v>0</v>
      </c>
      <c r="I26">
        <f t="shared" si="14"/>
        <v>0</v>
      </c>
      <c r="J26">
        <f t="shared" si="15"/>
        <v>0</v>
      </c>
      <c r="K26">
        <f t="shared" si="15"/>
        <v>0</v>
      </c>
      <c r="L26">
        <f t="shared" si="16"/>
        <v>0</v>
      </c>
      <c r="M26">
        <f t="shared" si="16"/>
        <v>0</v>
      </c>
      <c r="N26">
        <f t="shared" si="5"/>
        <v>0</v>
      </c>
      <c r="O26" t="e">
        <f t="shared" si="6"/>
        <v>#DIV/0!</v>
      </c>
      <c r="P26" t="e">
        <f t="shared" si="7"/>
        <v>#DIV/0!</v>
      </c>
      <c r="Q26" t="e">
        <f t="shared" si="8"/>
        <v>#DIV/0!</v>
      </c>
      <c r="R26" t="e">
        <f t="shared" si="9"/>
        <v>#DIV/0!</v>
      </c>
      <c r="S26">
        <f t="shared" si="10"/>
        <v>0</v>
      </c>
      <c r="T26" t="e">
        <f>Q26-'"0" цикл 24.06'!Q25</f>
        <v>#DIV/0!</v>
      </c>
      <c r="U26" t="e">
        <f>R26-'"0" цикл 24.06'!R25</f>
        <v>#DIV/0!</v>
      </c>
      <c r="V26" t="e">
        <f t="shared" si="11"/>
        <v>#DIV/0!</v>
      </c>
      <c r="W26" t="e">
        <f t="shared" si="12"/>
        <v>#DIV/0!</v>
      </c>
      <c r="X26" t="e">
        <f t="shared" si="13"/>
        <v>#DIV/0!</v>
      </c>
    </row>
    <row r="27" spans="1:24" x14ac:dyDescent="0.45">
      <c r="A27">
        <v>11.5</v>
      </c>
      <c r="F27">
        <f t="shared" si="0"/>
        <v>0</v>
      </c>
      <c r="G27">
        <f t="shared" si="1"/>
        <v>0</v>
      </c>
      <c r="H27">
        <f t="shared" si="14"/>
        <v>0</v>
      </c>
      <c r="I27">
        <f t="shared" si="14"/>
        <v>0</v>
      </c>
      <c r="J27">
        <f t="shared" si="15"/>
        <v>0</v>
      </c>
      <c r="K27">
        <f t="shared" si="15"/>
        <v>0</v>
      </c>
      <c r="L27">
        <f t="shared" si="16"/>
        <v>0</v>
      </c>
      <c r="M27">
        <f t="shared" si="16"/>
        <v>0</v>
      </c>
      <c r="N27">
        <f t="shared" si="5"/>
        <v>0</v>
      </c>
      <c r="O27" t="e">
        <f t="shared" si="6"/>
        <v>#DIV/0!</v>
      </c>
      <c r="P27" t="e">
        <f t="shared" si="7"/>
        <v>#DIV/0!</v>
      </c>
      <c r="Q27" t="e">
        <f t="shared" si="8"/>
        <v>#DIV/0!</v>
      </c>
      <c r="R27" t="e">
        <f t="shared" si="9"/>
        <v>#DIV/0!</v>
      </c>
      <c r="S27">
        <f t="shared" si="10"/>
        <v>0</v>
      </c>
      <c r="T27" t="e">
        <f>Q27-'"0" цикл 24.06'!Q26</f>
        <v>#DIV/0!</v>
      </c>
      <c r="U27" t="e">
        <f>R27-'"0" цикл 24.06'!R26</f>
        <v>#DIV/0!</v>
      </c>
      <c r="V27" t="e">
        <f t="shared" si="11"/>
        <v>#DIV/0!</v>
      </c>
      <c r="W27" t="e">
        <f t="shared" si="12"/>
        <v>#DIV/0!</v>
      </c>
      <c r="X27" t="e">
        <f t="shared" si="13"/>
        <v>#DIV/0!</v>
      </c>
    </row>
    <row r="28" spans="1:24" x14ac:dyDescent="0.45">
      <c r="A28">
        <v>12</v>
      </c>
      <c r="F28">
        <f t="shared" si="0"/>
        <v>0</v>
      </c>
      <c r="G28">
        <f t="shared" si="1"/>
        <v>0</v>
      </c>
      <c r="H28">
        <f t="shared" si="14"/>
        <v>0</v>
      </c>
      <c r="I28">
        <f t="shared" si="14"/>
        <v>0</v>
      </c>
      <c r="J28">
        <f t="shared" si="15"/>
        <v>0</v>
      </c>
      <c r="K28">
        <f t="shared" si="15"/>
        <v>0</v>
      </c>
      <c r="L28">
        <f t="shared" si="16"/>
        <v>0</v>
      </c>
      <c r="M28">
        <f t="shared" si="16"/>
        <v>0</v>
      </c>
      <c r="N28">
        <f t="shared" si="5"/>
        <v>0</v>
      </c>
      <c r="O28" t="e">
        <f t="shared" si="6"/>
        <v>#DIV/0!</v>
      </c>
      <c r="P28" t="e">
        <f t="shared" si="7"/>
        <v>#DIV/0!</v>
      </c>
      <c r="Q28" t="e">
        <f t="shared" si="8"/>
        <v>#DIV/0!</v>
      </c>
      <c r="R28" t="e">
        <f t="shared" si="9"/>
        <v>#DIV/0!</v>
      </c>
      <c r="S28">
        <f t="shared" si="10"/>
        <v>0</v>
      </c>
      <c r="T28" t="e">
        <f>Q28-'"0" цикл 24.06'!Q27</f>
        <v>#DIV/0!</v>
      </c>
      <c r="U28" t="e">
        <f>R28-'"0" цикл 24.06'!R27</f>
        <v>#DIV/0!</v>
      </c>
      <c r="V28" t="e">
        <f t="shared" si="11"/>
        <v>#DIV/0!</v>
      </c>
      <c r="W28" t="e">
        <f t="shared" si="12"/>
        <v>#DIV/0!</v>
      </c>
      <c r="X28" t="e">
        <f t="shared" si="13"/>
        <v>#DIV/0!</v>
      </c>
    </row>
    <row r="29" spans="1:24" x14ac:dyDescent="0.45">
      <c r="A29">
        <v>12.5</v>
      </c>
      <c r="F29">
        <f t="shared" si="0"/>
        <v>0</v>
      </c>
      <c r="G29">
        <f t="shared" si="1"/>
        <v>0</v>
      </c>
      <c r="H29">
        <f t="shared" si="14"/>
        <v>0</v>
      </c>
      <c r="I29">
        <f t="shared" si="14"/>
        <v>0</v>
      </c>
      <c r="J29">
        <f t="shared" si="15"/>
        <v>0</v>
      </c>
      <c r="K29">
        <f t="shared" si="15"/>
        <v>0</v>
      </c>
      <c r="L29">
        <f t="shared" si="16"/>
        <v>0</v>
      </c>
      <c r="M29">
        <f t="shared" si="16"/>
        <v>0</v>
      </c>
      <c r="N29">
        <f t="shared" si="5"/>
        <v>0</v>
      </c>
      <c r="O29" t="e">
        <f t="shared" si="6"/>
        <v>#DIV/0!</v>
      </c>
      <c r="P29" t="e">
        <f t="shared" si="7"/>
        <v>#DIV/0!</v>
      </c>
      <c r="Q29" t="e">
        <f t="shared" si="8"/>
        <v>#DIV/0!</v>
      </c>
      <c r="R29" t="e">
        <f t="shared" si="9"/>
        <v>#DIV/0!</v>
      </c>
      <c r="S29">
        <f t="shared" si="10"/>
        <v>0</v>
      </c>
      <c r="T29" t="e">
        <f>Q29-'"0" цикл 24.06'!Q28</f>
        <v>#DIV/0!</v>
      </c>
      <c r="U29" t="e">
        <f>R29-'"0" цикл 24.06'!R28</f>
        <v>#DIV/0!</v>
      </c>
      <c r="V29" t="e">
        <f t="shared" si="11"/>
        <v>#DIV/0!</v>
      </c>
      <c r="W29" t="e">
        <f t="shared" si="12"/>
        <v>#DIV/0!</v>
      </c>
      <c r="X29" t="e">
        <f t="shared" si="13"/>
        <v>#DIV/0!</v>
      </c>
    </row>
    <row r="30" spans="1:24" x14ac:dyDescent="0.45">
      <c r="A30">
        <v>13</v>
      </c>
      <c r="F30">
        <f t="shared" si="0"/>
        <v>0</v>
      </c>
      <c r="G30">
        <f t="shared" si="1"/>
        <v>0</v>
      </c>
      <c r="H30">
        <f t="shared" si="14"/>
        <v>0</v>
      </c>
      <c r="I30">
        <f t="shared" si="14"/>
        <v>0</v>
      </c>
      <c r="J30">
        <f t="shared" si="15"/>
        <v>0</v>
      </c>
      <c r="K30">
        <f t="shared" si="15"/>
        <v>0</v>
      </c>
      <c r="L30">
        <f t="shared" si="16"/>
        <v>0</v>
      </c>
      <c r="M30">
        <f t="shared" si="16"/>
        <v>0</v>
      </c>
      <c r="N30">
        <f t="shared" si="5"/>
        <v>0</v>
      </c>
      <c r="O30" t="e">
        <f t="shared" si="6"/>
        <v>#DIV/0!</v>
      </c>
      <c r="P30" t="e">
        <f t="shared" si="7"/>
        <v>#DIV/0!</v>
      </c>
      <c r="Q30" t="e">
        <f t="shared" si="8"/>
        <v>#DIV/0!</v>
      </c>
      <c r="R30" t="e">
        <f t="shared" si="9"/>
        <v>#DIV/0!</v>
      </c>
      <c r="S30">
        <f t="shared" si="10"/>
        <v>0</v>
      </c>
      <c r="T30" t="e">
        <f>Q30-'"0" цикл 24.06'!Q29</f>
        <v>#DIV/0!</v>
      </c>
      <c r="U30" t="e">
        <f>R30-'"0" цикл 24.06'!R29</f>
        <v>#DIV/0!</v>
      </c>
      <c r="V30" t="e">
        <f t="shared" si="11"/>
        <v>#DIV/0!</v>
      </c>
      <c r="W30" t="e">
        <f t="shared" si="12"/>
        <v>#DIV/0!</v>
      </c>
      <c r="X30" t="e">
        <f t="shared" si="13"/>
        <v>#DIV/0!</v>
      </c>
    </row>
    <row r="31" spans="1:24" x14ac:dyDescent="0.45">
      <c r="A31">
        <v>13.5</v>
      </c>
      <c r="F31">
        <f t="shared" si="0"/>
        <v>0</v>
      </c>
      <c r="G31">
        <f t="shared" si="1"/>
        <v>0</v>
      </c>
      <c r="H31">
        <f t="shared" si="14"/>
        <v>0</v>
      </c>
      <c r="I31">
        <f t="shared" si="14"/>
        <v>0</v>
      </c>
      <c r="J31">
        <f t="shared" si="15"/>
        <v>0</v>
      </c>
      <c r="K31">
        <f t="shared" si="15"/>
        <v>0</v>
      </c>
      <c r="L31">
        <f t="shared" si="16"/>
        <v>0</v>
      </c>
      <c r="M31">
        <f t="shared" si="16"/>
        <v>0</v>
      </c>
      <c r="N31">
        <f t="shared" si="5"/>
        <v>0</v>
      </c>
      <c r="O31" t="e">
        <f t="shared" si="6"/>
        <v>#DIV/0!</v>
      </c>
      <c r="P31" t="e">
        <f t="shared" si="7"/>
        <v>#DIV/0!</v>
      </c>
      <c r="Q31" t="e">
        <f t="shared" si="8"/>
        <v>#DIV/0!</v>
      </c>
      <c r="R31" t="e">
        <f t="shared" si="9"/>
        <v>#DIV/0!</v>
      </c>
      <c r="S31">
        <f t="shared" si="10"/>
        <v>0</v>
      </c>
      <c r="T31" t="e">
        <f>Q31-'"0" цикл 24.06'!Q30</f>
        <v>#DIV/0!</v>
      </c>
      <c r="U31" t="e">
        <f>R31-'"0" цикл 24.06'!R30</f>
        <v>#DIV/0!</v>
      </c>
      <c r="V31" t="e">
        <f t="shared" si="11"/>
        <v>#DIV/0!</v>
      </c>
      <c r="W31" t="e">
        <f t="shared" si="12"/>
        <v>#DIV/0!</v>
      </c>
      <c r="X31" t="e">
        <f t="shared" si="13"/>
        <v>#DIV/0!</v>
      </c>
    </row>
    <row r="32" spans="1:24" x14ac:dyDescent="0.45">
      <c r="A32">
        <v>14</v>
      </c>
      <c r="F32">
        <f t="shared" si="0"/>
        <v>0</v>
      </c>
      <c r="G32">
        <f t="shared" si="1"/>
        <v>0</v>
      </c>
      <c r="H32">
        <f t="shared" si="14"/>
        <v>0</v>
      </c>
      <c r="I32">
        <f t="shared" si="14"/>
        <v>0</v>
      </c>
      <c r="J32">
        <f t="shared" si="15"/>
        <v>0</v>
      </c>
      <c r="K32">
        <f t="shared" si="15"/>
        <v>0</v>
      </c>
      <c r="L32">
        <f t="shared" si="16"/>
        <v>0</v>
      </c>
      <c r="M32">
        <f t="shared" si="16"/>
        <v>0</v>
      </c>
      <c r="N32">
        <f t="shared" si="5"/>
        <v>0</v>
      </c>
      <c r="O32" t="e">
        <f t="shared" si="6"/>
        <v>#DIV/0!</v>
      </c>
      <c r="P32" t="e">
        <f t="shared" si="7"/>
        <v>#DIV/0!</v>
      </c>
      <c r="Q32" t="e">
        <f t="shared" si="8"/>
        <v>#DIV/0!</v>
      </c>
      <c r="R32" t="e">
        <f t="shared" si="9"/>
        <v>#DIV/0!</v>
      </c>
      <c r="S32">
        <f t="shared" si="10"/>
        <v>0</v>
      </c>
      <c r="T32" t="e">
        <f>Q32-'"0" цикл 24.06'!Q31</f>
        <v>#DIV/0!</v>
      </c>
      <c r="U32" t="e">
        <f>R32-'"0" цикл 24.06'!R31</f>
        <v>#DIV/0!</v>
      </c>
      <c r="V32" t="e">
        <f t="shared" si="11"/>
        <v>#DIV/0!</v>
      </c>
      <c r="W32" t="e">
        <f t="shared" si="12"/>
        <v>#DIV/0!</v>
      </c>
      <c r="X32" t="e">
        <f t="shared" si="13"/>
        <v>#DIV/0!</v>
      </c>
    </row>
    <row r="33" spans="1:24" x14ac:dyDescent="0.45">
      <c r="A33">
        <v>14.5</v>
      </c>
      <c r="F33">
        <f t="shared" si="0"/>
        <v>0</v>
      </c>
      <c r="G33">
        <f t="shared" si="1"/>
        <v>0</v>
      </c>
      <c r="H33">
        <f t="shared" si="14"/>
        <v>0</v>
      </c>
      <c r="I33">
        <f t="shared" si="14"/>
        <v>0</v>
      </c>
      <c r="J33">
        <f t="shared" si="15"/>
        <v>0</v>
      </c>
      <c r="K33">
        <f t="shared" si="15"/>
        <v>0</v>
      </c>
      <c r="L33">
        <f t="shared" si="16"/>
        <v>0</v>
      </c>
      <c r="M33">
        <f t="shared" si="16"/>
        <v>0</v>
      </c>
      <c r="N33">
        <f t="shared" si="5"/>
        <v>0</v>
      </c>
      <c r="O33" t="e">
        <f t="shared" si="6"/>
        <v>#DIV/0!</v>
      </c>
      <c r="P33" t="e">
        <f t="shared" si="7"/>
        <v>#DIV/0!</v>
      </c>
      <c r="Q33" t="e">
        <f t="shared" si="8"/>
        <v>#DIV/0!</v>
      </c>
      <c r="R33" t="e">
        <f t="shared" si="9"/>
        <v>#DIV/0!</v>
      </c>
      <c r="S33">
        <f t="shared" si="10"/>
        <v>0</v>
      </c>
      <c r="T33" t="e">
        <f>Q33-'"0" цикл 24.06'!Q32</f>
        <v>#DIV/0!</v>
      </c>
      <c r="U33" t="e">
        <f>R33-'"0" цикл 24.06'!R32</f>
        <v>#DIV/0!</v>
      </c>
      <c r="V33" t="e">
        <f t="shared" si="11"/>
        <v>#DIV/0!</v>
      </c>
      <c r="W33" t="e">
        <f t="shared" si="12"/>
        <v>#DIV/0!</v>
      </c>
      <c r="X33" t="e">
        <f t="shared" si="13"/>
        <v>#DIV/0!</v>
      </c>
    </row>
    <row r="34" spans="1:24" x14ac:dyDescent="0.45">
      <c r="A34">
        <v>15</v>
      </c>
      <c r="F34">
        <f t="shared" si="0"/>
        <v>0</v>
      </c>
      <c r="G34">
        <f t="shared" si="1"/>
        <v>0</v>
      </c>
      <c r="H34">
        <f t="shared" si="14"/>
        <v>0</v>
      </c>
      <c r="I34">
        <f t="shared" si="14"/>
        <v>0</v>
      </c>
      <c r="J34">
        <f t="shared" si="15"/>
        <v>0</v>
      </c>
      <c r="K34">
        <f t="shared" si="15"/>
        <v>0</v>
      </c>
      <c r="L34">
        <f t="shared" si="16"/>
        <v>0</v>
      </c>
      <c r="M34">
        <f t="shared" si="16"/>
        <v>0</v>
      </c>
      <c r="N34">
        <f t="shared" si="5"/>
        <v>0</v>
      </c>
      <c r="O34" t="e">
        <f t="shared" si="6"/>
        <v>#DIV/0!</v>
      </c>
      <c r="P34" t="e">
        <f t="shared" si="7"/>
        <v>#DIV/0!</v>
      </c>
      <c r="Q34" t="e">
        <f t="shared" si="8"/>
        <v>#DIV/0!</v>
      </c>
      <c r="R34" t="e">
        <f t="shared" si="9"/>
        <v>#DIV/0!</v>
      </c>
      <c r="S34">
        <f t="shared" si="10"/>
        <v>0</v>
      </c>
      <c r="T34" t="e">
        <f>Q34-'"0" цикл 24.06'!Q33</f>
        <v>#DIV/0!</v>
      </c>
      <c r="U34" t="e">
        <f>R34-'"0" цикл 24.06'!R33</f>
        <v>#DIV/0!</v>
      </c>
      <c r="V34" t="e">
        <f t="shared" si="11"/>
        <v>#DIV/0!</v>
      </c>
      <c r="W34" t="e">
        <f t="shared" si="12"/>
        <v>#DIV/0!</v>
      </c>
      <c r="X34" t="e">
        <f t="shared" si="13"/>
        <v>#DIV/0!</v>
      </c>
    </row>
    <row r="35" spans="1:24" x14ac:dyDescent="0.45">
      <c r="A35">
        <v>15.5</v>
      </c>
      <c r="F35">
        <f t="shared" si="0"/>
        <v>0</v>
      </c>
      <c r="G35">
        <f t="shared" si="1"/>
        <v>0</v>
      </c>
      <c r="H35">
        <f t="shared" si="14"/>
        <v>0</v>
      </c>
      <c r="I35">
        <f t="shared" si="14"/>
        <v>0</v>
      </c>
      <c r="J35">
        <f t="shared" si="15"/>
        <v>0</v>
      </c>
      <c r="K35">
        <f t="shared" si="15"/>
        <v>0</v>
      </c>
      <c r="L35">
        <f t="shared" si="16"/>
        <v>0</v>
      </c>
      <c r="M35">
        <f t="shared" si="16"/>
        <v>0</v>
      </c>
      <c r="N35">
        <f t="shared" si="5"/>
        <v>0</v>
      </c>
      <c r="O35" t="e">
        <f t="shared" si="6"/>
        <v>#DIV/0!</v>
      </c>
      <c r="P35" t="e">
        <f t="shared" si="7"/>
        <v>#DIV/0!</v>
      </c>
      <c r="Q35" t="e">
        <f t="shared" si="8"/>
        <v>#DIV/0!</v>
      </c>
      <c r="R35" t="e">
        <f t="shared" si="9"/>
        <v>#DIV/0!</v>
      </c>
      <c r="S35">
        <f t="shared" si="10"/>
        <v>0</v>
      </c>
      <c r="T35" t="e">
        <f>Q35-'"0" цикл 24.06'!Q34</f>
        <v>#DIV/0!</v>
      </c>
      <c r="U35" t="e">
        <f>R35-'"0" цикл 24.06'!R34</f>
        <v>#DIV/0!</v>
      </c>
      <c r="V35" t="e">
        <f t="shared" si="11"/>
        <v>#DIV/0!</v>
      </c>
      <c r="W35" t="e">
        <f t="shared" si="12"/>
        <v>#DIV/0!</v>
      </c>
      <c r="X35" t="e">
        <f t="shared" si="13"/>
        <v>#DIV/0!</v>
      </c>
    </row>
    <row r="36" spans="1:24" x14ac:dyDescent="0.45">
      <c r="A36">
        <v>16</v>
      </c>
      <c r="F36">
        <f t="shared" si="0"/>
        <v>0</v>
      </c>
      <c r="G36">
        <f t="shared" si="1"/>
        <v>0</v>
      </c>
      <c r="H36">
        <f t="shared" si="14"/>
        <v>0</v>
      </c>
      <c r="I36">
        <f t="shared" si="14"/>
        <v>0</v>
      </c>
      <c r="J36">
        <f t="shared" si="15"/>
        <v>0</v>
      </c>
      <c r="K36">
        <f t="shared" si="15"/>
        <v>0</v>
      </c>
      <c r="L36">
        <f t="shared" si="16"/>
        <v>0</v>
      </c>
      <c r="M36">
        <f t="shared" si="16"/>
        <v>0</v>
      </c>
      <c r="N36">
        <f t="shared" si="5"/>
        <v>0</v>
      </c>
      <c r="O36" t="e">
        <f t="shared" si="6"/>
        <v>#DIV/0!</v>
      </c>
      <c r="P36" t="e">
        <f t="shared" si="7"/>
        <v>#DIV/0!</v>
      </c>
      <c r="Q36" t="e">
        <f t="shared" si="8"/>
        <v>#DIV/0!</v>
      </c>
      <c r="R36" t="e">
        <f t="shared" si="9"/>
        <v>#DIV/0!</v>
      </c>
      <c r="S36">
        <f t="shared" si="10"/>
        <v>0</v>
      </c>
      <c r="T36" t="e">
        <f>Q36-'"0" цикл 24.06'!Q35</f>
        <v>#DIV/0!</v>
      </c>
      <c r="U36" t="e">
        <f>R36-'"0" цикл 24.06'!R35</f>
        <v>#DIV/0!</v>
      </c>
      <c r="V36" t="e">
        <f t="shared" si="11"/>
        <v>#DIV/0!</v>
      </c>
      <c r="W36" t="e">
        <f t="shared" si="12"/>
        <v>#DIV/0!</v>
      </c>
      <c r="X36" t="e">
        <f t="shared" si="13"/>
        <v>#DIV/0!</v>
      </c>
    </row>
    <row r="37" spans="1:24" x14ac:dyDescent="0.45">
      <c r="A37">
        <v>16.5</v>
      </c>
      <c r="F37">
        <f t="shared" si="0"/>
        <v>0</v>
      </c>
      <c r="G37">
        <f t="shared" si="1"/>
        <v>0</v>
      </c>
      <c r="H37">
        <f t="shared" si="14"/>
        <v>0</v>
      </c>
      <c r="I37">
        <f t="shared" si="14"/>
        <v>0</v>
      </c>
      <c r="J37">
        <f t="shared" si="15"/>
        <v>0</v>
      </c>
      <c r="K37">
        <f t="shared" si="15"/>
        <v>0</v>
      </c>
      <c r="L37">
        <f t="shared" si="16"/>
        <v>0</v>
      </c>
      <c r="M37">
        <f t="shared" si="16"/>
        <v>0</v>
      </c>
      <c r="N37">
        <f t="shared" si="5"/>
        <v>0</v>
      </c>
      <c r="O37" t="e">
        <f t="shared" si="6"/>
        <v>#DIV/0!</v>
      </c>
      <c r="P37" t="e">
        <f t="shared" si="7"/>
        <v>#DIV/0!</v>
      </c>
      <c r="Q37" t="e">
        <f t="shared" si="8"/>
        <v>#DIV/0!</v>
      </c>
      <c r="R37" t="e">
        <f t="shared" si="9"/>
        <v>#DIV/0!</v>
      </c>
      <c r="S37">
        <f t="shared" si="10"/>
        <v>0</v>
      </c>
      <c r="T37" t="e">
        <f>Q37-'"0" цикл 24.06'!Q36</f>
        <v>#DIV/0!</v>
      </c>
      <c r="U37" t="e">
        <f>R37-'"0" цикл 24.06'!R36</f>
        <v>#DIV/0!</v>
      </c>
      <c r="V37" t="e">
        <f t="shared" si="11"/>
        <v>#DIV/0!</v>
      </c>
      <c r="W37" t="e">
        <f t="shared" si="12"/>
        <v>#DIV/0!</v>
      </c>
      <c r="X37" t="e">
        <f t="shared" si="13"/>
        <v>#DIV/0!</v>
      </c>
    </row>
    <row r="38" spans="1:24" x14ac:dyDescent="0.45">
      <c r="A38">
        <v>17</v>
      </c>
      <c r="F38">
        <f t="shared" si="0"/>
        <v>0</v>
      </c>
      <c r="G38">
        <f t="shared" si="1"/>
        <v>0</v>
      </c>
      <c r="H38">
        <f t="shared" si="14"/>
        <v>0</v>
      </c>
      <c r="I38">
        <f t="shared" si="14"/>
        <v>0</v>
      </c>
      <c r="J38">
        <f t="shared" si="15"/>
        <v>0</v>
      </c>
      <c r="K38">
        <f t="shared" si="15"/>
        <v>0</v>
      </c>
      <c r="L38">
        <f t="shared" si="16"/>
        <v>0</v>
      </c>
      <c r="M38">
        <f t="shared" si="16"/>
        <v>0</v>
      </c>
      <c r="N38">
        <f t="shared" si="5"/>
        <v>0</v>
      </c>
      <c r="O38" t="e">
        <f t="shared" si="6"/>
        <v>#DIV/0!</v>
      </c>
      <c r="P38" t="e">
        <f t="shared" si="7"/>
        <v>#DIV/0!</v>
      </c>
      <c r="Q38" t="e">
        <f t="shared" si="8"/>
        <v>#DIV/0!</v>
      </c>
      <c r="R38" t="e">
        <f t="shared" si="9"/>
        <v>#DIV/0!</v>
      </c>
      <c r="S38">
        <f t="shared" si="10"/>
        <v>0</v>
      </c>
      <c r="T38" t="e">
        <f>Q38-'"0" цикл 24.06'!Q37</f>
        <v>#DIV/0!</v>
      </c>
      <c r="U38" t="e">
        <f>R38-'"0" цикл 24.06'!R37</f>
        <v>#DIV/0!</v>
      </c>
      <c r="V38" t="e">
        <f t="shared" si="11"/>
        <v>#DIV/0!</v>
      </c>
      <c r="W38" t="e">
        <f t="shared" si="12"/>
        <v>#DIV/0!</v>
      </c>
      <c r="X38" t="e">
        <f t="shared" si="13"/>
        <v>#DIV/0!</v>
      </c>
    </row>
    <row r="39" spans="1:24" x14ac:dyDescent="0.45">
      <c r="A39">
        <v>17.5</v>
      </c>
      <c r="F39">
        <f t="shared" si="0"/>
        <v>0</v>
      </c>
      <c r="G39">
        <f t="shared" si="1"/>
        <v>0</v>
      </c>
      <c r="H39">
        <f t="shared" si="14"/>
        <v>0</v>
      </c>
      <c r="I39">
        <f t="shared" si="14"/>
        <v>0</v>
      </c>
      <c r="J39">
        <f t="shared" si="15"/>
        <v>0</v>
      </c>
      <c r="K39">
        <f t="shared" si="15"/>
        <v>0</v>
      </c>
      <c r="L39">
        <f t="shared" si="16"/>
        <v>0</v>
      </c>
      <c r="M39">
        <f t="shared" si="16"/>
        <v>0</v>
      </c>
      <c r="N39">
        <f t="shared" si="5"/>
        <v>0</v>
      </c>
      <c r="O39" t="e">
        <f t="shared" si="6"/>
        <v>#DIV/0!</v>
      </c>
      <c r="P39" t="e">
        <f t="shared" si="7"/>
        <v>#DIV/0!</v>
      </c>
      <c r="Q39" t="e">
        <f t="shared" si="8"/>
        <v>#DIV/0!</v>
      </c>
      <c r="R39" t="e">
        <f t="shared" si="9"/>
        <v>#DIV/0!</v>
      </c>
      <c r="S39">
        <f t="shared" si="10"/>
        <v>0</v>
      </c>
      <c r="T39" t="e">
        <f>Q39-'"0" цикл 24.06'!Q38</f>
        <v>#DIV/0!</v>
      </c>
      <c r="U39" t="e">
        <f>R39-'"0" цикл 24.06'!R38</f>
        <v>#DIV/0!</v>
      </c>
      <c r="V39" t="e">
        <f t="shared" si="11"/>
        <v>#DIV/0!</v>
      </c>
      <c r="W39" t="e">
        <f t="shared" si="12"/>
        <v>#DIV/0!</v>
      </c>
      <c r="X39" t="e">
        <f t="shared" si="13"/>
        <v>#DIV/0!</v>
      </c>
    </row>
    <row r="40" spans="1:24" x14ac:dyDescent="0.45">
      <c r="A40">
        <v>18</v>
      </c>
      <c r="F40">
        <f t="shared" si="0"/>
        <v>0</v>
      </c>
      <c r="G40">
        <f t="shared" si="1"/>
        <v>0</v>
      </c>
      <c r="H40">
        <f t="shared" si="14"/>
        <v>0</v>
      </c>
      <c r="I40">
        <f t="shared" si="14"/>
        <v>0</v>
      </c>
      <c r="J40">
        <f t="shared" si="15"/>
        <v>0</v>
      </c>
      <c r="K40">
        <f t="shared" si="15"/>
        <v>0</v>
      </c>
      <c r="L40">
        <f t="shared" si="16"/>
        <v>0</v>
      </c>
      <c r="M40">
        <f t="shared" si="16"/>
        <v>0</v>
      </c>
      <c r="N40">
        <f t="shared" si="5"/>
        <v>0</v>
      </c>
      <c r="O40" t="e">
        <f t="shared" si="6"/>
        <v>#DIV/0!</v>
      </c>
      <c r="P40" t="e">
        <f t="shared" si="7"/>
        <v>#DIV/0!</v>
      </c>
      <c r="Q40" t="e">
        <f t="shared" si="8"/>
        <v>#DIV/0!</v>
      </c>
      <c r="R40" t="e">
        <f t="shared" si="9"/>
        <v>#DIV/0!</v>
      </c>
      <c r="S40">
        <f t="shared" si="10"/>
        <v>0</v>
      </c>
      <c r="T40" t="e">
        <f>Q40-'"0" цикл 24.06'!Q39</f>
        <v>#DIV/0!</v>
      </c>
      <c r="U40" t="e">
        <f>R40-'"0" цикл 24.06'!R39</f>
        <v>#DIV/0!</v>
      </c>
      <c r="V40" t="e">
        <f t="shared" si="11"/>
        <v>#DIV/0!</v>
      </c>
      <c r="W40" t="e">
        <f t="shared" si="12"/>
        <v>#DIV/0!</v>
      </c>
      <c r="X40" t="e">
        <f t="shared" si="13"/>
        <v>#DIV/0!</v>
      </c>
    </row>
    <row r="41" spans="1:24" x14ac:dyDescent="0.45">
      <c r="A41">
        <v>18.5</v>
      </c>
      <c r="F41">
        <f t="shared" si="0"/>
        <v>0</v>
      </c>
      <c r="G41">
        <f t="shared" si="1"/>
        <v>0</v>
      </c>
      <c r="H41">
        <f t="shared" si="14"/>
        <v>0</v>
      </c>
      <c r="I41">
        <f t="shared" si="14"/>
        <v>0</v>
      </c>
      <c r="J41">
        <f t="shared" si="15"/>
        <v>0</v>
      </c>
      <c r="K41">
        <f t="shared" si="15"/>
        <v>0</v>
      </c>
      <c r="L41">
        <f t="shared" si="16"/>
        <v>0</v>
      </c>
      <c r="M41">
        <f t="shared" si="16"/>
        <v>0</v>
      </c>
      <c r="N41">
        <f t="shared" si="5"/>
        <v>0</v>
      </c>
      <c r="O41" t="e">
        <f t="shared" si="6"/>
        <v>#DIV/0!</v>
      </c>
      <c r="P41" t="e">
        <f t="shared" si="7"/>
        <v>#DIV/0!</v>
      </c>
      <c r="Q41" t="e">
        <f t="shared" si="8"/>
        <v>#DIV/0!</v>
      </c>
      <c r="R41" t="e">
        <f t="shared" si="9"/>
        <v>#DIV/0!</v>
      </c>
      <c r="S41">
        <f t="shared" si="10"/>
        <v>0</v>
      </c>
      <c r="T41" t="e">
        <f>Q41-'"0" цикл 24.06'!Q40</f>
        <v>#DIV/0!</v>
      </c>
      <c r="U41" t="e">
        <f>R41-'"0" цикл 24.06'!R40</f>
        <v>#DIV/0!</v>
      </c>
      <c r="V41" t="e">
        <f t="shared" si="11"/>
        <v>#DIV/0!</v>
      </c>
      <c r="W41" t="e">
        <f t="shared" si="12"/>
        <v>#DIV/0!</v>
      </c>
      <c r="X41" t="e">
        <f t="shared" si="13"/>
        <v>#DIV/0!</v>
      </c>
    </row>
    <row r="42" spans="1:24" x14ac:dyDescent="0.45">
      <c r="A42">
        <v>19</v>
      </c>
      <c r="F42">
        <f t="shared" si="0"/>
        <v>0</v>
      </c>
      <c r="G42">
        <f t="shared" si="1"/>
        <v>0</v>
      </c>
      <c r="H42">
        <f t="shared" si="14"/>
        <v>0</v>
      </c>
      <c r="I42">
        <f t="shared" si="14"/>
        <v>0</v>
      </c>
      <c r="J42">
        <f t="shared" si="15"/>
        <v>0</v>
      </c>
      <c r="K42">
        <f t="shared" si="15"/>
        <v>0</v>
      </c>
      <c r="L42">
        <f t="shared" si="16"/>
        <v>0</v>
      </c>
      <c r="M42">
        <f t="shared" si="16"/>
        <v>0</v>
      </c>
      <c r="N42">
        <f t="shared" si="5"/>
        <v>0</v>
      </c>
      <c r="O42" t="e">
        <f t="shared" si="6"/>
        <v>#DIV/0!</v>
      </c>
      <c r="P42" t="e">
        <f t="shared" si="7"/>
        <v>#DIV/0!</v>
      </c>
      <c r="Q42" t="e">
        <f t="shared" si="8"/>
        <v>#DIV/0!</v>
      </c>
      <c r="R42" t="e">
        <f t="shared" si="9"/>
        <v>#DIV/0!</v>
      </c>
      <c r="S42">
        <f t="shared" si="10"/>
        <v>0</v>
      </c>
      <c r="T42" t="e">
        <f>Q42-'"0" цикл 24.06'!Q41</f>
        <v>#DIV/0!</v>
      </c>
      <c r="U42" t="e">
        <f>R42-'"0" цикл 24.06'!R41</f>
        <v>#DIV/0!</v>
      </c>
      <c r="V42" t="e">
        <f t="shared" si="11"/>
        <v>#DIV/0!</v>
      </c>
      <c r="W42" t="e">
        <f t="shared" si="12"/>
        <v>#DIV/0!</v>
      </c>
      <c r="X42" t="e">
        <f t="shared" si="13"/>
        <v>#DIV/0!</v>
      </c>
    </row>
    <row r="43" spans="1:24" x14ac:dyDescent="0.45">
      <c r="A43">
        <v>19.5</v>
      </c>
      <c r="F43">
        <f t="shared" si="0"/>
        <v>0</v>
      </c>
      <c r="G43">
        <f t="shared" si="1"/>
        <v>0</v>
      </c>
      <c r="H43">
        <f t="shared" si="14"/>
        <v>0</v>
      </c>
      <c r="I43">
        <f t="shared" si="14"/>
        <v>0</v>
      </c>
      <c r="J43">
        <f t="shared" si="15"/>
        <v>0</v>
      </c>
      <c r="K43">
        <f t="shared" si="15"/>
        <v>0</v>
      </c>
      <c r="L43">
        <f t="shared" si="16"/>
        <v>0</v>
      </c>
      <c r="M43">
        <f t="shared" si="16"/>
        <v>0</v>
      </c>
      <c r="N43">
        <f t="shared" si="5"/>
        <v>0</v>
      </c>
      <c r="O43" t="e">
        <f t="shared" si="6"/>
        <v>#DIV/0!</v>
      </c>
      <c r="P43" t="e">
        <f t="shared" si="7"/>
        <v>#DIV/0!</v>
      </c>
      <c r="Q43" t="e">
        <f t="shared" si="8"/>
        <v>#DIV/0!</v>
      </c>
      <c r="R43" t="e">
        <f t="shared" si="9"/>
        <v>#DIV/0!</v>
      </c>
      <c r="S43">
        <f t="shared" si="10"/>
        <v>0</v>
      </c>
      <c r="T43" t="e">
        <f>Q43-'"0" цикл 24.06'!Q42</f>
        <v>#DIV/0!</v>
      </c>
      <c r="U43" t="e">
        <f>R43-'"0" цикл 24.06'!R42</f>
        <v>#DIV/0!</v>
      </c>
      <c r="V43" t="e">
        <f t="shared" si="11"/>
        <v>#DIV/0!</v>
      </c>
      <c r="W43" t="e">
        <f t="shared" si="12"/>
        <v>#DIV/0!</v>
      </c>
      <c r="X43" t="e">
        <f t="shared" si="13"/>
        <v>#DIV/0!</v>
      </c>
    </row>
    <row r="44" spans="1:24" x14ac:dyDescent="0.45">
      <c r="A44">
        <v>20</v>
      </c>
      <c r="F44">
        <f t="shared" si="0"/>
        <v>0</v>
      </c>
      <c r="G44">
        <f t="shared" si="1"/>
        <v>0</v>
      </c>
      <c r="H44">
        <f t="shared" si="14"/>
        <v>0</v>
      </c>
      <c r="I44">
        <f t="shared" si="14"/>
        <v>0</v>
      </c>
      <c r="J44">
        <f t="shared" si="15"/>
        <v>0</v>
      </c>
      <c r="K44">
        <f t="shared" si="15"/>
        <v>0</v>
      </c>
      <c r="L44">
        <f t="shared" si="16"/>
        <v>0</v>
      </c>
      <c r="M44">
        <f t="shared" si="16"/>
        <v>0</v>
      </c>
      <c r="N44">
        <f t="shared" si="5"/>
        <v>0</v>
      </c>
      <c r="O44" t="e">
        <f t="shared" si="6"/>
        <v>#DIV/0!</v>
      </c>
      <c r="P44" t="e">
        <f t="shared" si="7"/>
        <v>#DIV/0!</v>
      </c>
      <c r="Q44" t="e">
        <f t="shared" si="8"/>
        <v>#DIV/0!</v>
      </c>
      <c r="R44" t="e">
        <f t="shared" si="9"/>
        <v>#DIV/0!</v>
      </c>
      <c r="S44">
        <f t="shared" si="10"/>
        <v>0</v>
      </c>
      <c r="T44" t="e">
        <f>Q44-'"0" цикл 24.06'!Q43</f>
        <v>#DIV/0!</v>
      </c>
      <c r="U44" t="e">
        <f>R44-'"0" цикл 24.06'!R43</f>
        <v>#DIV/0!</v>
      </c>
      <c r="V44" t="e">
        <f t="shared" si="11"/>
        <v>#DIV/0!</v>
      </c>
      <c r="W44" t="e">
        <f t="shared" si="12"/>
        <v>#DIV/0!</v>
      </c>
      <c r="X44" t="e">
        <f t="shared" si="13"/>
        <v>#DIV/0!</v>
      </c>
    </row>
    <row r="45" spans="1:24" x14ac:dyDescent="0.45">
      <c r="A45">
        <v>20.5</v>
      </c>
      <c r="F45">
        <f t="shared" si="0"/>
        <v>0</v>
      </c>
      <c r="G45">
        <f t="shared" si="1"/>
        <v>0</v>
      </c>
      <c r="H45">
        <f t="shared" si="14"/>
        <v>0</v>
      </c>
      <c r="I45">
        <f t="shared" si="14"/>
        <v>0</v>
      </c>
      <c r="J45">
        <f t="shared" si="15"/>
        <v>0</v>
      </c>
      <c r="K45">
        <f t="shared" si="15"/>
        <v>0</v>
      </c>
      <c r="L45">
        <f t="shared" si="16"/>
        <v>0</v>
      </c>
      <c r="M45">
        <f t="shared" si="16"/>
        <v>0</v>
      </c>
      <c r="N45">
        <f t="shared" si="5"/>
        <v>0</v>
      </c>
      <c r="O45" t="e">
        <f t="shared" si="6"/>
        <v>#DIV/0!</v>
      </c>
      <c r="P45" t="e">
        <f t="shared" si="7"/>
        <v>#DIV/0!</v>
      </c>
      <c r="Q45" t="e">
        <f t="shared" si="8"/>
        <v>#DIV/0!</v>
      </c>
      <c r="R45" t="e">
        <f t="shared" si="9"/>
        <v>#DIV/0!</v>
      </c>
      <c r="S45">
        <f t="shared" si="10"/>
        <v>0</v>
      </c>
      <c r="T45" t="e">
        <f>Q45-'"0" цикл 24.06'!Q44</f>
        <v>#DIV/0!</v>
      </c>
      <c r="U45" t="e">
        <f>R45-'"0" цикл 24.06'!R44</f>
        <v>#DIV/0!</v>
      </c>
      <c r="V45" t="e">
        <f t="shared" si="11"/>
        <v>#DIV/0!</v>
      </c>
      <c r="W45" t="e">
        <f t="shared" si="12"/>
        <v>#DIV/0!</v>
      </c>
      <c r="X45" t="e">
        <f t="shared" si="13"/>
        <v>#DIV/0!</v>
      </c>
    </row>
    <row r="46" spans="1:24" x14ac:dyDescent="0.45">
      <c r="A46">
        <v>21</v>
      </c>
      <c r="F46">
        <f t="shared" si="0"/>
        <v>0</v>
      </c>
      <c r="G46">
        <f t="shared" si="1"/>
        <v>0</v>
      </c>
      <c r="H46">
        <f t="shared" si="14"/>
        <v>0</v>
      </c>
      <c r="I46">
        <f t="shared" si="14"/>
        <v>0</v>
      </c>
      <c r="J46">
        <f t="shared" si="15"/>
        <v>0</v>
      </c>
      <c r="K46">
        <f t="shared" si="15"/>
        <v>0</v>
      </c>
      <c r="L46">
        <f t="shared" si="16"/>
        <v>0</v>
      </c>
      <c r="M46">
        <f t="shared" si="16"/>
        <v>0</v>
      </c>
      <c r="N46">
        <f t="shared" si="5"/>
        <v>0</v>
      </c>
      <c r="O46" t="e">
        <f t="shared" si="6"/>
        <v>#DIV/0!</v>
      </c>
      <c r="P46" t="e">
        <f t="shared" si="7"/>
        <v>#DIV/0!</v>
      </c>
      <c r="Q46" t="e">
        <f t="shared" si="8"/>
        <v>#DIV/0!</v>
      </c>
      <c r="R46" t="e">
        <f t="shared" si="9"/>
        <v>#DIV/0!</v>
      </c>
      <c r="S46">
        <f t="shared" si="10"/>
        <v>0</v>
      </c>
      <c r="T46" t="e">
        <f>Q46-'"0" цикл 24.06'!Q45</f>
        <v>#DIV/0!</v>
      </c>
      <c r="U46" t="e">
        <f>R46-'"0" цикл 24.06'!R45</f>
        <v>#DIV/0!</v>
      </c>
      <c r="V46" t="e">
        <f t="shared" si="11"/>
        <v>#DIV/0!</v>
      </c>
      <c r="W46" t="e">
        <f t="shared" si="12"/>
        <v>#DIV/0!</v>
      </c>
      <c r="X46" t="e">
        <f t="shared" si="13"/>
        <v>#DIV/0!</v>
      </c>
    </row>
    <row r="47" spans="1:24" x14ac:dyDescent="0.45">
      <c r="A47">
        <v>21.5</v>
      </c>
      <c r="F47">
        <f t="shared" si="0"/>
        <v>0</v>
      </c>
      <c r="G47">
        <f t="shared" si="1"/>
        <v>0</v>
      </c>
      <c r="H47">
        <f t="shared" si="14"/>
        <v>0</v>
      </c>
      <c r="I47">
        <f t="shared" si="14"/>
        <v>0</v>
      </c>
      <c r="J47">
        <f t="shared" si="15"/>
        <v>0</v>
      </c>
      <c r="K47">
        <f t="shared" si="15"/>
        <v>0</v>
      </c>
      <c r="L47">
        <f t="shared" si="16"/>
        <v>0</v>
      </c>
      <c r="M47">
        <f t="shared" si="16"/>
        <v>0</v>
      </c>
      <c r="N47">
        <f t="shared" si="5"/>
        <v>0</v>
      </c>
      <c r="O47" t="e">
        <f t="shared" si="6"/>
        <v>#DIV/0!</v>
      </c>
      <c r="P47" t="e">
        <f t="shared" si="7"/>
        <v>#DIV/0!</v>
      </c>
      <c r="Q47" t="e">
        <f t="shared" si="8"/>
        <v>#DIV/0!</v>
      </c>
      <c r="R47" t="e">
        <f t="shared" si="9"/>
        <v>#DIV/0!</v>
      </c>
      <c r="S47">
        <f t="shared" si="10"/>
        <v>0</v>
      </c>
      <c r="T47" t="e">
        <f>Q47-'"0" цикл 24.06'!Q46</f>
        <v>#DIV/0!</v>
      </c>
      <c r="U47" t="e">
        <f>R47-'"0" цикл 24.06'!R46</f>
        <v>#DIV/0!</v>
      </c>
      <c r="V47" t="e">
        <f t="shared" si="11"/>
        <v>#DIV/0!</v>
      </c>
      <c r="W47" t="e">
        <f t="shared" si="12"/>
        <v>#DIV/0!</v>
      </c>
      <c r="X47" t="e">
        <f t="shared" si="13"/>
        <v>#DIV/0!</v>
      </c>
    </row>
    <row r="48" spans="1:24" x14ac:dyDescent="0.45">
      <c r="A48">
        <v>22</v>
      </c>
      <c r="F48">
        <f t="shared" si="0"/>
        <v>0</v>
      </c>
      <c r="G48">
        <f t="shared" si="1"/>
        <v>0</v>
      </c>
      <c r="H48">
        <f t="shared" si="14"/>
        <v>0</v>
      </c>
      <c r="I48">
        <f t="shared" si="14"/>
        <v>0</v>
      </c>
      <c r="J48">
        <f t="shared" si="15"/>
        <v>0</v>
      </c>
      <c r="K48">
        <f t="shared" si="15"/>
        <v>0</v>
      </c>
      <c r="L48">
        <f t="shared" si="16"/>
        <v>0</v>
      </c>
      <c r="M48">
        <f t="shared" si="16"/>
        <v>0</v>
      </c>
      <c r="N48">
        <f t="shared" si="5"/>
        <v>0</v>
      </c>
      <c r="O48" t="e">
        <f t="shared" si="6"/>
        <v>#DIV/0!</v>
      </c>
      <c r="P48" t="e">
        <f t="shared" si="7"/>
        <v>#DIV/0!</v>
      </c>
      <c r="Q48" t="e">
        <f t="shared" si="8"/>
        <v>#DIV/0!</v>
      </c>
      <c r="R48" t="e">
        <f t="shared" si="9"/>
        <v>#DIV/0!</v>
      </c>
      <c r="S48">
        <f t="shared" si="10"/>
        <v>0</v>
      </c>
      <c r="T48" t="e">
        <f>Q48-'"0" цикл 24.06'!Q47</f>
        <v>#DIV/0!</v>
      </c>
      <c r="U48" t="e">
        <f>R48-'"0" цикл 24.06'!R47</f>
        <v>#DIV/0!</v>
      </c>
      <c r="V48" t="e">
        <f t="shared" si="11"/>
        <v>#DIV/0!</v>
      </c>
      <c r="W48" t="e">
        <f t="shared" si="12"/>
        <v>#DIV/0!</v>
      </c>
      <c r="X48" t="e">
        <f t="shared" si="13"/>
        <v>#DIV/0!</v>
      </c>
    </row>
    <row r="49" spans="1:24" x14ac:dyDescent="0.45">
      <c r="A49">
        <v>22.5</v>
      </c>
      <c r="F49">
        <f t="shared" si="0"/>
        <v>0</v>
      </c>
      <c r="G49">
        <f t="shared" si="1"/>
        <v>0</v>
      </c>
      <c r="H49">
        <f t="shared" si="14"/>
        <v>0</v>
      </c>
      <c r="I49">
        <f t="shared" si="14"/>
        <v>0</v>
      </c>
      <c r="J49">
        <f t="shared" si="15"/>
        <v>0</v>
      </c>
      <c r="K49">
        <f t="shared" si="15"/>
        <v>0</v>
      </c>
      <c r="L49">
        <f t="shared" si="16"/>
        <v>0</v>
      </c>
      <c r="M49">
        <f t="shared" si="16"/>
        <v>0</v>
      </c>
      <c r="N49">
        <f t="shared" si="5"/>
        <v>0</v>
      </c>
      <c r="O49" t="e">
        <f t="shared" si="6"/>
        <v>#DIV/0!</v>
      </c>
      <c r="P49" t="e">
        <f t="shared" si="7"/>
        <v>#DIV/0!</v>
      </c>
      <c r="Q49" t="e">
        <f t="shared" si="8"/>
        <v>#DIV/0!</v>
      </c>
      <c r="R49" t="e">
        <f t="shared" si="9"/>
        <v>#DIV/0!</v>
      </c>
      <c r="S49">
        <f t="shared" si="10"/>
        <v>0</v>
      </c>
      <c r="T49" t="e">
        <f>Q49-'"0" цикл 24.06'!Q48</f>
        <v>#DIV/0!</v>
      </c>
      <c r="U49" t="e">
        <f>R49-'"0" цикл 24.06'!R48</f>
        <v>#DIV/0!</v>
      </c>
      <c r="V49" t="e">
        <f t="shared" si="11"/>
        <v>#DIV/0!</v>
      </c>
      <c r="W49" t="e">
        <f t="shared" si="12"/>
        <v>#DIV/0!</v>
      </c>
      <c r="X49" t="e">
        <f t="shared" si="13"/>
        <v>#DIV/0!</v>
      </c>
    </row>
    <row r="50" spans="1:24" x14ac:dyDescent="0.45">
      <c r="A50">
        <v>23</v>
      </c>
      <c r="F50">
        <f t="shared" si="0"/>
        <v>0</v>
      </c>
      <c r="G50">
        <f t="shared" si="1"/>
        <v>0</v>
      </c>
      <c r="H50">
        <f t="shared" si="14"/>
        <v>0</v>
      </c>
      <c r="I50">
        <f t="shared" si="14"/>
        <v>0</v>
      </c>
      <c r="J50">
        <f t="shared" si="15"/>
        <v>0</v>
      </c>
      <c r="K50">
        <f t="shared" si="15"/>
        <v>0</v>
      </c>
      <c r="L50">
        <f t="shared" si="16"/>
        <v>0</v>
      </c>
      <c r="M50">
        <f t="shared" si="16"/>
        <v>0</v>
      </c>
      <c r="N50">
        <f t="shared" si="5"/>
        <v>0</v>
      </c>
      <c r="O50" t="e">
        <f t="shared" si="6"/>
        <v>#DIV/0!</v>
      </c>
      <c r="P50" t="e">
        <f t="shared" si="7"/>
        <v>#DIV/0!</v>
      </c>
      <c r="Q50" t="e">
        <f t="shared" si="8"/>
        <v>#DIV/0!</v>
      </c>
      <c r="R50" t="e">
        <f t="shared" si="9"/>
        <v>#DIV/0!</v>
      </c>
      <c r="S50">
        <f t="shared" si="10"/>
        <v>0</v>
      </c>
      <c r="T50" t="e">
        <f>Q50-'"0" цикл 24.06'!Q49</f>
        <v>#DIV/0!</v>
      </c>
      <c r="U50" t="e">
        <f>R50-'"0" цикл 24.06'!R49</f>
        <v>#DIV/0!</v>
      </c>
      <c r="V50" t="e">
        <f t="shared" si="11"/>
        <v>#DIV/0!</v>
      </c>
      <c r="W50" t="e">
        <f t="shared" si="12"/>
        <v>#DIV/0!</v>
      </c>
      <c r="X50" t="e">
        <f t="shared" si="13"/>
        <v>#DIV/0!</v>
      </c>
    </row>
    <row r="51" spans="1:24" x14ac:dyDescent="0.45">
      <c r="A51">
        <v>23.5</v>
      </c>
      <c r="F51">
        <f t="shared" si="0"/>
        <v>0</v>
      </c>
      <c r="G51">
        <f t="shared" si="1"/>
        <v>0</v>
      </c>
      <c r="H51">
        <f t="shared" si="14"/>
        <v>0</v>
      </c>
      <c r="I51">
        <f t="shared" si="14"/>
        <v>0</v>
      </c>
      <c r="J51">
        <f t="shared" si="15"/>
        <v>0</v>
      </c>
      <c r="K51">
        <f t="shared" si="15"/>
        <v>0</v>
      </c>
      <c r="L51">
        <f t="shared" si="16"/>
        <v>0</v>
      </c>
      <c r="M51">
        <f t="shared" si="16"/>
        <v>0</v>
      </c>
      <c r="N51">
        <f t="shared" si="5"/>
        <v>0</v>
      </c>
      <c r="O51" t="e">
        <f t="shared" si="6"/>
        <v>#DIV/0!</v>
      </c>
      <c r="P51" t="e">
        <f t="shared" si="7"/>
        <v>#DIV/0!</v>
      </c>
      <c r="Q51" t="e">
        <f t="shared" si="8"/>
        <v>#DIV/0!</v>
      </c>
      <c r="R51" t="e">
        <f t="shared" si="9"/>
        <v>#DIV/0!</v>
      </c>
      <c r="S51">
        <f t="shared" si="10"/>
        <v>0</v>
      </c>
      <c r="T51" t="e">
        <f>Q51-'"0" цикл 24.06'!Q50</f>
        <v>#DIV/0!</v>
      </c>
      <c r="U51" t="e">
        <f>R51-'"0" цикл 24.06'!R50</f>
        <v>#DIV/0!</v>
      </c>
      <c r="V51" t="e">
        <f t="shared" si="11"/>
        <v>#DIV/0!</v>
      </c>
      <c r="W51" t="e">
        <f t="shared" si="12"/>
        <v>#DIV/0!</v>
      </c>
      <c r="X51" t="e">
        <f t="shared" si="13"/>
        <v>#DIV/0!</v>
      </c>
    </row>
    <row r="52" spans="1:24" x14ac:dyDescent="0.45">
      <c r="A52">
        <v>24</v>
      </c>
      <c r="F52">
        <f t="shared" si="0"/>
        <v>0</v>
      </c>
      <c r="G52">
        <f t="shared" si="1"/>
        <v>0</v>
      </c>
      <c r="H52">
        <f t="shared" si="14"/>
        <v>0</v>
      </c>
      <c r="I52">
        <f t="shared" si="14"/>
        <v>0</v>
      </c>
      <c r="J52">
        <f t="shared" si="15"/>
        <v>0</v>
      </c>
      <c r="K52">
        <f t="shared" si="15"/>
        <v>0</v>
      </c>
      <c r="L52">
        <f t="shared" si="16"/>
        <v>0</v>
      </c>
      <c r="M52">
        <f t="shared" si="16"/>
        <v>0</v>
      </c>
      <c r="N52">
        <f t="shared" si="5"/>
        <v>0</v>
      </c>
      <c r="O52" t="e">
        <f t="shared" si="6"/>
        <v>#DIV/0!</v>
      </c>
      <c r="P52" t="e">
        <f t="shared" si="7"/>
        <v>#DIV/0!</v>
      </c>
      <c r="Q52" t="e">
        <f t="shared" si="8"/>
        <v>#DIV/0!</v>
      </c>
      <c r="R52" t="e">
        <f t="shared" si="9"/>
        <v>#DIV/0!</v>
      </c>
      <c r="S52">
        <f t="shared" si="10"/>
        <v>0</v>
      </c>
      <c r="T52" t="e">
        <f>Q52-'"0" цикл 24.06'!Q51</f>
        <v>#DIV/0!</v>
      </c>
      <c r="U52" t="e">
        <f>R52-'"0" цикл 24.06'!R51</f>
        <v>#DIV/0!</v>
      </c>
      <c r="V52" t="e">
        <f t="shared" si="11"/>
        <v>#DIV/0!</v>
      </c>
      <c r="W52" t="e">
        <f t="shared" si="12"/>
        <v>#DIV/0!</v>
      </c>
      <c r="X52" t="e">
        <f t="shared" si="13"/>
        <v>#DIV/0!</v>
      </c>
    </row>
    <row r="53" spans="1:24" x14ac:dyDescent="0.45">
      <c r="A53">
        <v>24.5</v>
      </c>
      <c r="F53">
        <f t="shared" si="0"/>
        <v>0</v>
      </c>
      <c r="G53">
        <f t="shared" si="1"/>
        <v>0</v>
      </c>
      <c r="H53">
        <f t="shared" ref="H53:I54" si="17">ASIN(F53/20000)</f>
        <v>0</v>
      </c>
      <c r="I53">
        <f t="shared" si="17"/>
        <v>0</v>
      </c>
      <c r="J53">
        <f t="shared" ref="J53:K54" si="18">0.5*SIN(H53)</f>
        <v>0</v>
      </c>
      <c r="K53">
        <f t="shared" si="18"/>
        <v>0</v>
      </c>
      <c r="L53">
        <f t="shared" ref="L53:M54" si="19">J54+L54</f>
        <v>0</v>
      </c>
      <c r="M53">
        <f t="shared" si="19"/>
        <v>0</v>
      </c>
      <c r="N53">
        <f t="shared" si="5"/>
        <v>0</v>
      </c>
      <c r="O53" t="e">
        <f t="shared" si="6"/>
        <v>#DIV/0!</v>
      </c>
      <c r="P53" t="e">
        <f t="shared" si="7"/>
        <v>#DIV/0!</v>
      </c>
      <c r="Q53" t="e">
        <f t="shared" si="8"/>
        <v>#DIV/0!</v>
      </c>
      <c r="R53" t="e">
        <f t="shared" si="9"/>
        <v>#DIV/0!</v>
      </c>
      <c r="S53">
        <f t="shared" si="10"/>
        <v>0</v>
      </c>
      <c r="T53" t="e">
        <f>Q53-'"0" цикл 24.06'!Q52</f>
        <v>#DIV/0!</v>
      </c>
      <c r="U53" t="e">
        <f>R53-'"0" цикл 24.06'!R52</f>
        <v>#DIV/0!</v>
      </c>
      <c r="V53" t="e">
        <f t="shared" si="11"/>
        <v>#DIV/0!</v>
      </c>
      <c r="W53" t="e">
        <f t="shared" si="12"/>
        <v>#DIV/0!</v>
      </c>
      <c r="X53" t="e">
        <f t="shared" si="13"/>
        <v>#DIV/0!</v>
      </c>
    </row>
    <row r="54" spans="1:24" x14ac:dyDescent="0.45">
      <c r="A54">
        <v>25</v>
      </c>
      <c r="B54" s="5"/>
      <c r="D54" s="5"/>
      <c r="F54">
        <f t="shared" si="0"/>
        <v>0</v>
      </c>
      <c r="G54">
        <f t="shared" si="1"/>
        <v>0</v>
      </c>
      <c r="H54">
        <f t="shared" si="17"/>
        <v>0</v>
      </c>
      <c r="I54">
        <f t="shared" si="17"/>
        <v>0</v>
      </c>
      <c r="J54">
        <f t="shared" si="18"/>
        <v>0</v>
      </c>
      <c r="K54">
        <f t="shared" si="18"/>
        <v>0</v>
      </c>
      <c r="L54">
        <f t="shared" si="19"/>
        <v>0</v>
      </c>
      <c r="M54">
        <f t="shared" si="19"/>
        <v>0</v>
      </c>
      <c r="N54">
        <f t="shared" si="5"/>
        <v>0</v>
      </c>
      <c r="O54">
        <v>0</v>
      </c>
      <c r="P54">
        <v>0</v>
      </c>
      <c r="Q54">
        <f t="shared" si="8"/>
        <v>0</v>
      </c>
      <c r="R54">
        <f t="shared" si="9"/>
        <v>0</v>
      </c>
      <c r="S54">
        <f t="shared" si="10"/>
        <v>0</v>
      </c>
      <c r="T54">
        <f>Q54-'"0" цикл 24.06'!Q53</f>
        <v>-609.23571912388809</v>
      </c>
      <c r="U54">
        <f>R54-'"0" цикл 24.06'!R53</f>
        <v>-915.46942750717574</v>
      </c>
      <c r="V54">
        <f t="shared" si="11"/>
        <v>1099.660144843268</v>
      </c>
      <c r="W54">
        <f t="shared" si="12"/>
        <v>236.35663315793096</v>
      </c>
      <c r="X54">
        <f t="shared" si="13"/>
        <v>236.35663315793096</v>
      </c>
    </row>
  </sheetData>
  <mergeCells count="1">
    <mergeCell ref="B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54"/>
  <sheetViews>
    <sheetView zoomScale="74" zoomScaleNormal="80" workbookViewId="0">
      <selection activeCell="B3" sqref="B3:E54"/>
    </sheetView>
  </sheetViews>
  <sheetFormatPr defaultRowHeight="14.25" x14ac:dyDescent="0.45"/>
  <sheetData>
    <row r="1" spans="1:24" x14ac:dyDescent="0.45">
      <c r="B1" s="57" t="s">
        <v>0</v>
      </c>
      <c r="C1" s="57"/>
      <c r="D1" s="57"/>
      <c r="E1" s="57"/>
      <c r="H1" t="s">
        <v>94</v>
      </c>
      <c r="L1" s="1"/>
      <c r="M1" s="1"/>
      <c r="O1" t="s">
        <v>1</v>
      </c>
      <c r="P1" s="4">
        <v>180</v>
      </c>
    </row>
    <row r="2" spans="1:24" x14ac:dyDescent="0.45">
      <c r="A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t="s">
        <v>7</v>
      </c>
      <c r="G2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Q2" t="s">
        <v>17</v>
      </c>
      <c r="R2" t="s">
        <v>18</v>
      </c>
      <c r="S2" s="1" t="s">
        <v>15</v>
      </c>
      <c r="T2" s="1" t="s">
        <v>19</v>
      </c>
      <c r="U2" s="1" t="s">
        <v>20</v>
      </c>
      <c r="V2" s="1" t="s">
        <v>21</v>
      </c>
      <c r="W2" s="1"/>
      <c r="X2" s="1" t="s">
        <v>22</v>
      </c>
    </row>
    <row r="3" spans="1:24" x14ac:dyDescent="0.45">
      <c r="A3">
        <v>-0.5</v>
      </c>
      <c r="F3">
        <f>(B3-C3)/2</f>
        <v>0</v>
      </c>
      <c r="G3">
        <f>(D3-E3)/2</f>
        <v>0</v>
      </c>
      <c r="H3">
        <f>ASIN(F3/20000)</f>
        <v>0</v>
      </c>
      <c r="I3">
        <f>ASIN(G3/20000)</f>
        <v>0</v>
      </c>
      <c r="J3">
        <f>0.5*SIN(H3)</f>
        <v>0</v>
      </c>
      <c r="K3">
        <f>0.5*SIN(I3)</f>
        <v>0</v>
      </c>
      <c r="L3">
        <f>J4+L4</f>
        <v>0</v>
      </c>
      <c r="M3">
        <f>K4+M4</f>
        <v>0</v>
      </c>
      <c r="N3">
        <f>SQRT(L3^2+M3^2)</f>
        <v>0</v>
      </c>
      <c r="O3" t="e">
        <f>IF(L3&gt;=0,180-DEGREES(ASIN(-M3/N3)),IF(M3&lt;0,DEGREES(ASIN(-M3/N3)),360-DEGREES(ASIN(M3/N3))))</f>
        <v>#DIV/0!</v>
      </c>
      <c r="P3" t="e">
        <f>IF((O3+$P$1)&lt;=360,O3+$P$1,O3+$P$1-360)</f>
        <v>#DIV/0!</v>
      </c>
      <c r="Q3" t="e">
        <f>1000*N3*COS(RADIANS(P3))</f>
        <v>#DIV/0!</v>
      </c>
      <c r="R3" t="e">
        <f>1000*N3*SIN(RADIANS(P3))</f>
        <v>#DIV/0!</v>
      </c>
      <c r="S3">
        <f>N3*1000</f>
        <v>0</v>
      </c>
      <c r="T3" t="e">
        <f>Q3-'"0" цикл 24.06'!#REF!</f>
        <v>#DIV/0!</v>
      </c>
      <c r="U3" t="e">
        <f>R3-'"0" цикл 24.06'!#REF!</f>
        <v>#DIV/0!</v>
      </c>
      <c r="V3" t="e">
        <f>SQRT(T3^2+U3^2)</f>
        <v>#DIV/0!</v>
      </c>
      <c r="W3" t="e">
        <f>IF(V3=0,0,IF(T3&gt;=0,DEGREES(ASIN(U3/V3)),(180-DEGREES(ASIN(U3/V3)))))</f>
        <v>#DIV/0!</v>
      </c>
      <c r="X3" t="e">
        <f>IF(W3&lt;0,360+W3,W3)</f>
        <v>#DIV/0!</v>
      </c>
    </row>
    <row r="4" spans="1:24" x14ac:dyDescent="0.45">
      <c r="A4">
        <v>0</v>
      </c>
      <c r="F4">
        <f t="shared" ref="F4:F54" si="0">(B4-C4)/2</f>
        <v>0</v>
      </c>
      <c r="G4">
        <f t="shared" ref="G4:G54" si="1">(D4-E4)/2</f>
        <v>0</v>
      </c>
      <c r="H4">
        <f t="shared" ref="H4:I19" si="2">ASIN(F4/20000)</f>
        <v>0</v>
      </c>
      <c r="I4">
        <f t="shared" si="2"/>
        <v>0</v>
      </c>
      <c r="J4">
        <f t="shared" ref="J4:K19" si="3">0.5*SIN(H4)</f>
        <v>0</v>
      </c>
      <c r="K4">
        <f t="shared" si="3"/>
        <v>0</v>
      </c>
      <c r="L4">
        <f t="shared" ref="L4:M19" si="4">J5+L5</f>
        <v>0</v>
      </c>
      <c r="M4">
        <f t="shared" si="4"/>
        <v>0</v>
      </c>
      <c r="N4">
        <f t="shared" ref="N4:N54" si="5">SQRT(L4^2+M4^2)</f>
        <v>0</v>
      </c>
      <c r="O4" t="e">
        <f t="shared" ref="O4:O53" si="6">IF(L4&gt;=0,180-DEGREES(ASIN(-M4/N4)),IF(M4&lt;0,DEGREES(ASIN(-M4/N4)),360-DEGREES(ASIN(M4/N4))))</f>
        <v>#DIV/0!</v>
      </c>
      <c r="P4" t="e">
        <f t="shared" ref="P4:P53" si="7">IF((O4+$P$1)&lt;=360,O4+$P$1,O4+$P$1-360)</f>
        <v>#DIV/0!</v>
      </c>
      <c r="Q4" t="e">
        <f t="shared" ref="Q4:Q54" si="8">1000*N4*COS(RADIANS(P4))</f>
        <v>#DIV/0!</v>
      </c>
      <c r="R4" t="e">
        <f t="shared" ref="R4:R54" si="9">1000*N4*SIN(RADIANS(P4))</f>
        <v>#DIV/0!</v>
      </c>
      <c r="S4">
        <f t="shared" ref="S4:S54" si="10">N4*1000</f>
        <v>0</v>
      </c>
      <c r="T4" t="e">
        <f>Q4-'"0" цикл 24.06'!Q3</f>
        <v>#DIV/0!</v>
      </c>
      <c r="U4" t="e">
        <f>R4-'"0" цикл 24.06'!R3</f>
        <v>#DIV/0!</v>
      </c>
      <c r="V4" t="e">
        <f t="shared" ref="V4:V54" si="11">SQRT(T4^2+U4^2)</f>
        <v>#DIV/0!</v>
      </c>
      <c r="W4" t="e">
        <f t="shared" ref="W4:W54" si="12">IF(V4=0,0,IF(T4&gt;=0,DEGREES(ASIN(U4/V4)),(180-DEGREES(ASIN(U4/V4)))))</f>
        <v>#DIV/0!</v>
      </c>
      <c r="X4" t="e">
        <f t="shared" ref="X4:X54" si="13">IF(W4&lt;0,360+W4,W4)</f>
        <v>#DIV/0!</v>
      </c>
    </row>
    <row r="5" spans="1:24" x14ac:dyDescent="0.45">
      <c r="A5">
        <v>0.5</v>
      </c>
      <c r="F5">
        <f t="shared" si="0"/>
        <v>0</v>
      </c>
      <c r="G5">
        <f t="shared" si="1"/>
        <v>0</v>
      </c>
      <c r="H5">
        <f t="shared" si="2"/>
        <v>0</v>
      </c>
      <c r="I5">
        <f t="shared" si="2"/>
        <v>0</v>
      </c>
      <c r="J5">
        <f t="shared" si="3"/>
        <v>0</v>
      </c>
      <c r="K5">
        <f t="shared" si="3"/>
        <v>0</v>
      </c>
      <c r="L5">
        <f t="shared" si="4"/>
        <v>0</v>
      </c>
      <c r="M5">
        <f t="shared" si="4"/>
        <v>0</v>
      </c>
      <c r="N5">
        <f t="shared" si="5"/>
        <v>0</v>
      </c>
      <c r="O5" t="e">
        <f t="shared" si="6"/>
        <v>#DIV/0!</v>
      </c>
      <c r="P5" t="e">
        <f t="shared" si="7"/>
        <v>#DIV/0!</v>
      </c>
      <c r="Q5" t="e">
        <f t="shared" si="8"/>
        <v>#DIV/0!</v>
      </c>
      <c r="R5" t="e">
        <f t="shared" si="9"/>
        <v>#DIV/0!</v>
      </c>
      <c r="S5">
        <f t="shared" si="10"/>
        <v>0</v>
      </c>
      <c r="T5" t="e">
        <f>Q5-'"0" цикл 24.06'!Q4</f>
        <v>#DIV/0!</v>
      </c>
      <c r="U5" t="e">
        <f>R5-'"0" цикл 24.06'!R4</f>
        <v>#DIV/0!</v>
      </c>
      <c r="V5" t="e">
        <f t="shared" si="11"/>
        <v>#DIV/0!</v>
      </c>
      <c r="W5" t="e">
        <f t="shared" si="12"/>
        <v>#DIV/0!</v>
      </c>
      <c r="X5" t="e">
        <f t="shared" si="13"/>
        <v>#DIV/0!</v>
      </c>
    </row>
    <row r="6" spans="1:24" x14ac:dyDescent="0.45">
      <c r="A6">
        <v>1</v>
      </c>
      <c r="F6">
        <f t="shared" si="0"/>
        <v>0</v>
      </c>
      <c r="G6">
        <f t="shared" si="1"/>
        <v>0</v>
      </c>
      <c r="H6">
        <f t="shared" si="2"/>
        <v>0</v>
      </c>
      <c r="I6">
        <f t="shared" si="2"/>
        <v>0</v>
      </c>
      <c r="J6">
        <f t="shared" si="3"/>
        <v>0</v>
      </c>
      <c r="K6">
        <f t="shared" si="3"/>
        <v>0</v>
      </c>
      <c r="L6">
        <f t="shared" si="4"/>
        <v>0</v>
      </c>
      <c r="M6">
        <f t="shared" si="4"/>
        <v>0</v>
      </c>
      <c r="N6">
        <f t="shared" si="5"/>
        <v>0</v>
      </c>
      <c r="O6" t="e">
        <f t="shared" si="6"/>
        <v>#DIV/0!</v>
      </c>
      <c r="P6" t="e">
        <f t="shared" si="7"/>
        <v>#DIV/0!</v>
      </c>
      <c r="Q6" t="e">
        <f t="shared" si="8"/>
        <v>#DIV/0!</v>
      </c>
      <c r="R6" t="e">
        <f t="shared" si="9"/>
        <v>#DIV/0!</v>
      </c>
      <c r="S6">
        <f t="shared" si="10"/>
        <v>0</v>
      </c>
      <c r="T6" t="e">
        <f>Q6-'"0" цикл 24.06'!Q5</f>
        <v>#DIV/0!</v>
      </c>
      <c r="U6" t="e">
        <f>R6-'"0" цикл 24.06'!R5</f>
        <v>#DIV/0!</v>
      </c>
      <c r="V6" t="e">
        <f t="shared" si="11"/>
        <v>#DIV/0!</v>
      </c>
      <c r="W6" t="e">
        <f t="shared" si="12"/>
        <v>#DIV/0!</v>
      </c>
      <c r="X6" t="e">
        <f t="shared" si="13"/>
        <v>#DIV/0!</v>
      </c>
    </row>
    <row r="7" spans="1:24" x14ac:dyDescent="0.45">
      <c r="A7">
        <v>1.5</v>
      </c>
      <c r="F7">
        <f t="shared" si="0"/>
        <v>0</v>
      </c>
      <c r="G7">
        <f t="shared" si="1"/>
        <v>0</v>
      </c>
      <c r="H7">
        <f t="shared" si="2"/>
        <v>0</v>
      </c>
      <c r="I7">
        <f t="shared" si="2"/>
        <v>0</v>
      </c>
      <c r="J7">
        <f t="shared" si="3"/>
        <v>0</v>
      </c>
      <c r="K7">
        <f t="shared" si="3"/>
        <v>0</v>
      </c>
      <c r="L7">
        <f t="shared" si="4"/>
        <v>0</v>
      </c>
      <c r="M7">
        <f t="shared" si="4"/>
        <v>0</v>
      </c>
      <c r="N7">
        <f t="shared" si="5"/>
        <v>0</v>
      </c>
      <c r="O7" t="e">
        <f t="shared" si="6"/>
        <v>#DIV/0!</v>
      </c>
      <c r="P7" t="e">
        <f t="shared" si="7"/>
        <v>#DIV/0!</v>
      </c>
      <c r="Q7" t="e">
        <f t="shared" si="8"/>
        <v>#DIV/0!</v>
      </c>
      <c r="R7" t="e">
        <f t="shared" si="9"/>
        <v>#DIV/0!</v>
      </c>
      <c r="S7">
        <f t="shared" si="10"/>
        <v>0</v>
      </c>
      <c r="T7" t="e">
        <f>Q7-'"0" цикл 24.06'!Q6</f>
        <v>#DIV/0!</v>
      </c>
      <c r="U7" t="e">
        <f>R7-'"0" цикл 24.06'!R6</f>
        <v>#DIV/0!</v>
      </c>
      <c r="V7" t="e">
        <f t="shared" si="11"/>
        <v>#DIV/0!</v>
      </c>
      <c r="W7" t="e">
        <f t="shared" si="12"/>
        <v>#DIV/0!</v>
      </c>
      <c r="X7" t="e">
        <f t="shared" si="13"/>
        <v>#DIV/0!</v>
      </c>
    </row>
    <row r="8" spans="1:24" x14ac:dyDescent="0.45">
      <c r="A8">
        <v>2</v>
      </c>
      <c r="F8">
        <f t="shared" si="0"/>
        <v>0</v>
      </c>
      <c r="G8">
        <f t="shared" si="1"/>
        <v>0</v>
      </c>
      <c r="H8">
        <f t="shared" si="2"/>
        <v>0</v>
      </c>
      <c r="I8">
        <f t="shared" si="2"/>
        <v>0</v>
      </c>
      <c r="J8">
        <f t="shared" si="3"/>
        <v>0</v>
      </c>
      <c r="K8">
        <f t="shared" si="3"/>
        <v>0</v>
      </c>
      <c r="L8">
        <f t="shared" si="4"/>
        <v>0</v>
      </c>
      <c r="M8">
        <f t="shared" si="4"/>
        <v>0</v>
      </c>
      <c r="N8">
        <f t="shared" si="5"/>
        <v>0</v>
      </c>
      <c r="O8" t="e">
        <f t="shared" si="6"/>
        <v>#DIV/0!</v>
      </c>
      <c r="P8" t="e">
        <f t="shared" si="7"/>
        <v>#DIV/0!</v>
      </c>
      <c r="Q8" t="e">
        <f t="shared" si="8"/>
        <v>#DIV/0!</v>
      </c>
      <c r="R8" t="e">
        <f t="shared" si="9"/>
        <v>#DIV/0!</v>
      </c>
      <c r="S8">
        <f t="shared" si="10"/>
        <v>0</v>
      </c>
      <c r="T8" t="e">
        <f>Q8-'"0" цикл 24.06'!Q7</f>
        <v>#DIV/0!</v>
      </c>
      <c r="U8" t="e">
        <f>R8-'"0" цикл 24.06'!R7</f>
        <v>#DIV/0!</v>
      </c>
      <c r="V8" t="e">
        <f t="shared" si="11"/>
        <v>#DIV/0!</v>
      </c>
      <c r="W8" t="e">
        <f t="shared" si="12"/>
        <v>#DIV/0!</v>
      </c>
      <c r="X8" t="e">
        <f t="shared" si="13"/>
        <v>#DIV/0!</v>
      </c>
    </row>
    <row r="9" spans="1:24" x14ac:dyDescent="0.45">
      <c r="A9">
        <v>2.5</v>
      </c>
      <c r="F9">
        <f t="shared" si="0"/>
        <v>0</v>
      </c>
      <c r="G9">
        <f t="shared" si="1"/>
        <v>0</v>
      </c>
      <c r="H9">
        <f t="shared" si="2"/>
        <v>0</v>
      </c>
      <c r="I9">
        <f t="shared" si="2"/>
        <v>0</v>
      </c>
      <c r="J9">
        <f t="shared" si="3"/>
        <v>0</v>
      </c>
      <c r="K9">
        <f t="shared" si="3"/>
        <v>0</v>
      </c>
      <c r="L9">
        <f t="shared" si="4"/>
        <v>0</v>
      </c>
      <c r="M9">
        <f t="shared" si="4"/>
        <v>0</v>
      </c>
      <c r="N9">
        <f t="shared" si="5"/>
        <v>0</v>
      </c>
      <c r="O9" t="e">
        <f t="shared" si="6"/>
        <v>#DIV/0!</v>
      </c>
      <c r="P9" t="e">
        <f t="shared" si="7"/>
        <v>#DIV/0!</v>
      </c>
      <c r="Q9" t="e">
        <f t="shared" si="8"/>
        <v>#DIV/0!</v>
      </c>
      <c r="R9" t="e">
        <f t="shared" si="9"/>
        <v>#DIV/0!</v>
      </c>
      <c r="S9">
        <f t="shared" si="10"/>
        <v>0</v>
      </c>
      <c r="T9" t="e">
        <f>Q9-'"0" цикл 24.06'!Q8</f>
        <v>#DIV/0!</v>
      </c>
      <c r="U9" t="e">
        <f>R9-'"0" цикл 24.06'!R8</f>
        <v>#DIV/0!</v>
      </c>
      <c r="V9" t="e">
        <f t="shared" si="11"/>
        <v>#DIV/0!</v>
      </c>
      <c r="W9" t="e">
        <f t="shared" si="12"/>
        <v>#DIV/0!</v>
      </c>
      <c r="X9" t="e">
        <f t="shared" si="13"/>
        <v>#DIV/0!</v>
      </c>
    </row>
    <row r="10" spans="1:24" x14ac:dyDescent="0.45">
      <c r="A10">
        <v>3</v>
      </c>
      <c r="F10">
        <f t="shared" si="0"/>
        <v>0</v>
      </c>
      <c r="G10">
        <f t="shared" si="1"/>
        <v>0</v>
      </c>
      <c r="H10">
        <f t="shared" si="2"/>
        <v>0</v>
      </c>
      <c r="I10">
        <f t="shared" si="2"/>
        <v>0</v>
      </c>
      <c r="J10">
        <f t="shared" si="3"/>
        <v>0</v>
      </c>
      <c r="K10">
        <f t="shared" si="3"/>
        <v>0</v>
      </c>
      <c r="L10">
        <f t="shared" si="4"/>
        <v>0</v>
      </c>
      <c r="M10">
        <f t="shared" si="4"/>
        <v>0</v>
      </c>
      <c r="N10">
        <f t="shared" si="5"/>
        <v>0</v>
      </c>
      <c r="O10" t="e">
        <f t="shared" si="6"/>
        <v>#DIV/0!</v>
      </c>
      <c r="P10" t="e">
        <f t="shared" si="7"/>
        <v>#DIV/0!</v>
      </c>
      <c r="Q10" t="e">
        <f t="shared" si="8"/>
        <v>#DIV/0!</v>
      </c>
      <c r="R10" t="e">
        <f t="shared" si="9"/>
        <v>#DIV/0!</v>
      </c>
      <c r="S10">
        <f t="shared" si="10"/>
        <v>0</v>
      </c>
      <c r="T10" t="e">
        <f>Q10-'"0" цикл 24.06'!Q9</f>
        <v>#DIV/0!</v>
      </c>
      <c r="U10" t="e">
        <f>R10-'"0" цикл 24.06'!R9</f>
        <v>#DIV/0!</v>
      </c>
      <c r="V10" t="e">
        <f t="shared" si="11"/>
        <v>#DIV/0!</v>
      </c>
      <c r="W10" t="e">
        <f t="shared" si="12"/>
        <v>#DIV/0!</v>
      </c>
      <c r="X10" t="e">
        <f t="shared" si="13"/>
        <v>#DIV/0!</v>
      </c>
    </row>
    <row r="11" spans="1:24" x14ac:dyDescent="0.45">
      <c r="A11">
        <v>3.5</v>
      </c>
      <c r="F11">
        <f t="shared" si="0"/>
        <v>0</v>
      </c>
      <c r="G11">
        <f t="shared" si="1"/>
        <v>0</v>
      </c>
      <c r="H11">
        <f t="shared" si="2"/>
        <v>0</v>
      </c>
      <c r="I11">
        <f t="shared" si="2"/>
        <v>0</v>
      </c>
      <c r="J11">
        <f t="shared" si="3"/>
        <v>0</v>
      </c>
      <c r="K11">
        <f t="shared" si="3"/>
        <v>0</v>
      </c>
      <c r="L11">
        <f t="shared" si="4"/>
        <v>0</v>
      </c>
      <c r="M11">
        <f t="shared" si="4"/>
        <v>0</v>
      </c>
      <c r="N11">
        <f t="shared" si="5"/>
        <v>0</v>
      </c>
      <c r="O11" t="e">
        <f t="shared" si="6"/>
        <v>#DIV/0!</v>
      </c>
      <c r="P11" t="e">
        <f t="shared" si="7"/>
        <v>#DIV/0!</v>
      </c>
      <c r="Q11" t="e">
        <f t="shared" si="8"/>
        <v>#DIV/0!</v>
      </c>
      <c r="R11" t="e">
        <f t="shared" si="9"/>
        <v>#DIV/0!</v>
      </c>
      <c r="S11">
        <f t="shared" si="10"/>
        <v>0</v>
      </c>
      <c r="T11" t="e">
        <f>Q11-'"0" цикл 24.06'!Q10</f>
        <v>#DIV/0!</v>
      </c>
      <c r="U11" t="e">
        <f>R11-'"0" цикл 24.06'!R10</f>
        <v>#DIV/0!</v>
      </c>
      <c r="V11" t="e">
        <f t="shared" si="11"/>
        <v>#DIV/0!</v>
      </c>
      <c r="W11" t="e">
        <f t="shared" si="12"/>
        <v>#DIV/0!</v>
      </c>
      <c r="X11" t="e">
        <f t="shared" si="13"/>
        <v>#DIV/0!</v>
      </c>
    </row>
    <row r="12" spans="1:24" x14ac:dyDescent="0.45">
      <c r="A12">
        <v>4</v>
      </c>
      <c r="F12">
        <f t="shared" si="0"/>
        <v>0</v>
      </c>
      <c r="G12">
        <f t="shared" si="1"/>
        <v>0</v>
      </c>
      <c r="H12">
        <f t="shared" si="2"/>
        <v>0</v>
      </c>
      <c r="I12">
        <f t="shared" si="2"/>
        <v>0</v>
      </c>
      <c r="J12">
        <f t="shared" si="3"/>
        <v>0</v>
      </c>
      <c r="K12">
        <f t="shared" si="3"/>
        <v>0</v>
      </c>
      <c r="L12">
        <f t="shared" si="4"/>
        <v>0</v>
      </c>
      <c r="M12">
        <f t="shared" si="4"/>
        <v>0</v>
      </c>
      <c r="N12">
        <f t="shared" si="5"/>
        <v>0</v>
      </c>
      <c r="O12" t="e">
        <f t="shared" si="6"/>
        <v>#DIV/0!</v>
      </c>
      <c r="P12" t="e">
        <f t="shared" si="7"/>
        <v>#DIV/0!</v>
      </c>
      <c r="Q12" t="e">
        <f t="shared" si="8"/>
        <v>#DIV/0!</v>
      </c>
      <c r="R12" t="e">
        <f t="shared" si="9"/>
        <v>#DIV/0!</v>
      </c>
      <c r="S12">
        <f t="shared" si="10"/>
        <v>0</v>
      </c>
      <c r="T12" t="e">
        <f>Q12-'"0" цикл 24.06'!Q11</f>
        <v>#DIV/0!</v>
      </c>
      <c r="U12" t="e">
        <f>R12-'"0" цикл 24.06'!R11</f>
        <v>#DIV/0!</v>
      </c>
      <c r="V12" t="e">
        <f t="shared" si="11"/>
        <v>#DIV/0!</v>
      </c>
      <c r="W12" t="e">
        <f t="shared" si="12"/>
        <v>#DIV/0!</v>
      </c>
      <c r="X12" t="e">
        <f t="shared" si="13"/>
        <v>#DIV/0!</v>
      </c>
    </row>
    <row r="13" spans="1:24" x14ac:dyDescent="0.45">
      <c r="A13">
        <v>4.5</v>
      </c>
      <c r="F13">
        <f t="shared" si="0"/>
        <v>0</v>
      </c>
      <c r="G13">
        <f t="shared" si="1"/>
        <v>0</v>
      </c>
      <c r="H13">
        <f t="shared" si="2"/>
        <v>0</v>
      </c>
      <c r="I13">
        <f t="shared" si="2"/>
        <v>0</v>
      </c>
      <c r="J13">
        <f t="shared" si="3"/>
        <v>0</v>
      </c>
      <c r="K13">
        <f t="shared" si="3"/>
        <v>0</v>
      </c>
      <c r="L13">
        <f t="shared" si="4"/>
        <v>0</v>
      </c>
      <c r="M13">
        <f t="shared" si="4"/>
        <v>0</v>
      </c>
      <c r="N13">
        <f t="shared" si="5"/>
        <v>0</v>
      </c>
      <c r="O13" t="e">
        <f t="shared" si="6"/>
        <v>#DIV/0!</v>
      </c>
      <c r="P13" t="e">
        <f t="shared" si="7"/>
        <v>#DIV/0!</v>
      </c>
      <c r="Q13" t="e">
        <f t="shared" si="8"/>
        <v>#DIV/0!</v>
      </c>
      <c r="R13" t="e">
        <f t="shared" si="9"/>
        <v>#DIV/0!</v>
      </c>
      <c r="S13">
        <f t="shared" si="10"/>
        <v>0</v>
      </c>
      <c r="T13" t="e">
        <f>Q13-'"0" цикл 24.06'!Q12</f>
        <v>#DIV/0!</v>
      </c>
      <c r="U13" t="e">
        <f>R13-'"0" цикл 24.06'!R12</f>
        <v>#DIV/0!</v>
      </c>
      <c r="V13" t="e">
        <f t="shared" si="11"/>
        <v>#DIV/0!</v>
      </c>
      <c r="W13" t="e">
        <f t="shared" si="12"/>
        <v>#DIV/0!</v>
      </c>
      <c r="X13" t="e">
        <f t="shared" si="13"/>
        <v>#DIV/0!</v>
      </c>
    </row>
    <row r="14" spans="1:24" x14ac:dyDescent="0.45">
      <c r="A14">
        <v>5</v>
      </c>
      <c r="F14">
        <f t="shared" si="0"/>
        <v>0</v>
      </c>
      <c r="G14">
        <f t="shared" si="1"/>
        <v>0</v>
      </c>
      <c r="H14">
        <f t="shared" si="2"/>
        <v>0</v>
      </c>
      <c r="I14">
        <f t="shared" si="2"/>
        <v>0</v>
      </c>
      <c r="J14">
        <f t="shared" si="3"/>
        <v>0</v>
      </c>
      <c r="K14">
        <f t="shared" si="3"/>
        <v>0</v>
      </c>
      <c r="L14">
        <f t="shared" si="4"/>
        <v>0</v>
      </c>
      <c r="M14">
        <f t="shared" si="4"/>
        <v>0</v>
      </c>
      <c r="N14">
        <f t="shared" si="5"/>
        <v>0</v>
      </c>
      <c r="O14" t="e">
        <f t="shared" si="6"/>
        <v>#DIV/0!</v>
      </c>
      <c r="P14" t="e">
        <f t="shared" si="7"/>
        <v>#DIV/0!</v>
      </c>
      <c r="Q14" t="e">
        <f t="shared" si="8"/>
        <v>#DIV/0!</v>
      </c>
      <c r="R14" t="e">
        <f t="shared" si="9"/>
        <v>#DIV/0!</v>
      </c>
      <c r="S14">
        <f t="shared" si="10"/>
        <v>0</v>
      </c>
      <c r="T14" t="e">
        <f>Q14-'"0" цикл 24.06'!Q13</f>
        <v>#DIV/0!</v>
      </c>
      <c r="U14" t="e">
        <f>R14-'"0" цикл 24.06'!R13</f>
        <v>#DIV/0!</v>
      </c>
      <c r="V14" t="e">
        <f t="shared" si="11"/>
        <v>#DIV/0!</v>
      </c>
      <c r="W14" t="e">
        <f t="shared" si="12"/>
        <v>#DIV/0!</v>
      </c>
      <c r="X14" t="e">
        <f t="shared" si="13"/>
        <v>#DIV/0!</v>
      </c>
    </row>
    <row r="15" spans="1:24" x14ac:dyDescent="0.45">
      <c r="A15">
        <v>5.5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2"/>
        <v>0</v>
      </c>
      <c r="J15">
        <f t="shared" si="3"/>
        <v>0</v>
      </c>
      <c r="K15">
        <f t="shared" si="3"/>
        <v>0</v>
      </c>
      <c r="L15">
        <f t="shared" si="4"/>
        <v>0</v>
      </c>
      <c r="M15">
        <f t="shared" si="4"/>
        <v>0</v>
      </c>
      <c r="N15">
        <f t="shared" si="5"/>
        <v>0</v>
      </c>
      <c r="O15" t="e">
        <f t="shared" si="6"/>
        <v>#DIV/0!</v>
      </c>
      <c r="P15" t="e">
        <f t="shared" si="7"/>
        <v>#DIV/0!</v>
      </c>
      <c r="Q15" t="e">
        <f t="shared" si="8"/>
        <v>#DIV/0!</v>
      </c>
      <c r="R15" t="e">
        <f t="shared" si="9"/>
        <v>#DIV/0!</v>
      </c>
      <c r="S15">
        <f t="shared" si="10"/>
        <v>0</v>
      </c>
      <c r="T15" t="e">
        <f>Q15-'"0" цикл 24.06'!Q14</f>
        <v>#DIV/0!</v>
      </c>
      <c r="U15" t="e">
        <f>R15-'"0" цикл 24.06'!R14</f>
        <v>#DIV/0!</v>
      </c>
      <c r="V15" t="e">
        <f t="shared" si="11"/>
        <v>#DIV/0!</v>
      </c>
      <c r="W15" t="e">
        <f t="shared" si="12"/>
        <v>#DIV/0!</v>
      </c>
      <c r="X15" t="e">
        <f t="shared" si="13"/>
        <v>#DIV/0!</v>
      </c>
    </row>
    <row r="16" spans="1:24" x14ac:dyDescent="0.45">
      <c r="A16">
        <v>6</v>
      </c>
      <c r="F16">
        <f t="shared" si="0"/>
        <v>0</v>
      </c>
      <c r="G16">
        <f t="shared" si="1"/>
        <v>0</v>
      </c>
      <c r="H16">
        <f t="shared" si="2"/>
        <v>0</v>
      </c>
      <c r="I16">
        <f t="shared" si="2"/>
        <v>0</v>
      </c>
      <c r="J16">
        <f t="shared" si="3"/>
        <v>0</v>
      </c>
      <c r="K16">
        <f t="shared" si="3"/>
        <v>0</v>
      </c>
      <c r="L16">
        <f t="shared" si="4"/>
        <v>0</v>
      </c>
      <c r="M16">
        <f t="shared" si="4"/>
        <v>0</v>
      </c>
      <c r="N16">
        <f t="shared" si="5"/>
        <v>0</v>
      </c>
      <c r="O16" t="e">
        <f t="shared" si="6"/>
        <v>#DIV/0!</v>
      </c>
      <c r="P16" t="e">
        <f t="shared" si="7"/>
        <v>#DIV/0!</v>
      </c>
      <c r="Q16" t="e">
        <f t="shared" si="8"/>
        <v>#DIV/0!</v>
      </c>
      <c r="R16" t="e">
        <f t="shared" si="9"/>
        <v>#DIV/0!</v>
      </c>
      <c r="S16">
        <f t="shared" si="10"/>
        <v>0</v>
      </c>
      <c r="T16" t="e">
        <f>Q16-'"0" цикл 24.06'!Q15</f>
        <v>#DIV/0!</v>
      </c>
      <c r="U16" t="e">
        <f>R16-'"0" цикл 24.06'!R15</f>
        <v>#DIV/0!</v>
      </c>
      <c r="V16" t="e">
        <f t="shared" si="11"/>
        <v>#DIV/0!</v>
      </c>
      <c r="W16" t="e">
        <f t="shared" si="12"/>
        <v>#DIV/0!</v>
      </c>
      <c r="X16" t="e">
        <f t="shared" si="13"/>
        <v>#DIV/0!</v>
      </c>
    </row>
    <row r="17" spans="1:24" x14ac:dyDescent="0.45">
      <c r="A17">
        <v>6.5</v>
      </c>
      <c r="F17">
        <f t="shared" si="0"/>
        <v>0</v>
      </c>
      <c r="G17">
        <f t="shared" si="1"/>
        <v>0</v>
      </c>
      <c r="H17">
        <f t="shared" si="2"/>
        <v>0</v>
      </c>
      <c r="I17">
        <f t="shared" si="2"/>
        <v>0</v>
      </c>
      <c r="J17">
        <f t="shared" si="3"/>
        <v>0</v>
      </c>
      <c r="K17">
        <f t="shared" si="3"/>
        <v>0</v>
      </c>
      <c r="L17">
        <f t="shared" si="4"/>
        <v>0</v>
      </c>
      <c r="M17">
        <f t="shared" si="4"/>
        <v>0</v>
      </c>
      <c r="N17">
        <f t="shared" si="5"/>
        <v>0</v>
      </c>
      <c r="O17" t="e">
        <f t="shared" si="6"/>
        <v>#DIV/0!</v>
      </c>
      <c r="P17" t="e">
        <f t="shared" si="7"/>
        <v>#DIV/0!</v>
      </c>
      <c r="Q17" t="e">
        <f t="shared" si="8"/>
        <v>#DIV/0!</v>
      </c>
      <c r="R17" t="e">
        <f t="shared" si="9"/>
        <v>#DIV/0!</v>
      </c>
      <c r="S17">
        <f t="shared" si="10"/>
        <v>0</v>
      </c>
      <c r="T17" t="e">
        <f>Q17-'"0" цикл 24.06'!Q16</f>
        <v>#DIV/0!</v>
      </c>
      <c r="U17" t="e">
        <f>R17-'"0" цикл 24.06'!R16</f>
        <v>#DIV/0!</v>
      </c>
      <c r="V17" t="e">
        <f t="shared" si="11"/>
        <v>#DIV/0!</v>
      </c>
      <c r="W17" t="e">
        <f t="shared" si="12"/>
        <v>#DIV/0!</v>
      </c>
      <c r="X17" t="e">
        <f t="shared" si="13"/>
        <v>#DIV/0!</v>
      </c>
    </row>
    <row r="18" spans="1:24" x14ac:dyDescent="0.45">
      <c r="A18">
        <v>7</v>
      </c>
      <c r="F18">
        <f t="shared" si="0"/>
        <v>0</v>
      </c>
      <c r="G18">
        <f t="shared" si="1"/>
        <v>0</v>
      </c>
      <c r="H18">
        <f t="shared" si="2"/>
        <v>0</v>
      </c>
      <c r="I18">
        <f t="shared" si="2"/>
        <v>0</v>
      </c>
      <c r="J18">
        <f t="shared" si="3"/>
        <v>0</v>
      </c>
      <c r="K18">
        <f t="shared" si="3"/>
        <v>0</v>
      </c>
      <c r="L18">
        <f t="shared" si="4"/>
        <v>0</v>
      </c>
      <c r="M18">
        <f t="shared" si="4"/>
        <v>0</v>
      </c>
      <c r="N18">
        <f t="shared" si="5"/>
        <v>0</v>
      </c>
      <c r="O18" t="e">
        <f t="shared" si="6"/>
        <v>#DIV/0!</v>
      </c>
      <c r="P18" t="e">
        <f t="shared" si="7"/>
        <v>#DIV/0!</v>
      </c>
      <c r="Q18" t="e">
        <f t="shared" si="8"/>
        <v>#DIV/0!</v>
      </c>
      <c r="R18" t="e">
        <f t="shared" si="9"/>
        <v>#DIV/0!</v>
      </c>
      <c r="S18">
        <f t="shared" si="10"/>
        <v>0</v>
      </c>
      <c r="T18" t="e">
        <f>Q18-'"0" цикл 24.06'!Q17</f>
        <v>#DIV/0!</v>
      </c>
      <c r="U18" t="e">
        <f>R18-'"0" цикл 24.06'!R17</f>
        <v>#DIV/0!</v>
      </c>
      <c r="V18" t="e">
        <f t="shared" si="11"/>
        <v>#DIV/0!</v>
      </c>
      <c r="W18" t="e">
        <f t="shared" si="12"/>
        <v>#DIV/0!</v>
      </c>
      <c r="X18" t="e">
        <f t="shared" si="13"/>
        <v>#DIV/0!</v>
      </c>
    </row>
    <row r="19" spans="1:24" x14ac:dyDescent="0.45">
      <c r="A19">
        <v>7.5</v>
      </c>
      <c r="F19">
        <f t="shared" si="0"/>
        <v>0</v>
      </c>
      <c r="G19">
        <f t="shared" si="1"/>
        <v>0</v>
      </c>
      <c r="H19">
        <f t="shared" si="2"/>
        <v>0</v>
      </c>
      <c r="I19">
        <f t="shared" si="2"/>
        <v>0</v>
      </c>
      <c r="J19">
        <f t="shared" si="3"/>
        <v>0</v>
      </c>
      <c r="K19">
        <f t="shared" si="3"/>
        <v>0</v>
      </c>
      <c r="L19">
        <f t="shared" si="4"/>
        <v>0</v>
      </c>
      <c r="M19">
        <f t="shared" si="4"/>
        <v>0</v>
      </c>
      <c r="N19">
        <f t="shared" si="5"/>
        <v>0</v>
      </c>
      <c r="O19" t="e">
        <f t="shared" si="6"/>
        <v>#DIV/0!</v>
      </c>
      <c r="P19" t="e">
        <f t="shared" si="7"/>
        <v>#DIV/0!</v>
      </c>
      <c r="Q19" t="e">
        <f t="shared" si="8"/>
        <v>#DIV/0!</v>
      </c>
      <c r="R19" t="e">
        <f t="shared" si="9"/>
        <v>#DIV/0!</v>
      </c>
      <c r="S19">
        <f t="shared" si="10"/>
        <v>0</v>
      </c>
      <c r="T19" t="e">
        <f>Q19-'"0" цикл 24.06'!Q18</f>
        <v>#DIV/0!</v>
      </c>
      <c r="U19" t="e">
        <f>R19-'"0" цикл 24.06'!R18</f>
        <v>#DIV/0!</v>
      </c>
      <c r="V19" t="e">
        <f t="shared" si="11"/>
        <v>#DIV/0!</v>
      </c>
      <c r="W19" t="e">
        <f t="shared" si="12"/>
        <v>#DIV/0!</v>
      </c>
      <c r="X19" t="e">
        <f t="shared" si="13"/>
        <v>#DIV/0!</v>
      </c>
    </row>
    <row r="20" spans="1:24" x14ac:dyDescent="0.45">
      <c r="A20">
        <v>8</v>
      </c>
      <c r="F20">
        <f t="shared" si="0"/>
        <v>0</v>
      </c>
      <c r="G20">
        <f t="shared" si="1"/>
        <v>0</v>
      </c>
      <c r="H20">
        <f t="shared" ref="H20:I52" si="14">ASIN(F20/20000)</f>
        <v>0</v>
      </c>
      <c r="I20">
        <f t="shared" si="14"/>
        <v>0</v>
      </c>
      <c r="J20">
        <f t="shared" ref="J20:K52" si="15">0.5*SIN(H20)</f>
        <v>0</v>
      </c>
      <c r="K20">
        <f t="shared" si="15"/>
        <v>0</v>
      </c>
      <c r="L20">
        <f t="shared" ref="L20:M52" si="16">J21+L21</f>
        <v>0</v>
      </c>
      <c r="M20">
        <f t="shared" si="16"/>
        <v>0</v>
      </c>
      <c r="N20">
        <f t="shared" si="5"/>
        <v>0</v>
      </c>
      <c r="O20" t="e">
        <f t="shared" si="6"/>
        <v>#DIV/0!</v>
      </c>
      <c r="P20" t="e">
        <f t="shared" si="7"/>
        <v>#DIV/0!</v>
      </c>
      <c r="Q20" t="e">
        <f t="shared" si="8"/>
        <v>#DIV/0!</v>
      </c>
      <c r="R20" t="e">
        <f t="shared" si="9"/>
        <v>#DIV/0!</v>
      </c>
      <c r="S20">
        <f t="shared" si="10"/>
        <v>0</v>
      </c>
      <c r="T20" t="e">
        <f>Q20-'"0" цикл 24.06'!Q19</f>
        <v>#DIV/0!</v>
      </c>
      <c r="U20" t="e">
        <f>R20-'"0" цикл 24.06'!R19</f>
        <v>#DIV/0!</v>
      </c>
      <c r="V20" t="e">
        <f t="shared" si="11"/>
        <v>#DIV/0!</v>
      </c>
      <c r="W20" t="e">
        <f t="shared" si="12"/>
        <v>#DIV/0!</v>
      </c>
      <c r="X20" t="e">
        <f t="shared" si="13"/>
        <v>#DIV/0!</v>
      </c>
    </row>
    <row r="21" spans="1:24" x14ac:dyDescent="0.45">
      <c r="A21">
        <v>8.5</v>
      </c>
      <c r="F21">
        <f t="shared" si="0"/>
        <v>0</v>
      </c>
      <c r="G21">
        <f t="shared" si="1"/>
        <v>0</v>
      </c>
      <c r="H21">
        <f t="shared" si="14"/>
        <v>0</v>
      </c>
      <c r="I21">
        <f t="shared" si="14"/>
        <v>0</v>
      </c>
      <c r="J21">
        <f t="shared" si="15"/>
        <v>0</v>
      </c>
      <c r="K21">
        <f t="shared" si="15"/>
        <v>0</v>
      </c>
      <c r="L21">
        <f t="shared" si="16"/>
        <v>0</v>
      </c>
      <c r="M21">
        <f t="shared" si="16"/>
        <v>0</v>
      </c>
      <c r="N21">
        <f t="shared" si="5"/>
        <v>0</v>
      </c>
      <c r="O21" t="e">
        <f t="shared" si="6"/>
        <v>#DIV/0!</v>
      </c>
      <c r="P21" t="e">
        <f t="shared" si="7"/>
        <v>#DIV/0!</v>
      </c>
      <c r="Q21" t="e">
        <f t="shared" si="8"/>
        <v>#DIV/0!</v>
      </c>
      <c r="R21" t="e">
        <f t="shared" si="9"/>
        <v>#DIV/0!</v>
      </c>
      <c r="S21">
        <f t="shared" si="10"/>
        <v>0</v>
      </c>
      <c r="T21" t="e">
        <f>Q21-'"0" цикл 24.06'!Q20</f>
        <v>#DIV/0!</v>
      </c>
      <c r="U21" t="e">
        <f>R21-'"0" цикл 24.06'!R20</f>
        <v>#DIV/0!</v>
      </c>
      <c r="V21" t="e">
        <f t="shared" si="11"/>
        <v>#DIV/0!</v>
      </c>
      <c r="W21" t="e">
        <f t="shared" si="12"/>
        <v>#DIV/0!</v>
      </c>
      <c r="X21" t="e">
        <f t="shared" si="13"/>
        <v>#DIV/0!</v>
      </c>
    </row>
    <row r="22" spans="1:24" x14ac:dyDescent="0.45">
      <c r="A22">
        <v>9</v>
      </c>
      <c r="F22">
        <f t="shared" si="0"/>
        <v>0</v>
      </c>
      <c r="G22">
        <f t="shared" si="1"/>
        <v>0</v>
      </c>
      <c r="H22">
        <f t="shared" si="14"/>
        <v>0</v>
      </c>
      <c r="I22">
        <f t="shared" si="14"/>
        <v>0</v>
      </c>
      <c r="J22">
        <f t="shared" si="15"/>
        <v>0</v>
      </c>
      <c r="K22">
        <f t="shared" si="15"/>
        <v>0</v>
      </c>
      <c r="L22">
        <f t="shared" si="16"/>
        <v>0</v>
      </c>
      <c r="M22">
        <f t="shared" si="16"/>
        <v>0</v>
      </c>
      <c r="N22">
        <f t="shared" si="5"/>
        <v>0</v>
      </c>
      <c r="O22" t="e">
        <f t="shared" si="6"/>
        <v>#DIV/0!</v>
      </c>
      <c r="P22" t="e">
        <f t="shared" si="7"/>
        <v>#DIV/0!</v>
      </c>
      <c r="Q22" t="e">
        <f t="shared" si="8"/>
        <v>#DIV/0!</v>
      </c>
      <c r="R22" t="e">
        <f t="shared" si="9"/>
        <v>#DIV/0!</v>
      </c>
      <c r="S22">
        <f t="shared" si="10"/>
        <v>0</v>
      </c>
      <c r="T22" t="e">
        <f>Q22-'"0" цикл 24.06'!Q21</f>
        <v>#DIV/0!</v>
      </c>
      <c r="U22" t="e">
        <f>R22-'"0" цикл 24.06'!R21</f>
        <v>#DIV/0!</v>
      </c>
      <c r="V22" t="e">
        <f t="shared" si="11"/>
        <v>#DIV/0!</v>
      </c>
      <c r="W22" t="e">
        <f t="shared" si="12"/>
        <v>#DIV/0!</v>
      </c>
      <c r="X22" t="e">
        <f t="shared" si="13"/>
        <v>#DIV/0!</v>
      </c>
    </row>
    <row r="23" spans="1:24" x14ac:dyDescent="0.45">
      <c r="A23">
        <v>9.5</v>
      </c>
      <c r="F23">
        <f t="shared" si="0"/>
        <v>0</v>
      </c>
      <c r="G23">
        <f t="shared" si="1"/>
        <v>0</v>
      </c>
      <c r="H23">
        <f t="shared" si="14"/>
        <v>0</v>
      </c>
      <c r="I23">
        <f t="shared" si="14"/>
        <v>0</v>
      </c>
      <c r="J23">
        <f t="shared" si="15"/>
        <v>0</v>
      </c>
      <c r="K23">
        <f t="shared" si="15"/>
        <v>0</v>
      </c>
      <c r="L23">
        <f t="shared" si="16"/>
        <v>0</v>
      </c>
      <c r="M23">
        <f t="shared" si="16"/>
        <v>0</v>
      </c>
      <c r="N23">
        <f t="shared" si="5"/>
        <v>0</v>
      </c>
      <c r="O23" t="e">
        <f t="shared" si="6"/>
        <v>#DIV/0!</v>
      </c>
      <c r="P23" t="e">
        <f t="shared" si="7"/>
        <v>#DIV/0!</v>
      </c>
      <c r="Q23" t="e">
        <f t="shared" si="8"/>
        <v>#DIV/0!</v>
      </c>
      <c r="R23" t="e">
        <f t="shared" si="9"/>
        <v>#DIV/0!</v>
      </c>
      <c r="S23">
        <f t="shared" si="10"/>
        <v>0</v>
      </c>
      <c r="T23" t="e">
        <f>Q23-'"0" цикл 24.06'!Q22</f>
        <v>#DIV/0!</v>
      </c>
      <c r="U23" t="e">
        <f>R23-'"0" цикл 24.06'!R22</f>
        <v>#DIV/0!</v>
      </c>
      <c r="V23" t="e">
        <f t="shared" si="11"/>
        <v>#DIV/0!</v>
      </c>
      <c r="W23" t="e">
        <f t="shared" si="12"/>
        <v>#DIV/0!</v>
      </c>
      <c r="X23" t="e">
        <f t="shared" si="13"/>
        <v>#DIV/0!</v>
      </c>
    </row>
    <row r="24" spans="1:24" x14ac:dyDescent="0.45">
      <c r="A24">
        <v>10</v>
      </c>
      <c r="F24">
        <f t="shared" si="0"/>
        <v>0</v>
      </c>
      <c r="G24">
        <f t="shared" si="1"/>
        <v>0</v>
      </c>
      <c r="H24">
        <f t="shared" si="14"/>
        <v>0</v>
      </c>
      <c r="I24">
        <f t="shared" si="14"/>
        <v>0</v>
      </c>
      <c r="J24">
        <f t="shared" si="15"/>
        <v>0</v>
      </c>
      <c r="K24">
        <f t="shared" si="15"/>
        <v>0</v>
      </c>
      <c r="L24">
        <f t="shared" si="16"/>
        <v>0</v>
      </c>
      <c r="M24">
        <f t="shared" si="16"/>
        <v>0</v>
      </c>
      <c r="N24">
        <f t="shared" si="5"/>
        <v>0</v>
      </c>
      <c r="O24" t="e">
        <f t="shared" si="6"/>
        <v>#DIV/0!</v>
      </c>
      <c r="P24" t="e">
        <f t="shared" si="7"/>
        <v>#DIV/0!</v>
      </c>
      <c r="Q24" t="e">
        <f t="shared" si="8"/>
        <v>#DIV/0!</v>
      </c>
      <c r="R24" t="e">
        <f t="shared" si="9"/>
        <v>#DIV/0!</v>
      </c>
      <c r="S24">
        <f t="shared" si="10"/>
        <v>0</v>
      </c>
      <c r="T24" t="e">
        <f>Q24-'"0" цикл 24.06'!Q23</f>
        <v>#DIV/0!</v>
      </c>
      <c r="U24" t="e">
        <f>R24-'"0" цикл 24.06'!R23</f>
        <v>#DIV/0!</v>
      </c>
      <c r="V24" t="e">
        <f t="shared" si="11"/>
        <v>#DIV/0!</v>
      </c>
      <c r="W24" t="e">
        <f t="shared" si="12"/>
        <v>#DIV/0!</v>
      </c>
      <c r="X24" t="e">
        <f t="shared" si="13"/>
        <v>#DIV/0!</v>
      </c>
    </row>
    <row r="25" spans="1:24" x14ac:dyDescent="0.45">
      <c r="A25">
        <v>10.5</v>
      </c>
      <c r="F25">
        <f t="shared" si="0"/>
        <v>0</v>
      </c>
      <c r="G25">
        <f t="shared" si="1"/>
        <v>0</v>
      </c>
      <c r="H25">
        <f t="shared" si="14"/>
        <v>0</v>
      </c>
      <c r="I25">
        <f t="shared" si="14"/>
        <v>0</v>
      </c>
      <c r="J25">
        <f t="shared" si="15"/>
        <v>0</v>
      </c>
      <c r="K25">
        <f t="shared" si="15"/>
        <v>0</v>
      </c>
      <c r="L25">
        <f t="shared" si="16"/>
        <v>0</v>
      </c>
      <c r="M25">
        <f t="shared" si="16"/>
        <v>0</v>
      </c>
      <c r="N25">
        <f t="shared" si="5"/>
        <v>0</v>
      </c>
      <c r="O25" t="e">
        <f t="shared" si="6"/>
        <v>#DIV/0!</v>
      </c>
      <c r="P25" t="e">
        <f t="shared" si="7"/>
        <v>#DIV/0!</v>
      </c>
      <c r="Q25" t="e">
        <f t="shared" si="8"/>
        <v>#DIV/0!</v>
      </c>
      <c r="R25" t="e">
        <f t="shared" si="9"/>
        <v>#DIV/0!</v>
      </c>
      <c r="S25">
        <f t="shared" si="10"/>
        <v>0</v>
      </c>
      <c r="T25" t="e">
        <f>Q25-'"0" цикл 24.06'!Q24</f>
        <v>#DIV/0!</v>
      </c>
      <c r="U25" t="e">
        <f>R25-'"0" цикл 24.06'!R24</f>
        <v>#DIV/0!</v>
      </c>
      <c r="V25" t="e">
        <f t="shared" si="11"/>
        <v>#DIV/0!</v>
      </c>
      <c r="W25" t="e">
        <f t="shared" si="12"/>
        <v>#DIV/0!</v>
      </c>
      <c r="X25" t="e">
        <f t="shared" si="13"/>
        <v>#DIV/0!</v>
      </c>
    </row>
    <row r="26" spans="1:24" x14ac:dyDescent="0.45">
      <c r="A26">
        <v>11</v>
      </c>
      <c r="F26">
        <f t="shared" si="0"/>
        <v>0</v>
      </c>
      <c r="G26">
        <f t="shared" si="1"/>
        <v>0</v>
      </c>
      <c r="H26">
        <f t="shared" si="14"/>
        <v>0</v>
      </c>
      <c r="I26">
        <f t="shared" si="14"/>
        <v>0</v>
      </c>
      <c r="J26">
        <f t="shared" si="15"/>
        <v>0</v>
      </c>
      <c r="K26">
        <f t="shared" si="15"/>
        <v>0</v>
      </c>
      <c r="L26">
        <f t="shared" si="16"/>
        <v>0</v>
      </c>
      <c r="M26">
        <f t="shared" si="16"/>
        <v>0</v>
      </c>
      <c r="N26">
        <f t="shared" si="5"/>
        <v>0</v>
      </c>
      <c r="O26" t="e">
        <f t="shared" si="6"/>
        <v>#DIV/0!</v>
      </c>
      <c r="P26" t="e">
        <f t="shared" si="7"/>
        <v>#DIV/0!</v>
      </c>
      <c r="Q26" t="e">
        <f t="shared" si="8"/>
        <v>#DIV/0!</v>
      </c>
      <c r="R26" t="e">
        <f t="shared" si="9"/>
        <v>#DIV/0!</v>
      </c>
      <c r="S26">
        <f t="shared" si="10"/>
        <v>0</v>
      </c>
      <c r="T26" t="e">
        <f>Q26-'"0" цикл 24.06'!Q25</f>
        <v>#DIV/0!</v>
      </c>
      <c r="U26" t="e">
        <f>R26-'"0" цикл 24.06'!R25</f>
        <v>#DIV/0!</v>
      </c>
      <c r="V26" t="e">
        <f t="shared" si="11"/>
        <v>#DIV/0!</v>
      </c>
      <c r="W26" t="e">
        <f t="shared" si="12"/>
        <v>#DIV/0!</v>
      </c>
      <c r="X26" t="e">
        <f t="shared" si="13"/>
        <v>#DIV/0!</v>
      </c>
    </row>
    <row r="27" spans="1:24" x14ac:dyDescent="0.45">
      <c r="A27">
        <v>11.5</v>
      </c>
      <c r="F27">
        <f t="shared" si="0"/>
        <v>0</v>
      </c>
      <c r="G27">
        <f t="shared" si="1"/>
        <v>0</v>
      </c>
      <c r="H27">
        <f t="shared" si="14"/>
        <v>0</v>
      </c>
      <c r="I27">
        <f t="shared" si="14"/>
        <v>0</v>
      </c>
      <c r="J27">
        <f t="shared" si="15"/>
        <v>0</v>
      </c>
      <c r="K27">
        <f t="shared" si="15"/>
        <v>0</v>
      </c>
      <c r="L27">
        <f t="shared" si="16"/>
        <v>0</v>
      </c>
      <c r="M27">
        <f t="shared" si="16"/>
        <v>0</v>
      </c>
      <c r="N27">
        <f t="shared" si="5"/>
        <v>0</v>
      </c>
      <c r="O27" t="e">
        <f t="shared" si="6"/>
        <v>#DIV/0!</v>
      </c>
      <c r="P27" t="e">
        <f t="shared" si="7"/>
        <v>#DIV/0!</v>
      </c>
      <c r="Q27" t="e">
        <f t="shared" si="8"/>
        <v>#DIV/0!</v>
      </c>
      <c r="R27" t="e">
        <f t="shared" si="9"/>
        <v>#DIV/0!</v>
      </c>
      <c r="S27">
        <f t="shared" si="10"/>
        <v>0</v>
      </c>
      <c r="T27" t="e">
        <f>Q27-'"0" цикл 24.06'!Q26</f>
        <v>#DIV/0!</v>
      </c>
      <c r="U27" t="e">
        <f>R27-'"0" цикл 24.06'!R26</f>
        <v>#DIV/0!</v>
      </c>
      <c r="V27" t="e">
        <f t="shared" si="11"/>
        <v>#DIV/0!</v>
      </c>
      <c r="W27" t="e">
        <f t="shared" si="12"/>
        <v>#DIV/0!</v>
      </c>
      <c r="X27" t="e">
        <f t="shared" si="13"/>
        <v>#DIV/0!</v>
      </c>
    </row>
    <row r="28" spans="1:24" x14ac:dyDescent="0.45">
      <c r="A28">
        <v>12</v>
      </c>
      <c r="F28">
        <f t="shared" si="0"/>
        <v>0</v>
      </c>
      <c r="G28">
        <f t="shared" si="1"/>
        <v>0</v>
      </c>
      <c r="H28">
        <f t="shared" si="14"/>
        <v>0</v>
      </c>
      <c r="I28">
        <f t="shared" si="14"/>
        <v>0</v>
      </c>
      <c r="J28">
        <f t="shared" si="15"/>
        <v>0</v>
      </c>
      <c r="K28">
        <f t="shared" si="15"/>
        <v>0</v>
      </c>
      <c r="L28">
        <f t="shared" si="16"/>
        <v>0</v>
      </c>
      <c r="M28">
        <f t="shared" si="16"/>
        <v>0</v>
      </c>
      <c r="N28">
        <f t="shared" si="5"/>
        <v>0</v>
      </c>
      <c r="O28" t="e">
        <f t="shared" si="6"/>
        <v>#DIV/0!</v>
      </c>
      <c r="P28" t="e">
        <f t="shared" si="7"/>
        <v>#DIV/0!</v>
      </c>
      <c r="Q28" t="e">
        <f t="shared" si="8"/>
        <v>#DIV/0!</v>
      </c>
      <c r="R28" t="e">
        <f t="shared" si="9"/>
        <v>#DIV/0!</v>
      </c>
      <c r="S28">
        <f t="shared" si="10"/>
        <v>0</v>
      </c>
      <c r="T28" t="e">
        <f>Q28-'"0" цикл 24.06'!Q27</f>
        <v>#DIV/0!</v>
      </c>
      <c r="U28" t="e">
        <f>R28-'"0" цикл 24.06'!R27</f>
        <v>#DIV/0!</v>
      </c>
      <c r="V28" t="e">
        <f t="shared" si="11"/>
        <v>#DIV/0!</v>
      </c>
      <c r="W28" t="e">
        <f t="shared" si="12"/>
        <v>#DIV/0!</v>
      </c>
      <c r="X28" t="e">
        <f t="shared" si="13"/>
        <v>#DIV/0!</v>
      </c>
    </row>
    <row r="29" spans="1:24" x14ac:dyDescent="0.45">
      <c r="A29">
        <v>12.5</v>
      </c>
      <c r="F29">
        <f t="shared" si="0"/>
        <v>0</v>
      </c>
      <c r="G29">
        <f t="shared" si="1"/>
        <v>0</v>
      </c>
      <c r="H29">
        <f t="shared" si="14"/>
        <v>0</v>
      </c>
      <c r="I29">
        <f t="shared" si="14"/>
        <v>0</v>
      </c>
      <c r="J29">
        <f t="shared" si="15"/>
        <v>0</v>
      </c>
      <c r="K29">
        <f t="shared" si="15"/>
        <v>0</v>
      </c>
      <c r="L29">
        <f t="shared" si="16"/>
        <v>0</v>
      </c>
      <c r="M29">
        <f t="shared" si="16"/>
        <v>0</v>
      </c>
      <c r="N29">
        <f t="shared" si="5"/>
        <v>0</v>
      </c>
      <c r="O29" t="e">
        <f t="shared" si="6"/>
        <v>#DIV/0!</v>
      </c>
      <c r="P29" t="e">
        <f t="shared" si="7"/>
        <v>#DIV/0!</v>
      </c>
      <c r="Q29" t="e">
        <f t="shared" si="8"/>
        <v>#DIV/0!</v>
      </c>
      <c r="R29" t="e">
        <f t="shared" si="9"/>
        <v>#DIV/0!</v>
      </c>
      <c r="S29">
        <f t="shared" si="10"/>
        <v>0</v>
      </c>
      <c r="T29" t="e">
        <f>Q29-'"0" цикл 24.06'!Q28</f>
        <v>#DIV/0!</v>
      </c>
      <c r="U29" t="e">
        <f>R29-'"0" цикл 24.06'!R28</f>
        <v>#DIV/0!</v>
      </c>
      <c r="V29" t="e">
        <f t="shared" si="11"/>
        <v>#DIV/0!</v>
      </c>
      <c r="W29" t="e">
        <f t="shared" si="12"/>
        <v>#DIV/0!</v>
      </c>
      <c r="X29" t="e">
        <f t="shared" si="13"/>
        <v>#DIV/0!</v>
      </c>
    </row>
    <row r="30" spans="1:24" x14ac:dyDescent="0.45">
      <c r="A30">
        <v>13</v>
      </c>
      <c r="F30">
        <f t="shared" si="0"/>
        <v>0</v>
      </c>
      <c r="G30">
        <f t="shared" si="1"/>
        <v>0</v>
      </c>
      <c r="H30">
        <f t="shared" si="14"/>
        <v>0</v>
      </c>
      <c r="I30">
        <f t="shared" si="14"/>
        <v>0</v>
      </c>
      <c r="J30">
        <f t="shared" si="15"/>
        <v>0</v>
      </c>
      <c r="K30">
        <f t="shared" si="15"/>
        <v>0</v>
      </c>
      <c r="L30">
        <f t="shared" si="16"/>
        <v>0</v>
      </c>
      <c r="M30">
        <f t="shared" si="16"/>
        <v>0</v>
      </c>
      <c r="N30">
        <f t="shared" si="5"/>
        <v>0</v>
      </c>
      <c r="O30" t="e">
        <f t="shared" si="6"/>
        <v>#DIV/0!</v>
      </c>
      <c r="P30" t="e">
        <f t="shared" si="7"/>
        <v>#DIV/0!</v>
      </c>
      <c r="Q30" t="e">
        <f t="shared" si="8"/>
        <v>#DIV/0!</v>
      </c>
      <c r="R30" t="e">
        <f t="shared" si="9"/>
        <v>#DIV/0!</v>
      </c>
      <c r="S30">
        <f t="shared" si="10"/>
        <v>0</v>
      </c>
      <c r="T30" t="e">
        <f>Q30-'"0" цикл 24.06'!Q29</f>
        <v>#DIV/0!</v>
      </c>
      <c r="U30" t="e">
        <f>R30-'"0" цикл 24.06'!R29</f>
        <v>#DIV/0!</v>
      </c>
      <c r="V30" t="e">
        <f t="shared" si="11"/>
        <v>#DIV/0!</v>
      </c>
      <c r="W30" t="e">
        <f t="shared" si="12"/>
        <v>#DIV/0!</v>
      </c>
      <c r="X30" t="e">
        <f t="shared" si="13"/>
        <v>#DIV/0!</v>
      </c>
    </row>
    <row r="31" spans="1:24" x14ac:dyDescent="0.45">
      <c r="A31">
        <v>13.5</v>
      </c>
      <c r="F31">
        <f t="shared" si="0"/>
        <v>0</v>
      </c>
      <c r="G31">
        <f t="shared" si="1"/>
        <v>0</v>
      </c>
      <c r="H31">
        <f t="shared" si="14"/>
        <v>0</v>
      </c>
      <c r="I31">
        <f t="shared" si="14"/>
        <v>0</v>
      </c>
      <c r="J31">
        <f t="shared" si="15"/>
        <v>0</v>
      </c>
      <c r="K31">
        <f t="shared" si="15"/>
        <v>0</v>
      </c>
      <c r="L31">
        <f t="shared" si="16"/>
        <v>0</v>
      </c>
      <c r="M31">
        <f t="shared" si="16"/>
        <v>0</v>
      </c>
      <c r="N31">
        <f t="shared" si="5"/>
        <v>0</v>
      </c>
      <c r="O31" t="e">
        <f t="shared" si="6"/>
        <v>#DIV/0!</v>
      </c>
      <c r="P31" t="e">
        <f t="shared" si="7"/>
        <v>#DIV/0!</v>
      </c>
      <c r="Q31" t="e">
        <f t="shared" si="8"/>
        <v>#DIV/0!</v>
      </c>
      <c r="R31" t="e">
        <f t="shared" si="9"/>
        <v>#DIV/0!</v>
      </c>
      <c r="S31">
        <f t="shared" si="10"/>
        <v>0</v>
      </c>
      <c r="T31" t="e">
        <f>Q31-'"0" цикл 24.06'!Q30</f>
        <v>#DIV/0!</v>
      </c>
      <c r="U31" t="e">
        <f>R31-'"0" цикл 24.06'!R30</f>
        <v>#DIV/0!</v>
      </c>
      <c r="V31" t="e">
        <f t="shared" si="11"/>
        <v>#DIV/0!</v>
      </c>
      <c r="W31" t="e">
        <f t="shared" si="12"/>
        <v>#DIV/0!</v>
      </c>
      <c r="X31" t="e">
        <f t="shared" si="13"/>
        <v>#DIV/0!</v>
      </c>
    </row>
    <row r="32" spans="1:24" x14ac:dyDescent="0.45">
      <c r="A32">
        <v>14</v>
      </c>
      <c r="F32">
        <f t="shared" si="0"/>
        <v>0</v>
      </c>
      <c r="G32">
        <f t="shared" si="1"/>
        <v>0</v>
      </c>
      <c r="H32">
        <f t="shared" si="14"/>
        <v>0</v>
      </c>
      <c r="I32">
        <f t="shared" si="14"/>
        <v>0</v>
      </c>
      <c r="J32">
        <f t="shared" si="15"/>
        <v>0</v>
      </c>
      <c r="K32">
        <f t="shared" si="15"/>
        <v>0</v>
      </c>
      <c r="L32">
        <f t="shared" si="16"/>
        <v>0</v>
      </c>
      <c r="M32">
        <f t="shared" si="16"/>
        <v>0</v>
      </c>
      <c r="N32">
        <f t="shared" si="5"/>
        <v>0</v>
      </c>
      <c r="O32" t="e">
        <f t="shared" si="6"/>
        <v>#DIV/0!</v>
      </c>
      <c r="P32" t="e">
        <f t="shared" si="7"/>
        <v>#DIV/0!</v>
      </c>
      <c r="Q32" t="e">
        <f t="shared" si="8"/>
        <v>#DIV/0!</v>
      </c>
      <c r="R32" t="e">
        <f t="shared" si="9"/>
        <v>#DIV/0!</v>
      </c>
      <c r="S32">
        <f t="shared" si="10"/>
        <v>0</v>
      </c>
      <c r="T32" t="e">
        <f>Q32-'"0" цикл 24.06'!Q31</f>
        <v>#DIV/0!</v>
      </c>
      <c r="U32" t="e">
        <f>R32-'"0" цикл 24.06'!R31</f>
        <v>#DIV/0!</v>
      </c>
      <c r="V32" t="e">
        <f t="shared" si="11"/>
        <v>#DIV/0!</v>
      </c>
      <c r="W32" t="e">
        <f t="shared" si="12"/>
        <v>#DIV/0!</v>
      </c>
      <c r="X32" t="e">
        <f t="shared" si="13"/>
        <v>#DIV/0!</v>
      </c>
    </row>
    <row r="33" spans="1:24" x14ac:dyDescent="0.45">
      <c r="A33">
        <v>14.5</v>
      </c>
      <c r="F33">
        <f t="shared" si="0"/>
        <v>0</v>
      </c>
      <c r="G33">
        <f t="shared" si="1"/>
        <v>0</v>
      </c>
      <c r="H33">
        <f t="shared" si="14"/>
        <v>0</v>
      </c>
      <c r="I33">
        <f t="shared" si="14"/>
        <v>0</v>
      </c>
      <c r="J33">
        <f t="shared" si="15"/>
        <v>0</v>
      </c>
      <c r="K33">
        <f t="shared" si="15"/>
        <v>0</v>
      </c>
      <c r="L33">
        <f t="shared" si="16"/>
        <v>0</v>
      </c>
      <c r="M33">
        <f t="shared" si="16"/>
        <v>0</v>
      </c>
      <c r="N33">
        <f t="shared" si="5"/>
        <v>0</v>
      </c>
      <c r="O33" t="e">
        <f t="shared" si="6"/>
        <v>#DIV/0!</v>
      </c>
      <c r="P33" t="e">
        <f t="shared" si="7"/>
        <v>#DIV/0!</v>
      </c>
      <c r="Q33" t="e">
        <f t="shared" si="8"/>
        <v>#DIV/0!</v>
      </c>
      <c r="R33" t="e">
        <f t="shared" si="9"/>
        <v>#DIV/0!</v>
      </c>
      <c r="S33">
        <f t="shared" si="10"/>
        <v>0</v>
      </c>
      <c r="T33" t="e">
        <f>Q33-'"0" цикл 24.06'!Q32</f>
        <v>#DIV/0!</v>
      </c>
      <c r="U33" t="e">
        <f>R33-'"0" цикл 24.06'!R32</f>
        <v>#DIV/0!</v>
      </c>
      <c r="V33" t="e">
        <f t="shared" si="11"/>
        <v>#DIV/0!</v>
      </c>
      <c r="W33" t="e">
        <f t="shared" si="12"/>
        <v>#DIV/0!</v>
      </c>
      <c r="X33" t="e">
        <f t="shared" si="13"/>
        <v>#DIV/0!</v>
      </c>
    </row>
    <row r="34" spans="1:24" x14ac:dyDescent="0.45">
      <c r="A34">
        <v>15</v>
      </c>
      <c r="F34">
        <f t="shared" si="0"/>
        <v>0</v>
      </c>
      <c r="G34">
        <f t="shared" si="1"/>
        <v>0</v>
      </c>
      <c r="H34">
        <f t="shared" si="14"/>
        <v>0</v>
      </c>
      <c r="I34">
        <f t="shared" si="14"/>
        <v>0</v>
      </c>
      <c r="J34">
        <f t="shared" si="15"/>
        <v>0</v>
      </c>
      <c r="K34">
        <f t="shared" si="15"/>
        <v>0</v>
      </c>
      <c r="L34">
        <f t="shared" si="16"/>
        <v>0</v>
      </c>
      <c r="M34">
        <f t="shared" si="16"/>
        <v>0</v>
      </c>
      <c r="N34">
        <f t="shared" si="5"/>
        <v>0</v>
      </c>
      <c r="O34" t="e">
        <f t="shared" si="6"/>
        <v>#DIV/0!</v>
      </c>
      <c r="P34" t="e">
        <f t="shared" si="7"/>
        <v>#DIV/0!</v>
      </c>
      <c r="Q34" t="e">
        <f t="shared" si="8"/>
        <v>#DIV/0!</v>
      </c>
      <c r="R34" t="e">
        <f t="shared" si="9"/>
        <v>#DIV/0!</v>
      </c>
      <c r="S34">
        <f t="shared" si="10"/>
        <v>0</v>
      </c>
      <c r="T34" t="e">
        <f>Q34-'"0" цикл 24.06'!Q33</f>
        <v>#DIV/0!</v>
      </c>
      <c r="U34" t="e">
        <f>R34-'"0" цикл 24.06'!R33</f>
        <v>#DIV/0!</v>
      </c>
      <c r="V34" t="e">
        <f t="shared" si="11"/>
        <v>#DIV/0!</v>
      </c>
      <c r="W34" t="e">
        <f t="shared" si="12"/>
        <v>#DIV/0!</v>
      </c>
      <c r="X34" t="e">
        <f t="shared" si="13"/>
        <v>#DIV/0!</v>
      </c>
    </row>
    <row r="35" spans="1:24" x14ac:dyDescent="0.45">
      <c r="A35">
        <v>15.5</v>
      </c>
      <c r="F35">
        <f t="shared" si="0"/>
        <v>0</v>
      </c>
      <c r="G35">
        <f t="shared" si="1"/>
        <v>0</v>
      </c>
      <c r="H35">
        <f t="shared" si="14"/>
        <v>0</v>
      </c>
      <c r="I35">
        <f t="shared" si="14"/>
        <v>0</v>
      </c>
      <c r="J35">
        <f t="shared" si="15"/>
        <v>0</v>
      </c>
      <c r="K35">
        <f t="shared" si="15"/>
        <v>0</v>
      </c>
      <c r="L35">
        <f t="shared" si="16"/>
        <v>0</v>
      </c>
      <c r="M35">
        <f t="shared" si="16"/>
        <v>0</v>
      </c>
      <c r="N35">
        <f t="shared" si="5"/>
        <v>0</v>
      </c>
      <c r="O35" t="e">
        <f t="shared" si="6"/>
        <v>#DIV/0!</v>
      </c>
      <c r="P35" t="e">
        <f t="shared" si="7"/>
        <v>#DIV/0!</v>
      </c>
      <c r="Q35" t="e">
        <f t="shared" si="8"/>
        <v>#DIV/0!</v>
      </c>
      <c r="R35" t="e">
        <f t="shared" si="9"/>
        <v>#DIV/0!</v>
      </c>
      <c r="S35">
        <f t="shared" si="10"/>
        <v>0</v>
      </c>
      <c r="T35" t="e">
        <f>Q35-'"0" цикл 24.06'!Q34</f>
        <v>#DIV/0!</v>
      </c>
      <c r="U35" t="e">
        <f>R35-'"0" цикл 24.06'!R34</f>
        <v>#DIV/0!</v>
      </c>
      <c r="V35" t="e">
        <f t="shared" si="11"/>
        <v>#DIV/0!</v>
      </c>
      <c r="W35" t="e">
        <f t="shared" si="12"/>
        <v>#DIV/0!</v>
      </c>
      <c r="X35" t="e">
        <f t="shared" si="13"/>
        <v>#DIV/0!</v>
      </c>
    </row>
    <row r="36" spans="1:24" x14ac:dyDescent="0.45">
      <c r="A36">
        <v>16</v>
      </c>
      <c r="F36">
        <f t="shared" si="0"/>
        <v>0</v>
      </c>
      <c r="G36">
        <f t="shared" si="1"/>
        <v>0</v>
      </c>
      <c r="H36">
        <f t="shared" si="14"/>
        <v>0</v>
      </c>
      <c r="I36">
        <f t="shared" si="14"/>
        <v>0</v>
      </c>
      <c r="J36">
        <f t="shared" si="15"/>
        <v>0</v>
      </c>
      <c r="K36">
        <f t="shared" si="15"/>
        <v>0</v>
      </c>
      <c r="L36">
        <f t="shared" si="16"/>
        <v>0</v>
      </c>
      <c r="M36">
        <f t="shared" si="16"/>
        <v>0</v>
      </c>
      <c r="N36">
        <f t="shared" si="5"/>
        <v>0</v>
      </c>
      <c r="O36" t="e">
        <f t="shared" si="6"/>
        <v>#DIV/0!</v>
      </c>
      <c r="P36" t="e">
        <f t="shared" si="7"/>
        <v>#DIV/0!</v>
      </c>
      <c r="Q36" t="e">
        <f t="shared" si="8"/>
        <v>#DIV/0!</v>
      </c>
      <c r="R36" t="e">
        <f t="shared" si="9"/>
        <v>#DIV/0!</v>
      </c>
      <c r="S36">
        <f t="shared" si="10"/>
        <v>0</v>
      </c>
      <c r="T36" t="e">
        <f>Q36-'"0" цикл 24.06'!Q35</f>
        <v>#DIV/0!</v>
      </c>
      <c r="U36" t="e">
        <f>R36-'"0" цикл 24.06'!R35</f>
        <v>#DIV/0!</v>
      </c>
      <c r="V36" t="e">
        <f t="shared" si="11"/>
        <v>#DIV/0!</v>
      </c>
      <c r="W36" t="e">
        <f t="shared" si="12"/>
        <v>#DIV/0!</v>
      </c>
      <c r="X36" t="e">
        <f t="shared" si="13"/>
        <v>#DIV/0!</v>
      </c>
    </row>
    <row r="37" spans="1:24" x14ac:dyDescent="0.45">
      <c r="A37">
        <v>16.5</v>
      </c>
      <c r="F37">
        <f t="shared" si="0"/>
        <v>0</v>
      </c>
      <c r="G37">
        <f t="shared" si="1"/>
        <v>0</v>
      </c>
      <c r="H37">
        <f t="shared" si="14"/>
        <v>0</v>
      </c>
      <c r="I37">
        <f t="shared" si="14"/>
        <v>0</v>
      </c>
      <c r="J37">
        <f t="shared" si="15"/>
        <v>0</v>
      </c>
      <c r="K37">
        <f t="shared" si="15"/>
        <v>0</v>
      </c>
      <c r="L37">
        <f t="shared" si="16"/>
        <v>0</v>
      </c>
      <c r="M37">
        <f t="shared" si="16"/>
        <v>0</v>
      </c>
      <c r="N37">
        <f t="shared" si="5"/>
        <v>0</v>
      </c>
      <c r="O37" t="e">
        <f t="shared" si="6"/>
        <v>#DIV/0!</v>
      </c>
      <c r="P37" t="e">
        <f t="shared" si="7"/>
        <v>#DIV/0!</v>
      </c>
      <c r="Q37" t="e">
        <f t="shared" si="8"/>
        <v>#DIV/0!</v>
      </c>
      <c r="R37" t="e">
        <f t="shared" si="9"/>
        <v>#DIV/0!</v>
      </c>
      <c r="S37">
        <f t="shared" si="10"/>
        <v>0</v>
      </c>
      <c r="T37" t="e">
        <f>Q37-'"0" цикл 24.06'!Q36</f>
        <v>#DIV/0!</v>
      </c>
      <c r="U37" t="e">
        <f>R37-'"0" цикл 24.06'!R36</f>
        <v>#DIV/0!</v>
      </c>
      <c r="V37" t="e">
        <f t="shared" si="11"/>
        <v>#DIV/0!</v>
      </c>
      <c r="W37" t="e">
        <f t="shared" si="12"/>
        <v>#DIV/0!</v>
      </c>
      <c r="X37" t="e">
        <f t="shared" si="13"/>
        <v>#DIV/0!</v>
      </c>
    </row>
    <row r="38" spans="1:24" x14ac:dyDescent="0.45">
      <c r="A38">
        <v>17</v>
      </c>
      <c r="F38">
        <f t="shared" si="0"/>
        <v>0</v>
      </c>
      <c r="G38">
        <f t="shared" si="1"/>
        <v>0</v>
      </c>
      <c r="H38">
        <f t="shared" si="14"/>
        <v>0</v>
      </c>
      <c r="I38">
        <f t="shared" si="14"/>
        <v>0</v>
      </c>
      <c r="J38">
        <f t="shared" si="15"/>
        <v>0</v>
      </c>
      <c r="K38">
        <f t="shared" si="15"/>
        <v>0</v>
      </c>
      <c r="L38">
        <f t="shared" si="16"/>
        <v>0</v>
      </c>
      <c r="M38">
        <f t="shared" si="16"/>
        <v>0</v>
      </c>
      <c r="N38">
        <f t="shared" si="5"/>
        <v>0</v>
      </c>
      <c r="O38" t="e">
        <f t="shared" si="6"/>
        <v>#DIV/0!</v>
      </c>
      <c r="P38" t="e">
        <f t="shared" si="7"/>
        <v>#DIV/0!</v>
      </c>
      <c r="Q38" t="e">
        <f t="shared" si="8"/>
        <v>#DIV/0!</v>
      </c>
      <c r="R38" t="e">
        <f t="shared" si="9"/>
        <v>#DIV/0!</v>
      </c>
      <c r="S38">
        <f t="shared" si="10"/>
        <v>0</v>
      </c>
      <c r="T38" t="e">
        <f>Q38-'"0" цикл 24.06'!Q37</f>
        <v>#DIV/0!</v>
      </c>
      <c r="U38" t="e">
        <f>R38-'"0" цикл 24.06'!R37</f>
        <v>#DIV/0!</v>
      </c>
      <c r="V38" t="e">
        <f t="shared" si="11"/>
        <v>#DIV/0!</v>
      </c>
      <c r="W38" t="e">
        <f t="shared" si="12"/>
        <v>#DIV/0!</v>
      </c>
      <c r="X38" t="e">
        <f t="shared" si="13"/>
        <v>#DIV/0!</v>
      </c>
    </row>
    <row r="39" spans="1:24" x14ac:dyDescent="0.45">
      <c r="A39">
        <v>17.5</v>
      </c>
      <c r="F39">
        <f t="shared" si="0"/>
        <v>0</v>
      </c>
      <c r="G39">
        <f t="shared" si="1"/>
        <v>0</v>
      </c>
      <c r="H39">
        <f t="shared" si="14"/>
        <v>0</v>
      </c>
      <c r="I39">
        <f t="shared" si="14"/>
        <v>0</v>
      </c>
      <c r="J39">
        <f t="shared" si="15"/>
        <v>0</v>
      </c>
      <c r="K39">
        <f t="shared" si="15"/>
        <v>0</v>
      </c>
      <c r="L39">
        <f t="shared" si="16"/>
        <v>0</v>
      </c>
      <c r="M39">
        <f t="shared" si="16"/>
        <v>0</v>
      </c>
      <c r="N39">
        <f t="shared" si="5"/>
        <v>0</v>
      </c>
      <c r="O39" t="e">
        <f t="shared" si="6"/>
        <v>#DIV/0!</v>
      </c>
      <c r="P39" t="e">
        <f t="shared" si="7"/>
        <v>#DIV/0!</v>
      </c>
      <c r="Q39" t="e">
        <f t="shared" si="8"/>
        <v>#DIV/0!</v>
      </c>
      <c r="R39" t="e">
        <f t="shared" si="9"/>
        <v>#DIV/0!</v>
      </c>
      <c r="S39">
        <f t="shared" si="10"/>
        <v>0</v>
      </c>
      <c r="T39" t="e">
        <f>Q39-'"0" цикл 24.06'!Q38</f>
        <v>#DIV/0!</v>
      </c>
      <c r="U39" t="e">
        <f>R39-'"0" цикл 24.06'!R38</f>
        <v>#DIV/0!</v>
      </c>
      <c r="V39" t="e">
        <f t="shared" si="11"/>
        <v>#DIV/0!</v>
      </c>
      <c r="W39" t="e">
        <f t="shared" si="12"/>
        <v>#DIV/0!</v>
      </c>
      <c r="X39" t="e">
        <f t="shared" si="13"/>
        <v>#DIV/0!</v>
      </c>
    </row>
    <row r="40" spans="1:24" x14ac:dyDescent="0.45">
      <c r="A40">
        <v>18</v>
      </c>
      <c r="F40">
        <f t="shared" si="0"/>
        <v>0</v>
      </c>
      <c r="G40">
        <f t="shared" si="1"/>
        <v>0</v>
      </c>
      <c r="H40">
        <f t="shared" si="14"/>
        <v>0</v>
      </c>
      <c r="I40">
        <f t="shared" si="14"/>
        <v>0</v>
      </c>
      <c r="J40">
        <f t="shared" si="15"/>
        <v>0</v>
      </c>
      <c r="K40">
        <f t="shared" si="15"/>
        <v>0</v>
      </c>
      <c r="L40">
        <f t="shared" si="16"/>
        <v>0</v>
      </c>
      <c r="M40">
        <f t="shared" si="16"/>
        <v>0</v>
      </c>
      <c r="N40">
        <f t="shared" si="5"/>
        <v>0</v>
      </c>
      <c r="O40" t="e">
        <f t="shared" si="6"/>
        <v>#DIV/0!</v>
      </c>
      <c r="P40" t="e">
        <f t="shared" si="7"/>
        <v>#DIV/0!</v>
      </c>
      <c r="Q40" t="e">
        <f t="shared" si="8"/>
        <v>#DIV/0!</v>
      </c>
      <c r="R40" t="e">
        <f t="shared" si="9"/>
        <v>#DIV/0!</v>
      </c>
      <c r="S40">
        <f t="shared" si="10"/>
        <v>0</v>
      </c>
      <c r="T40" t="e">
        <f>Q40-'"0" цикл 24.06'!Q39</f>
        <v>#DIV/0!</v>
      </c>
      <c r="U40" t="e">
        <f>R40-'"0" цикл 24.06'!R39</f>
        <v>#DIV/0!</v>
      </c>
      <c r="V40" t="e">
        <f t="shared" si="11"/>
        <v>#DIV/0!</v>
      </c>
      <c r="W40" t="e">
        <f t="shared" si="12"/>
        <v>#DIV/0!</v>
      </c>
      <c r="X40" t="e">
        <f t="shared" si="13"/>
        <v>#DIV/0!</v>
      </c>
    </row>
    <row r="41" spans="1:24" x14ac:dyDescent="0.45">
      <c r="A41">
        <v>18.5</v>
      </c>
      <c r="F41">
        <f t="shared" si="0"/>
        <v>0</v>
      </c>
      <c r="G41">
        <f t="shared" si="1"/>
        <v>0</v>
      </c>
      <c r="H41">
        <f t="shared" si="14"/>
        <v>0</v>
      </c>
      <c r="I41">
        <f t="shared" si="14"/>
        <v>0</v>
      </c>
      <c r="J41">
        <f t="shared" si="15"/>
        <v>0</v>
      </c>
      <c r="K41">
        <f t="shared" si="15"/>
        <v>0</v>
      </c>
      <c r="L41">
        <f t="shared" si="16"/>
        <v>0</v>
      </c>
      <c r="M41">
        <f t="shared" si="16"/>
        <v>0</v>
      </c>
      <c r="N41">
        <f t="shared" si="5"/>
        <v>0</v>
      </c>
      <c r="O41" t="e">
        <f t="shared" si="6"/>
        <v>#DIV/0!</v>
      </c>
      <c r="P41" t="e">
        <f t="shared" si="7"/>
        <v>#DIV/0!</v>
      </c>
      <c r="Q41" t="e">
        <f t="shared" si="8"/>
        <v>#DIV/0!</v>
      </c>
      <c r="R41" t="e">
        <f t="shared" si="9"/>
        <v>#DIV/0!</v>
      </c>
      <c r="S41">
        <f t="shared" si="10"/>
        <v>0</v>
      </c>
      <c r="T41" t="e">
        <f>Q41-'"0" цикл 24.06'!Q40</f>
        <v>#DIV/0!</v>
      </c>
      <c r="U41" t="e">
        <f>R41-'"0" цикл 24.06'!R40</f>
        <v>#DIV/0!</v>
      </c>
      <c r="V41" t="e">
        <f t="shared" si="11"/>
        <v>#DIV/0!</v>
      </c>
      <c r="W41" t="e">
        <f t="shared" si="12"/>
        <v>#DIV/0!</v>
      </c>
      <c r="X41" t="e">
        <f t="shared" si="13"/>
        <v>#DIV/0!</v>
      </c>
    </row>
    <row r="42" spans="1:24" x14ac:dyDescent="0.45">
      <c r="A42">
        <v>19</v>
      </c>
      <c r="F42">
        <f t="shared" si="0"/>
        <v>0</v>
      </c>
      <c r="G42">
        <f t="shared" si="1"/>
        <v>0</v>
      </c>
      <c r="H42">
        <f t="shared" si="14"/>
        <v>0</v>
      </c>
      <c r="I42">
        <f t="shared" si="14"/>
        <v>0</v>
      </c>
      <c r="J42">
        <f t="shared" si="15"/>
        <v>0</v>
      </c>
      <c r="K42">
        <f t="shared" si="15"/>
        <v>0</v>
      </c>
      <c r="L42">
        <f t="shared" si="16"/>
        <v>0</v>
      </c>
      <c r="M42">
        <f t="shared" si="16"/>
        <v>0</v>
      </c>
      <c r="N42">
        <f t="shared" si="5"/>
        <v>0</v>
      </c>
      <c r="O42" t="e">
        <f t="shared" si="6"/>
        <v>#DIV/0!</v>
      </c>
      <c r="P42" t="e">
        <f t="shared" si="7"/>
        <v>#DIV/0!</v>
      </c>
      <c r="Q42" t="e">
        <f t="shared" si="8"/>
        <v>#DIV/0!</v>
      </c>
      <c r="R42" t="e">
        <f t="shared" si="9"/>
        <v>#DIV/0!</v>
      </c>
      <c r="S42">
        <f t="shared" si="10"/>
        <v>0</v>
      </c>
      <c r="T42" t="e">
        <f>Q42-'"0" цикл 24.06'!Q41</f>
        <v>#DIV/0!</v>
      </c>
      <c r="U42" t="e">
        <f>R42-'"0" цикл 24.06'!R41</f>
        <v>#DIV/0!</v>
      </c>
      <c r="V42" t="e">
        <f t="shared" si="11"/>
        <v>#DIV/0!</v>
      </c>
      <c r="W42" t="e">
        <f t="shared" si="12"/>
        <v>#DIV/0!</v>
      </c>
      <c r="X42" t="e">
        <f t="shared" si="13"/>
        <v>#DIV/0!</v>
      </c>
    </row>
    <row r="43" spans="1:24" x14ac:dyDescent="0.45">
      <c r="A43">
        <v>19.5</v>
      </c>
      <c r="F43">
        <f t="shared" si="0"/>
        <v>0</v>
      </c>
      <c r="G43">
        <f t="shared" si="1"/>
        <v>0</v>
      </c>
      <c r="H43">
        <f t="shared" si="14"/>
        <v>0</v>
      </c>
      <c r="I43">
        <f t="shared" si="14"/>
        <v>0</v>
      </c>
      <c r="J43">
        <f t="shared" si="15"/>
        <v>0</v>
      </c>
      <c r="K43">
        <f t="shared" si="15"/>
        <v>0</v>
      </c>
      <c r="L43">
        <f t="shared" si="16"/>
        <v>0</v>
      </c>
      <c r="M43">
        <f t="shared" si="16"/>
        <v>0</v>
      </c>
      <c r="N43">
        <f t="shared" si="5"/>
        <v>0</v>
      </c>
      <c r="O43" t="e">
        <f t="shared" si="6"/>
        <v>#DIV/0!</v>
      </c>
      <c r="P43" t="e">
        <f t="shared" si="7"/>
        <v>#DIV/0!</v>
      </c>
      <c r="Q43" t="e">
        <f t="shared" si="8"/>
        <v>#DIV/0!</v>
      </c>
      <c r="R43" t="e">
        <f t="shared" si="9"/>
        <v>#DIV/0!</v>
      </c>
      <c r="S43">
        <f t="shared" si="10"/>
        <v>0</v>
      </c>
      <c r="T43" t="e">
        <f>Q43-'"0" цикл 24.06'!Q42</f>
        <v>#DIV/0!</v>
      </c>
      <c r="U43" t="e">
        <f>R43-'"0" цикл 24.06'!R42</f>
        <v>#DIV/0!</v>
      </c>
      <c r="V43" t="e">
        <f t="shared" si="11"/>
        <v>#DIV/0!</v>
      </c>
      <c r="W43" t="e">
        <f t="shared" si="12"/>
        <v>#DIV/0!</v>
      </c>
      <c r="X43" t="e">
        <f t="shared" si="13"/>
        <v>#DIV/0!</v>
      </c>
    </row>
    <row r="44" spans="1:24" x14ac:dyDescent="0.45">
      <c r="A44">
        <v>20</v>
      </c>
      <c r="F44">
        <f t="shared" si="0"/>
        <v>0</v>
      </c>
      <c r="G44">
        <f t="shared" si="1"/>
        <v>0</v>
      </c>
      <c r="H44">
        <f t="shared" si="14"/>
        <v>0</v>
      </c>
      <c r="I44">
        <f t="shared" si="14"/>
        <v>0</v>
      </c>
      <c r="J44">
        <f t="shared" si="15"/>
        <v>0</v>
      </c>
      <c r="K44">
        <f t="shared" si="15"/>
        <v>0</v>
      </c>
      <c r="L44">
        <f t="shared" si="16"/>
        <v>0</v>
      </c>
      <c r="M44">
        <f t="shared" si="16"/>
        <v>0</v>
      </c>
      <c r="N44">
        <f t="shared" si="5"/>
        <v>0</v>
      </c>
      <c r="O44" t="e">
        <f t="shared" si="6"/>
        <v>#DIV/0!</v>
      </c>
      <c r="P44" t="e">
        <f t="shared" si="7"/>
        <v>#DIV/0!</v>
      </c>
      <c r="Q44" t="e">
        <f t="shared" si="8"/>
        <v>#DIV/0!</v>
      </c>
      <c r="R44" t="e">
        <f t="shared" si="9"/>
        <v>#DIV/0!</v>
      </c>
      <c r="S44">
        <f t="shared" si="10"/>
        <v>0</v>
      </c>
      <c r="T44" t="e">
        <f>Q44-'"0" цикл 24.06'!Q43</f>
        <v>#DIV/0!</v>
      </c>
      <c r="U44" t="e">
        <f>R44-'"0" цикл 24.06'!R43</f>
        <v>#DIV/0!</v>
      </c>
      <c r="V44" t="e">
        <f t="shared" si="11"/>
        <v>#DIV/0!</v>
      </c>
      <c r="W44" t="e">
        <f t="shared" si="12"/>
        <v>#DIV/0!</v>
      </c>
      <c r="X44" t="e">
        <f t="shared" si="13"/>
        <v>#DIV/0!</v>
      </c>
    </row>
    <row r="45" spans="1:24" x14ac:dyDescent="0.45">
      <c r="A45">
        <v>20.5</v>
      </c>
      <c r="F45">
        <f t="shared" si="0"/>
        <v>0</v>
      </c>
      <c r="G45">
        <f t="shared" si="1"/>
        <v>0</v>
      </c>
      <c r="H45">
        <f t="shared" si="14"/>
        <v>0</v>
      </c>
      <c r="I45">
        <f t="shared" si="14"/>
        <v>0</v>
      </c>
      <c r="J45">
        <f t="shared" si="15"/>
        <v>0</v>
      </c>
      <c r="K45">
        <f t="shared" si="15"/>
        <v>0</v>
      </c>
      <c r="L45">
        <f t="shared" si="16"/>
        <v>0</v>
      </c>
      <c r="M45">
        <f t="shared" si="16"/>
        <v>0</v>
      </c>
      <c r="N45">
        <f t="shared" si="5"/>
        <v>0</v>
      </c>
      <c r="O45" t="e">
        <f t="shared" si="6"/>
        <v>#DIV/0!</v>
      </c>
      <c r="P45" t="e">
        <f t="shared" si="7"/>
        <v>#DIV/0!</v>
      </c>
      <c r="Q45" t="e">
        <f t="shared" si="8"/>
        <v>#DIV/0!</v>
      </c>
      <c r="R45" t="e">
        <f t="shared" si="9"/>
        <v>#DIV/0!</v>
      </c>
      <c r="S45">
        <f t="shared" si="10"/>
        <v>0</v>
      </c>
      <c r="T45" t="e">
        <f>Q45-'"0" цикл 24.06'!Q44</f>
        <v>#DIV/0!</v>
      </c>
      <c r="U45" t="e">
        <f>R45-'"0" цикл 24.06'!R44</f>
        <v>#DIV/0!</v>
      </c>
      <c r="V45" t="e">
        <f t="shared" si="11"/>
        <v>#DIV/0!</v>
      </c>
      <c r="W45" t="e">
        <f t="shared" si="12"/>
        <v>#DIV/0!</v>
      </c>
      <c r="X45" t="e">
        <f t="shared" si="13"/>
        <v>#DIV/0!</v>
      </c>
    </row>
    <row r="46" spans="1:24" x14ac:dyDescent="0.45">
      <c r="A46">
        <v>21</v>
      </c>
      <c r="F46">
        <f t="shared" si="0"/>
        <v>0</v>
      </c>
      <c r="G46">
        <f t="shared" si="1"/>
        <v>0</v>
      </c>
      <c r="H46">
        <f t="shared" si="14"/>
        <v>0</v>
      </c>
      <c r="I46">
        <f t="shared" si="14"/>
        <v>0</v>
      </c>
      <c r="J46">
        <f t="shared" si="15"/>
        <v>0</v>
      </c>
      <c r="K46">
        <f t="shared" si="15"/>
        <v>0</v>
      </c>
      <c r="L46">
        <f t="shared" si="16"/>
        <v>0</v>
      </c>
      <c r="M46">
        <f t="shared" si="16"/>
        <v>0</v>
      </c>
      <c r="N46">
        <f t="shared" si="5"/>
        <v>0</v>
      </c>
      <c r="O46" t="e">
        <f t="shared" si="6"/>
        <v>#DIV/0!</v>
      </c>
      <c r="P46" t="e">
        <f t="shared" si="7"/>
        <v>#DIV/0!</v>
      </c>
      <c r="Q46" t="e">
        <f t="shared" si="8"/>
        <v>#DIV/0!</v>
      </c>
      <c r="R46" t="e">
        <f t="shared" si="9"/>
        <v>#DIV/0!</v>
      </c>
      <c r="S46">
        <f t="shared" si="10"/>
        <v>0</v>
      </c>
      <c r="T46" t="e">
        <f>Q46-'"0" цикл 24.06'!Q45</f>
        <v>#DIV/0!</v>
      </c>
      <c r="U46" t="e">
        <f>R46-'"0" цикл 24.06'!R45</f>
        <v>#DIV/0!</v>
      </c>
      <c r="V46" t="e">
        <f t="shared" si="11"/>
        <v>#DIV/0!</v>
      </c>
      <c r="W46" t="e">
        <f t="shared" si="12"/>
        <v>#DIV/0!</v>
      </c>
      <c r="X46" t="e">
        <f t="shared" si="13"/>
        <v>#DIV/0!</v>
      </c>
    </row>
    <row r="47" spans="1:24" x14ac:dyDescent="0.45">
      <c r="A47">
        <v>21.5</v>
      </c>
      <c r="F47">
        <f t="shared" si="0"/>
        <v>0</v>
      </c>
      <c r="G47">
        <f t="shared" si="1"/>
        <v>0</v>
      </c>
      <c r="H47">
        <f t="shared" si="14"/>
        <v>0</v>
      </c>
      <c r="I47">
        <f t="shared" si="14"/>
        <v>0</v>
      </c>
      <c r="J47">
        <f t="shared" si="15"/>
        <v>0</v>
      </c>
      <c r="K47">
        <f t="shared" si="15"/>
        <v>0</v>
      </c>
      <c r="L47">
        <f t="shared" si="16"/>
        <v>0</v>
      </c>
      <c r="M47">
        <f t="shared" si="16"/>
        <v>0</v>
      </c>
      <c r="N47">
        <f t="shared" si="5"/>
        <v>0</v>
      </c>
      <c r="O47" t="e">
        <f t="shared" si="6"/>
        <v>#DIV/0!</v>
      </c>
      <c r="P47" t="e">
        <f t="shared" si="7"/>
        <v>#DIV/0!</v>
      </c>
      <c r="Q47" t="e">
        <f t="shared" si="8"/>
        <v>#DIV/0!</v>
      </c>
      <c r="R47" t="e">
        <f t="shared" si="9"/>
        <v>#DIV/0!</v>
      </c>
      <c r="S47">
        <f t="shared" si="10"/>
        <v>0</v>
      </c>
      <c r="T47" t="e">
        <f>Q47-'"0" цикл 24.06'!Q46</f>
        <v>#DIV/0!</v>
      </c>
      <c r="U47" t="e">
        <f>R47-'"0" цикл 24.06'!R46</f>
        <v>#DIV/0!</v>
      </c>
      <c r="V47" t="e">
        <f t="shared" si="11"/>
        <v>#DIV/0!</v>
      </c>
      <c r="W47" t="e">
        <f t="shared" si="12"/>
        <v>#DIV/0!</v>
      </c>
      <c r="X47" t="e">
        <f t="shared" si="13"/>
        <v>#DIV/0!</v>
      </c>
    </row>
    <row r="48" spans="1:24" x14ac:dyDescent="0.45">
      <c r="A48">
        <v>22</v>
      </c>
      <c r="F48">
        <f t="shared" si="0"/>
        <v>0</v>
      </c>
      <c r="G48">
        <f t="shared" si="1"/>
        <v>0</v>
      </c>
      <c r="H48">
        <f t="shared" si="14"/>
        <v>0</v>
      </c>
      <c r="I48">
        <f t="shared" si="14"/>
        <v>0</v>
      </c>
      <c r="J48">
        <f t="shared" si="15"/>
        <v>0</v>
      </c>
      <c r="K48">
        <f t="shared" si="15"/>
        <v>0</v>
      </c>
      <c r="L48">
        <f t="shared" si="16"/>
        <v>0</v>
      </c>
      <c r="M48">
        <f t="shared" si="16"/>
        <v>0</v>
      </c>
      <c r="N48">
        <f t="shared" si="5"/>
        <v>0</v>
      </c>
      <c r="O48" t="e">
        <f t="shared" si="6"/>
        <v>#DIV/0!</v>
      </c>
      <c r="P48" t="e">
        <f t="shared" si="7"/>
        <v>#DIV/0!</v>
      </c>
      <c r="Q48" t="e">
        <f t="shared" si="8"/>
        <v>#DIV/0!</v>
      </c>
      <c r="R48" t="e">
        <f t="shared" si="9"/>
        <v>#DIV/0!</v>
      </c>
      <c r="S48">
        <f t="shared" si="10"/>
        <v>0</v>
      </c>
      <c r="T48" t="e">
        <f>Q48-'"0" цикл 24.06'!Q47</f>
        <v>#DIV/0!</v>
      </c>
      <c r="U48" t="e">
        <f>R48-'"0" цикл 24.06'!R47</f>
        <v>#DIV/0!</v>
      </c>
      <c r="V48" t="e">
        <f t="shared" si="11"/>
        <v>#DIV/0!</v>
      </c>
      <c r="W48" t="e">
        <f t="shared" si="12"/>
        <v>#DIV/0!</v>
      </c>
      <c r="X48" t="e">
        <f t="shared" si="13"/>
        <v>#DIV/0!</v>
      </c>
    </row>
    <row r="49" spans="1:24" x14ac:dyDescent="0.45">
      <c r="A49">
        <v>22.5</v>
      </c>
      <c r="F49">
        <f t="shared" si="0"/>
        <v>0</v>
      </c>
      <c r="G49">
        <f t="shared" si="1"/>
        <v>0</v>
      </c>
      <c r="H49">
        <f t="shared" si="14"/>
        <v>0</v>
      </c>
      <c r="I49">
        <f t="shared" si="14"/>
        <v>0</v>
      </c>
      <c r="J49">
        <f t="shared" si="15"/>
        <v>0</v>
      </c>
      <c r="K49">
        <f t="shared" si="15"/>
        <v>0</v>
      </c>
      <c r="L49">
        <f t="shared" si="16"/>
        <v>0</v>
      </c>
      <c r="M49">
        <f t="shared" si="16"/>
        <v>0</v>
      </c>
      <c r="N49">
        <f t="shared" si="5"/>
        <v>0</v>
      </c>
      <c r="O49" t="e">
        <f t="shared" si="6"/>
        <v>#DIV/0!</v>
      </c>
      <c r="P49" t="e">
        <f t="shared" si="7"/>
        <v>#DIV/0!</v>
      </c>
      <c r="Q49" t="e">
        <f t="shared" si="8"/>
        <v>#DIV/0!</v>
      </c>
      <c r="R49" t="e">
        <f t="shared" si="9"/>
        <v>#DIV/0!</v>
      </c>
      <c r="S49">
        <f t="shared" si="10"/>
        <v>0</v>
      </c>
      <c r="T49" t="e">
        <f>Q49-'"0" цикл 24.06'!Q48</f>
        <v>#DIV/0!</v>
      </c>
      <c r="U49" t="e">
        <f>R49-'"0" цикл 24.06'!R48</f>
        <v>#DIV/0!</v>
      </c>
      <c r="V49" t="e">
        <f t="shared" si="11"/>
        <v>#DIV/0!</v>
      </c>
      <c r="W49" t="e">
        <f t="shared" si="12"/>
        <v>#DIV/0!</v>
      </c>
      <c r="X49" t="e">
        <f t="shared" si="13"/>
        <v>#DIV/0!</v>
      </c>
    </row>
    <row r="50" spans="1:24" x14ac:dyDescent="0.45">
      <c r="A50">
        <v>23</v>
      </c>
      <c r="F50">
        <f t="shared" si="0"/>
        <v>0</v>
      </c>
      <c r="G50">
        <f t="shared" si="1"/>
        <v>0</v>
      </c>
      <c r="H50">
        <f t="shared" si="14"/>
        <v>0</v>
      </c>
      <c r="I50">
        <f t="shared" si="14"/>
        <v>0</v>
      </c>
      <c r="J50">
        <f t="shared" si="15"/>
        <v>0</v>
      </c>
      <c r="K50">
        <f t="shared" si="15"/>
        <v>0</v>
      </c>
      <c r="L50">
        <f t="shared" si="16"/>
        <v>0</v>
      </c>
      <c r="M50">
        <f t="shared" si="16"/>
        <v>0</v>
      </c>
      <c r="N50">
        <f t="shared" si="5"/>
        <v>0</v>
      </c>
      <c r="O50" t="e">
        <f t="shared" si="6"/>
        <v>#DIV/0!</v>
      </c>
      <c r="P50" t="e">
        <f t="shared" si="7"/>
        <v>#DIV/0!</v>
      </c>
      <c r="Q50" t="e">
        <f t="shared" si="8"/>
        <v>#DIV/0!</v>
      </c>
      <c r="R50" t="e">
        <f t="shared" si="9"/>
        <v>#DIV/0!</v>
      </c>
      <c r="S50">
        <f t="shared" si="10"/>
        <v>0</v>
      </c>
      <c r="T50" t="e">
        <f>Q50-'"0" цикл 24.06'!Q49</f>
        <v>#DIV/0!</v>
      </c>
      <c r="U50" t="e">
        <f>R50-'"0" цикл 24.06'!R49</f>
        <v>#DIV/0!</v>
      </c>
      <c r="V50" t="e">
        <f t="shared" si="11"/>
        <v>#DIV/0!</v>
      </c>
      <c r="W50" t="e">
        <f t="shared" si="12"/>
        <v>#DIV/0!</v>
      </c>
      <c r="X50" t="e">
        <f t="shared" si="13"/>
        <v>#DIV/0!</v>
      </c>
    </row>
    <row r="51" spans="1:24" x14ac:dyDescent="0.45">
      <c r="A51">
        <v>23.5</v>
      </c>
      <c r="F51">
        <f t="shared" si="0"/>
        <v>0</v>
      </c>
      <c r="G51">
        <f t="shared" si="1"/>
        <v>0</v>
      </c>
      <c r="H51">
        <f t="shared" si="14"/>
        <v>0</v>
      </c>
      <c r="I51">
        <f t="shared" si="14"/>
        <v>0</v>
      </c>
      <c r="J51">
        <f t="shared" si="15"/>
        <v>0</v>
      </c>
      <c r="K51">
        <f t="shared" si="15"/>
        <v>0</v>
      </c>
      <c r="L51">
        <f t="shared" si="16"/>
        <v>0</v>
      </c>
      <c r="M51">
        <f t="shared" si="16"/>
        <v>0</v>
      </c>
      <c r="N51">
        <f t="shared" si="5"/>
        <v>0</v>
      </c>
      <c r="O51" t="e">
        <f t="shared" si="6"/>
        <v>#DIV/0!</v>
      </c>
      <c r="P51" t="e">
        <f t="shared" si="7"/>
        <v>#DIV/0!</v>
      </c>
      <c r="Q51" t="e">
        <f t="shared" si="8"/>
        <v>#DIV/0!</v>
      </c>
      <c r="R51" t="e">
        <f t="shared" si="9"/>
        <v>#DIV/0!</v>
      </c>
      <c r="S51">
        <f t="shared" si="10"/>
        <v>0</v>
      </c>
      <c r="T51" t="e">
        <f>Q51-'"0" цикл 24.06'!Q50</f>
        <v>#DIV/0!</v>
      </c>
      <c r="U51" t="e">
        <f>R51-'"0" цикл 24.06'!R50</f>
        <v>#DIV/0!</v>
      </c>
      <c r="V51" t="e">
        <f t="shared" si="11"/>
        <v>#DIV/0!</v>
      </c>
      <c r="W51" t="e">
        <f t="shared" si="12"/>
        <v>#DIV/0!</v>
      </c>
      <c r="X51" t="e">
        <f t="shared" si="13"/>
        <v>#DIV/0!</v>
      </c>
    </row>
    <row r="52" spans="1:24" x14ac:dyDescent="0.45">
      <c r="A52">
        <v>24</v>
      </c>
      <c r="F52">
        <f t="shared" si="0"/>
        <v>0</v>
      </c>
      <c r="G52">
        <f t="shared" si="1"/>
        <v>0</v>
      </c>
      <c r="H52">
        <f t="shared" si="14"/>
        <v>0</v>
      </c>
      <c r="I52">
        <f t="shared" si="14"/>
        <v>0</v>
      </c>
      <c r="J52">
        <f t="shared" si="15"/>
        <v>0</v>
      </c>
      <c r="K52">
        <f t="shared" si="15"/>
        <v>0</v>
      </c>
      <c r="L52">
        <f t="shared" si="16"/>
        <v>0</v>
      </c>
      <c r="M52">
        <f t="shared" si="16"/>
        <v>0</v>
      </c>
      <c r="N52">
        <f t="shared" si="5"/>
        <v>0</v>
      </c>
      <c r="O52" t="e">
        <f t="shared" si="6"/>
        <v>#DIV/0!</v>
      </c>
      <c r="P52" t="e">
        <f t="shared" si="7"/>
        <v>#DIV/0!</v>
      </c>
      <c r="Q52" t="e">
        <f t="shared" si="8"/>
        <v>#DIV/0!</v>
      </c>
      <c r="R52" t="e">
        <f t="shared" si="9"/>
        <v>#DIV/0!</v>
      </c>
      <c r="S52">
        <f t="shared" si="10"/>
        <v>0</v>
      </c>
      <c r="T52" t="e">
        <f>Q52-'"0" цикл 24.06'!Q51</f>
        <v>#DIV/0!</v>
      </c>
      <c r="U52" t="e">
        <f>R52-'"0" цикл 24.06'!R51</f>
        <v>#DIV/0!</v>
      </c>
      <c r="V52" t="e">
        <f t="shared" si="11"/>
        <v>#DIV/0!</v>
      </c>
      <c r="W52" t="e">
        <f t="shared" si="12"/>
        <v>#DIV/0!</v>
      </c>
      <c r="X52" t="e">
        <f t="shared" si="13"/>
        <v>#DIV/0!</v>
      </c>
    </row>
    <row r="53" spans="1:24" x14ac:dyDescent="0.45">
      <c r="A53">
        <v>24.5</v>
      </c>
      <c r="F53">
        <f t="shared" si="0"/>
        <v>0</v>
      </c>
      <c r="G53">
        <f t="shared" si="1"/>
        <v>0</v>
      </c>
      <c r="H53">
        <f t="shared" ref="H53:I54" si="17">ASIN(F53/20000)</f>
        <v>0</v>
      </c>
      <c r="I53">
        <f t="shared" si="17"/>
        <v>0</v>
      </c>
      <c r="J53">
        <f t="shared" ref="J53:K54" si="18">0.5*SIN(H53)</f>
        <v>0</v>
      </c>
      <c r="K53">
        <f t="shared" si="18"/>
        <v>0</v>
      </c>
      <c r="L53">
        <f t="shared" ref="L53:M54" si="19">J54+L54</f>
        <v>0</v>
      </c>
      <c r="M53">
        <f t="shared" si="19"/>
        <v>0</v>
      </c>
      <c r="N53">
        <f t="shared" si="5"/>
        <v>0</v>
      </c>
      <c r="O53" t="e">
        <f t="shared" si="6"/>
        <v>#DIV/0!</v>
      </c>
      <c r="P53" t="e">
        <f t="shared" si="7"/>
        <v>#DIV/0!</v>
      </c>
      <c r="Q53" t="e">
        <f t="shared" si="8"/>
        <v>#DIV/0!</v>
      </c>
      <c r="R53" t="e">
        <f t="shared" si="9"/>
        <v>#DIV/0!</v>
      </c>
      <c r="S53">
        <f t="shared" si="10"/>
        <v>0</v>
      </c>
      <c r="T53" t="e">
        <f>Q53-'"0" цикл 24.06'!Q52</f>
        <v>#DIV/0!</v>
      </c>
      <c r="U53" t="e">
        <f>R53-'"0" цикл 24.06'!R52</f>
        <v>#DIV/0!</v>
      </c>
      <c r="V53" t="e">
        <f t="shared" si="11"/>
        <v>#DIV/0!</v>
      </c>
      <c r="W53" t="e">
        <f t="shared" si="12"/>
        <v>#DIV/0!</v>
      </c>
      <c r="X53" t="e">
        <f t="shared" si="13"/>
        <v>#DIV/0!</v>
      </c>
    </row>
    <row r="54" spans="1:24" x14ac:dyDescent="0.45">
      <c r="A54">
        <v>25</v>
      </c>
      <c r="F54">
        <f t="shared" si="0"/>
        <v>0</v>
      </c>
      <c r="G54">
        <f t="shared" si="1"/>
        <v>0</v>
      </c>
      <c r="H54">
        <f t="shared" si="17"/>
        <v>0</v>
      </c>
      <c r="I54">
        <f t="shared" si="17"/>
        <v>0</v>
      </c>
      <c r="J54">
        <f t="shared" si="18"/>
        <v>0</v>
      </c>
      <c r="K54">
        <f t="shared" si="18"/>
        <v>0</v>
      </c>
      <c r="L54">
        <f t="shared" si="19"/>
        <v>0</v>
      </c>
      <c r="M54">
        <f t="shared" si="19"/>
        <v>0</v>
      </c>
      <c r="N54">
        <f t="shared" si="5"/>
        <v>0</v>
      </c>
      <c r="O54">
        <v>0</v>
      </c>
      <c r="P54">
        <v>0</v>
      </c>
      <c r="Q54">
        <f t="shared" si="8"/>
        <v>0</v>
      </c>
      <c r="R54">
        <f t="shared" si="9"/>
        <v>0</v>
      </c>
      <c r="S54">
        <f t="shared" si="10"/>
        <v>0</v>
      </c>
      <c r="T54">
        <f>Q54-'"0" цикл 24.06'!Q53</f>
        <v>-609.23571912388809</v>
      </c>
      <c r="U54">
        <f>R54-'"0" цикл 24.06'!R53</f>
        <v>-915.46942750717574</v>
      </c>
      <c r="V54">
        <f t="shared" si="11"/>
        <v>1099.660144843268</v>
      </c>
      <c r="W54">
        <f t="shared" si="12"/>
        <v>236.35663315793096</v>
      </c>
      <c r="X54">
        <f t="shared" si="13"/>
        <v>236.35663315793096</v>
      </c>
    </row>
  </sheetData>
  <mergeCells count="1">
    <mergeCell ref="B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54"/>
  <sheetViews>
    <sheetView zoomScale="74" zoomScaleNormal="80" workbookViewId="0">
      <selection activeCell="F13" sqref="F13"/>
    </sheetView>
  </sheetViews>
  <sheetFormatPr defaultRowHeight="14.25" x14ac:dyDescent="0.45"/>
  <sheetData>
    <row r="1" spans="1:24" x14ac:dyDescent="0.45">
      <c r="B1" s="57" t="s">
        <v>0</v>
      </c>
      <c r="C1" s="57"/>
      <c r="D1" s="57"/>
      <c r="E1" s="57"/>
      <c r="H1" t="s">
        <v>95</v>
      </c>
      <c r="L1" s="1"/>
      <c r="M1" s="1"/>
      <c r="O1" t="s">
        <v>1</v>
      </c>
      <c r="P1" s="4">
        <v>180</v>
      </c>
    </row>
    <row r="2" spans="1:24" x14ac:dyDescent="0.45">
      <c r="A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t="s">
        <v>7</v>
      </c>
      <c r="G2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Q2" t="s">
        <v>17</v>
      </c>
      <c r="R2" t="s">
        <v>18</v>
      </c>
      <c r="S2" s="1" t="s">
        <v>15</v>
      </c>
      <c r="T2" s="1" t="s">
        <v>19</v>
      </c>
      <c r="U2" s="1" t="s">
        <v>20</v>
      </c>
      <c r="V2" s="1" t="s">
        <v>21</v>
      </c>
      <c r="W2" s="1"/>
      <c r="X2" s="1" t="s">
        <v>22</v>
      </c>
    </row>
    <row r="3" spans="1:24" x14ac:dyDescent="0.45">
      <c r="A3">
        <v>-0.5</v>
      </c>
      <c r="F3">
        <f>(B3-C3)/2</f>
        <v>0</v>
      </c>
      <c r="G3">
        <f>(D3-E3)/2</f>
        <v>0</v>
      </c>
      <c r="H3">
        <f>ASIN(F3/20000)</f>
        <v>0</v>
      </c>
      <c r="I3">
        <f>ASIN(G3/20000)</f>
        <v>0</v>
      </c>
      <c r="J3">
        <f>0.5*SIN(H3)</f>
        <v>0</v>
      </c>
      <c r="K3">
        <f>0.5*SIN(I3)</f>
        <v>0</v>
      </c>
      <c r="L3">
        <f>J4+L4</f>
        <v>0</v>
      </c>
      <c r="M3">
        <f>K4+M4</f>
        <v>0</v>
      </c>
      <c r="N3">
        <f>SQRT(L3^2+M3^2)</f>
        <v>0</v>
      </c>
      <c r="O3" t="e">
        <f>IF(L3&gt;=0,180-DEGREES(ASIN(-M3/N3)),IF(M3&lt;0,DEGREES(ASIN(-M3/N3)),360-DEGREES(ASIN(M3/N3))))</f>
        <v>#DIV/0!</v>
      </c>
      <c r="P3" t="e">
        <f>IF((O3+$P$1)&lt;=360,O3+$P$1,O3+$P$1-360)</f>
        <v>#DIV/0!</v>
      </c>
      <c r="Q3" t="e">
        <f>1000*N3*COS(RADIANS(P3))</f>
        <v>#DIV/0!</v>
      </c>
      <c r="R3" t="e">
        <f>1000*N3*SIN(RADIANS(P3))</f>
        <v>#DIV/0!</v>
      </c>
      <c r="S3">
        <f>N3*1000</f>
        <v>0</v>
      </c>
      <c r="T3" t="e">
        <f>Q3-'"0" цикл 24.06'!#REF!</f>
        <v>#DIV/0!</v>
      </c>
      <c r="U3" t="e">
        <f>R3-'"0" цикл 24.06'!#REF!</f>
        <v>#DIV/0!</v>
      </c>
      <c r="V3" t="e">
        <f>SQRT(T3^2+U3^2)</f>
        <v>#DIV/0!</v>
      </c>
      <c r="W3" t="e">
        <f>IF(V3=0,0,IF(T3&gt;=0,DEGREES(ASIN(U3/V3)),(180-DEGREES(ASIN(U3/V3)))))</f>
        <v>#DIV/0!</v>
      </c>
      <c r="X3" t="e">
        <f>IF(W3&lt;0,360+W3,W3)</f>
        <v>#DIV/0!</v>
      </c>
    </row>
    <row r="4" spans="1:24" x14ac:dyDescent="0.45">
      <c r="A4">
        <v>0</v>
      </c>
      <c r="F4">
        <f t="shared" ref="F4:F54" si="0">(B4-C4)/2</f>
        <v>0</v>
      </c>
      <c r="G4">
        <f t="shared" ref="G4:G54" si="1">(D4-E4)/2</f>
        <v>0</v>
      </c>
      <c r="H4">
        <f t="shared" ref="H4:I19" si="2">ASIN(F4/20000)</f>
        <v>0</v>
      </c>
      <c r="I4">
        <f t="shared" si="2"/>
        <v>0</v>
      </c>
      <c r="J4">
        <f t="shared" ref="J4:K19" si="3">0.5*SIN(H4)</f>
        <v>0</v>
      </c>
      <c r="K4">
        <f t="shared" si="3"/>
        <v>0</v>
      </c>
      <c r="L4">
        <f t="shared" ref="L4:M19" si="4">J5+L5</f>
        <v>0</v>
      </c>
      <c r="M4">
        <f t="shared" si="4"/>
        <v>0</v>
      </c>
      <c r="N4">
        <f t="shared" ref="N4:N54" si="5">SQRT(L4^2+M4^2)</f>
        <v>0</v>
      </c>
      <c r="O4" t="e">
        <f t="shared" ref="O4:O53" si="6">IF(L4&gt;=0,180-DEGREES(ASIN(-M4/N4)),IF(M4&lt;0,DEGREES(ASIN(-M4/N4)),360-DEGREES(ASIN(M4/N4))))</f>
        <v>#DIV/0!</v>
      </c>
      <c r="P4" t="e">
        <f t="shared" ref="P4:P53" si="7">IF((O4+$P$1)&lt;=360,O4+$P$1,O4+$P$1-360)</f>
        <v>#DIV/0!</v>
      </c>
      <c r="Q4" t="e">
        <f t="shared" ref="Q4:Q54" si="8">1000*N4*COS(RADIANS(P4))</f>
        <v>#DIV/0!</v>
      </c>
      <c r="R4" t="e">
        <f t="shared" ref="R4:R54" si="9">1000*N4*SIN(RADIANS(P4))</f>
        <v>#DIV/0!</v>
      </c>
      <c r="S4">
        <f t="shared" ref="S4:S54" si="10">N4*1000</f>
        <v>0</v>
      </c>
      <c r="T4" t="e">
        <f>Q4-'"0" цикл 24.06'!Q3</f>
        <v>#DIV/0!</v>
      </c>
      <c r="U4" t="e">
        <f>R4-'"0" цикл 24.06'!R3</f>
        <v>#DIV/0!</v>
      </c>
      <c r="V4" t="e">
        <f t="shared" ref="V4:V54" si="11">SQRT(T4^2+U4^2)</f>
        <v>#DIV/0!</v>
      </c>
      <c r="W4" t="e">
        <f t="shared" ref="W4:W54" si="12">IF(V4=0,0,IF(T4&gt;=0,DEGREES(ASIN(U4/V4)),(180-DEGREES(ASIN(U4/V4)))))</f>
        <v>#DIV/0!</v>
      </c>
      <c r="X4" t="e">
        <f t="shared" ref="X4:X54" si="13">IF(W4&lt;0,360+W4,W4)</f>
        <v>#DIV/0!</v>
      </c>
    </row>
    <row r="5" spans="1:24" x14ac:dyDescent="0.45">
      <c r="A5">
        <v>0.5</v>
      </c>
      <c r="F5">
        <f t="shared" si="0"/>
        <v>0</v>
      </c>
      <c r="G5">
        <f t="shared" si="1"/>
        <v>0</v>
      </c>
      <c r="H5">
        <f t="shared" si="2"/>
        <v>0</v>
      </c>
      <c r="I5">
        <f t="shared" si="2"/>
        <v>0</v>
      </c>
      <c r="J5">
        <f t="shared" si="3"/>
        <v>0</v>
      </c>
      <c r="K5">
        <f t="shared" si="3"/>
        <v>0</v>
      </c>
      <c r="L5">
        <f t="shared" si="4"/>
        <v>0</v>
      </c>
      <c r="M5">
        <f t="shared" si="4"/>
        <v>0</v>
      </c>
      <c r="N5">
        <f t="shared" si="5"/>
        <v>0</v>
      </c>
      <c r="O5" t="e">
        <f t="shared" si="6"/>
        <v>#DIV/0!</v>
      </c>
      <c r="P5" t="e">
        <f t="shared" si="7"/>
        <v>#DIV/0!</v>
      </c>
      <c r="Q5" t="e">
        <f t="shared" si="8"/>
        <v>#DIV/0!</v>
      </c>
      <c r="R5" t="e">
        <f t="shared" si="9"/>
        <v>#DIV/0!</v>
      </c>
      <c r="S5">
        <f t="shared" si="10"/>
        <v>0</v>
      </c>
      <c r="T5" t="e">
        <f>Q5-'"0" цикл 24.06'!Q4</f>
        <v>#DIV/0!</v>
      </c>
      <c r="U5" t="e">
        <f>R5-'"0" цикл 24.06'!R4</f>
        <v>#DIV/0!</v>
      </c>
      <c r="V5" t="e">
        <f t="shared" si="11"/>
        <v>#DIV/0!</v>
      </c>
      <c r="W5" t="e">
        <f t="shared" si="12"/>
        <v>#DIV/0!</v>
      </c>
      <c r="X5" t="e">
        <f t="shared" si="13"/>
        <v>#DIV/0!</v>
      </c>
    </row>
    <row r="6" spans="1:24" x14ac:dyDescent="0.45">
      <c r="A6">
        <v>1</v>
      </c>
      <c r="F6">
        <f t="shared" si="0"/>
        <v>0</v>
      </c>
      <c r="G6">
        <f t="shared" si="1"/>
        <v>0</v>
      </c>
      <c r="H6">
        <f t="shared" si="2"/>
        <v>0</v>
      </c>
      <c r="I6">
        <f t="shared" si="2"/>
        <v>0</v>
      </c>
      <c r="J6">
        <f t="shared" si="3"/>
        <v>0</v>
      </c>
      <c r="K6">
        <f t="shared" si="3"/>
        <v>0</v>
      </c>
      <c r="L6">
        <f t="shared" si="4"/>
        <v>0</v>
      </c>
      <c r="M6">
        <f t="shared" si="4"/>
        <v>0</v>
      </c>
      <c r="N6">
        <f t="shared" si="5"/>
        <v>0</v>
      </c>
      <c r="O6" t="e">
        <f t="shared" si="6"/>
        <v>#DIV/0!</v>
      </c>
      <c r="P6" t="e">
        <f t="shared" si="7"/>
        <v>#DIV/0!</v>
      </c>
      <c r="Q6" t="e">
        <f t="shared" si="8"/>
        <v>#DIV/0!</v>
      </c>
      <c r="R6" t="e">
        <f t="shared" si="9"/>
        <v>#DIV/0!</v>
      </c>
      <c r="S6">
        <f t="shared" si="10"/>
        <v>0</v>
      </c>
      <c r="T6" t="e">
        <f>Q6-'"0" цикл 24.06'!Q5</f>
        <v>#DIV/0!</v>
      </c>
      <c r="U6" t="e">
        <f>R6-'"0" цикл 24.06'!R5</f>
        <v>#DIV/0!</v>
      </c>
      <c r="V6" t="e">
        <f t="shared" si="11"/>
        <v>#DIV/0!</v>
      </c>
      <c r="W6" t="e">
        <f t="shared" si="12"/>
        <v>#DIV/0!</v>
      </c>
      <c r="X6" t="e">
        <f t="shared" si="13"/>
        <v>#DIV/0!</v>
      </c>
    </row>
    <row r="7" spans="1:24" x14ac:dyDescent="0.45">
      <c r="A7">
        <v>1.5</v>
      </c>
      <c r="F7">
        <f t="shared" si="0"/>
        <v>0</v>
      </c>
      <c r="G7">
        <f t="shared" si="1"/>
        <v>0</v>
      </c>
      <c r="H7">
        <f t="shared" si="2"/>
        <v>0</v>
      </c>
      <c r="I7">
        <f t="shared" si="2"/>
        <v>0</v>
      </c>
      <c r="J7">
        <f t="shared" si="3"/>
        <v>0</v>
      </c>
      <c r="K7">
        <f t="shared" si="3"/>
        <v>0</v>
      </c>
      <c r="L7">
        <f t="shared" si="4"/>
        <v>0</v>
      </c>
      <c r="M7">
        <f t="shared" si="4"/>
        <v>0</v>
      </c>
      <c r="N7">
        <f t="shared" si="5"/>
        <v>0</v>
      </c>
      <c r="O7" t="e">
        <f t="shared" si="6"/>
        <v>#DIV/0!</v>
      </c>
      <c r="P7" t="e">
        <f t="shared" si="7"/>
        <v>#DIV/0!</v>
      </c>
      <c r="Q7" t="e">
        <f t="shared" si="8"/>
        <v>#DIV/0!</v>
      </c>
      <c r="R7" t="e">
        <f t="shared" si="9"/>
        <v>#DIV/0!</v>
      </c>
      <c r="S7">
        <f t="shared" si="10"/>
        <v>0</v>
      </c>
      <c r="T7" t="e">
        <f>Q7-'"0" цикл 24.06'!Q6</f>
        <v>#DIV/0!</v>
      </c>
      <c r="U7" t="e">
        <f>R7-'"0" цикл 24.06'!R6</f>
        <v>#DIV/0!</v>
      </c>
      <c r="V7" t="e">
        <f t="shared" si="11"/>
        <v>#DIV/0!</v>
      </c>
      <c r="W7" t="e">
        <f t="shared" si="12"/>
        <v>#DIV/0!</v>
      </c>
      <c r="X7" t="e">
        <f t="shared" si="13"/>
        <v>#DIV/0!</v>
      </c>
    </row>
    <row r="8" spans="1:24" x14ac:dyDescent="0.45">
      <c r="A8">
        <v>2</v>
      </c>
      <c r="F8">
        <f t="shared" si="0"/>
        <v>0</v>
      </c>
      <c r="G8">
        <f t="shared" si="1"/>
        <v>0</v>
      </c>
      <c r="H8">
        <f t="shared" si="2"/>
        <v>0</v>
      </c>
      <c r="I8">
        <f t="shared" si="2"/>
        <v>0</v>
      </c>
      <c r="J8">
        <f t="shared" si="3"/>
        <v>0</v>
      </c>
      <c r="K8">
        <f t="shared" si="3"/>
        <v>0</v>
      </c>
      <c r="L8">
        <f t="shared" si="4"/>
        <v>0</v>
      </c>
      <c r="M8">
        <f t="shared" si="4"/>
        <v>0</v>
      </c>
      <c r="N8">
        <f t="shared" si="5"/>
        <v>0</v>
      </c>
      <c r="O8" t="e">
        <f t="shared" si="6"/>
        <v>#DIV/0!</v>
      </c>
      <c r="P8" t="e">
        <f t="shared" si="7"/>
        <v>#DIV/0!</v>
      </c>
      <c r="Q8" t="e">
        <f t="shared" si="8"/>
        <v>#DIV/0!</v>
      </c>
      <c r="R8" t="e">
        <f t="shared" si="9"/>
        <v>#DIV/0!</v>
      </c>
      <c r="S8">
        <f t="shared" si="10"/>
        <v>0</v>
      </c>
      <c r="T8" t="e">
        <f>Q8-'"0" цикл 24.06'!Q7</f>
        <v>#DIV/0!</v>
      </c>
      <c r="U8" t="e">
        <f>R8-'"0" цикл 24.06'!R7</f>
        <v>#DIV/0!</v>
      </c>
      <c r="V8" t="e">
        <f t="shared" si="11"/>
        <v>#DIV/0!</v>
      </c>
      <c r="W8" t="e">
        <f t="shared" si="12"/>
        <v>#DIV/0!</v>
      </c>
      <c r="X8" t="e">
        <f t="shared" si="13"/>
        <v>#DIV/0!</v>
      </c>
    </row>
    <row r="9" spans="1:24" x14ac:dyDescent="0.45">
      <c r="A9">
        <v>2.5</v>
      </c>
      <c r="F9">
        <f t="shared" si="0"/>
        <v>0</v>
      </c>
      <c r="G9">
        <f t="shared" si="1"/>
        <v>0</v>
      </c>
      <c r="H9">
        <f t="shared" si="2"/>
        <v>0</v>
      </c>
      <c r="I9">
        <f t="shared" si="2"/>
        <v>0</v>
      </c>
      <c r="J9">
        <f t="shared" si="3"/>
        <v>0</v>
      </c>
      <c r="K9">
        <f t="shared" si="3"/>
        <v>0</v>
      </c>
      <c r="L9">
        <f t="shared" si="4"/>
        <v>0</v>
      </c>
      <c r="M9">
        <f t="shared" si="4"/>
        <v>0</v>
      </c>
      <c r="N9">
        <f t="shared" si="5"/>
        <v>0</v>
      </c>
      <c r="O9" t="e">
        <f t="shared" si="6"/>
        <v>#DIV/0!</v>
      </c>
      <c r="P9" t="e">
        <f t="shared" si="7"/>
        <v>#DIV/0!</v>
      </c>
      <c r="Q9" t="e">
        <f t="shared" si="8"/>
        <v>#DIV/0!</v>
      </c>
      <c r="R9" t="e">
        <f t="shared" si="9"/>
        <v>#DIV/0!</v>
      </c>
      <c r="S9">
        <f t="shared" si="10"/>
        <v>0</v>
      </c>
      <c r="T9" t="e">
        <f>Q9-'"0" цикл 24.06'!Q8</f>
        <v>#DIV/0!</v>
      </c>
      <c r="U9" t="e">
        <f>R9-'"0" цикл 24.06'!R8</f>
        <v>#DIV/0!</v>
      </c>
      <c r="V9" t="e">
        <f t="shared" si="11"/>
        <v>#DIV/0!</v>
      </c>
      <c r="W9" t="e">
        <f t="shared" si="12"/>
        <v>#DIV/0!</v>
      </c>
      <c r="X9" t="e">
        <f t="shared" si="13"/>
        <v>#DIV/0!</v>
      </c>
    </row>
    <row r="10" spans="1:24" x14ac:dyDescent="0.45">
      <c r="A10">
        <v>3</v>
      </c>
      <c r="F10">
        <f t="shared" si="0"/>
        <v>0</v>
      </c>
      <c r="G10">
        <f t="shared" si="1"/>
        <v>0</v>
      </c>
      <c r="H10">
        <f t="shared" si="2"/>
        <v>0</v>
      </c>
      <c r="I10">
        <f t="shared" si="2"/>
        <v>0</v>
      </c>
      <c r="J10">
        <f t="shared" si="3"/>
        <v>0</v>
      </c>
      <c r="K10">
        <f t="shared" si="3"/>
        <v>0</v>
      </c>
      <c r="L10">
        <f t="shared" si="4"/>
        <v>0</v>
      </c>
      <c r="M10">
        <f t="shared" si="4"/>
        <v>0</v>
      </c>
      <c r="N10">
        <f t="shared" si="5"/>
        <v>0</v>
      </c>
      <c r="O10" t="e">
        <f t="shared" si="6"/>
        <v>#DIV/0!</v>
      </c>
      <c r="P10" t="e">
        <f t="shared" si="7"/>
        <v>#DIV/0!</v>
      </c>
      <c r="Q10" t="e">
        <f t="shared" si="8"/>
        <v>#DIV/0!</v>
      </c>
      <c r="R10" t="e">
        <f t="shared" si="9"/>
        <v>#DIV/0!</v>
      </c>
      <c r="S10">
        <f t="shared" si="10"/>
        <v>0</v>
      </c>
      <c r="T10" t="e">
        <f>Q10-'"0" цикл 24.06'!Q9</f>
        <v>#DIV/0!</v>
      </c>
      <c r="U10" t="e">
        <f>R10-'"0" цикл 24.06'!R9</f>
        <v>#DIV/0!</v>
      </c>
      <c r="V10" t="e">
        <f t="shared" si="11"/>
        <v>#DIV/0!</v>
      </c>
      <c r="W10" t="e">
        <f t="shared" si="12"/>
        <v>#DIV/0!</v>
      </c>
      <c r="X10" t="e">
        <f t="shared" si="13"/>
        <v>#DIV/0!</v>
      </c>
    </row>
    <row r="11" spans="1:24" x14ac:dyDescent="0.45">
      <c r="A11">
        <v>3.5</v>
      </c>
      <c r="F11">
        <f t="shared" si="0"/>
        <v>0</v>
      </c>
      <c r="G11">
        <f t="shared" si="1"/>
        <v>0</v>
      </c>
      <c r="H11">
        <f t="shared" si="2"/>
        <v>0</v>
      </c>
      <c r="I11">
        <f t="shared" si="2"/>
        <v>0</v>
      </c>
      <c r="J11">
        <f t="shared" si="3"/>
        <v>0</v>
      </c>
      <c r="K11">
        <f t="shared" si="3"/>
        <v>0</v>
      </c>
      <c r="L11">
        <f t="shared" si="4"/>
        <v>0</v>
      </c>
      <c r="M11">
        <f t="shared" si="4"/>
        <v>0</v>
      </c>
      <c r="N11">
        <f t="shared" si="5"/>
        <v>0</v>
      </c>
      <c r="O11" t="e">
        <f t="shared" si="6"/>
        <v>#DIV/0!</v>
      </c>
      <c r="P11" t="e">
        <f t="shared" si="7"/>
        <v>#DIV/0!</v>
      </c>
      <c r="Q11" t="e">
        <f t="shared" si="8"/>
        <v>#DIV/0!</v>
      </c>
      <c r="R11" t="e">
        <f t="shared" si="9"/>
        <v>#DIV/0!</v>
      </c>
      <c r="S11">
        <f t="shared" si="10"/>
        <v>0</v>
      </c>
      <c r="T11" t="e">
        <f>Q11-'"0" цикл 24.06'!Q10</f>
        <v>#DIV/0!</v>
      </c>
      <c r="U11" t="e">
        <f>R11-'"0" цикл 24.06'!R10</f>
        <v>#DIV/0!</v>
      </c>
      <c r="V11" t="e">
        <f t="shared" si="11"/>
        <v>#DIV/0!</v>
      </c>
      <c r="W11" t="e">
        <f t="shared" si="12"/>
        <v>#DIV/0!</v>
      </c>
      <c r="X11" t="e">
        <f t="shared" si="13"/>
        <v>#DIV/0!</v>
      </c>
    </row>
    <row r="12" spans="1:24" x14ac:dyDescent="0.45">
      <c r="A12">
        <v>4</v>
      </c>
      <c r="F12">
        <f t="shared" si="0"/>
        <v>0</v>
      </c>
      <c r="G12">
        <f t="shared" si="1"/>
        <v>0</v>
      </c>
      <c r="H12">
        <f t="shared" si="2"/>
        <v>0</v>
      </c>
      <c r="I12">
        <f t="shared" si="2"/>
        <v>0</v>
      </c>
      <c r="J12">
        <f t="shared" si="3"/>
        <v>0</v>
      </c>
      <c r="K12">
        <f t="shared" si="3"/>
        <v>0</v>
      </c>
      <c r="L12">
        <f t="shared" si="4"/>
        <v>0</v>
      </c>
      <c r="M12">
        <f t="shared" si="4"/>
        <v>0</v>
      </c>
      <c r="N12">
        <f t="shared" si="5"/>
        <v>0</v>
      </c>
      <c r="O12" t="e">
        <f t="shared" si="6"/>
        <v>#DIV/0!</v>
      </c>
      <c r="P12" t="e">
        <f t="shared" si="7"/>
        <v>#DIV/0!</v>
      </c>
      <c r="Q12" t="e">
        <f t="shared" si="8"/>
        <v>#DIV/0!</v>
      </c>
      <c r="R12" t="e">
        <f t="shared" si="9"/>
        <v>#DIV/0!</v>
      </c>
      <c r="S12">
        <f t="shared" si="10"/>
        <v>0</v>
      </c>
      <c r="T12" t="e">
        <f>Q12-'"0" цикл 24.06'!Q11</f>
        <v>#DIV/0!</v>
      </c>
      <c r="U12" t="e">
        <f>R12-'"0" цикл 24.06'!R11</f>
        <v>#DIV/0!</v>
      </c>
      <c r="V12" t="e">
        <f t="shared" si="11"/>
        <v>#DIV/0!</v>
      </c>
      <c r="W12" t="e">
        <f t="shared" si="12"/>
        <v>#DIV/0!</v>
      </c>
      <c r="X12" t="e">
        <f t="shared" si="13"/>
        <v>#DIV/0!</v>
      </c>
    </row>
    <row r="13" spans="1:24" x14ac:dyDescent="0.45">
      <c r="A13">
        <v>4.5</v>
      </c>
      <c r="F13">
        <f t="shared" si="0"/>
        <v>0</v>
      </c>
      <c r="G13">
        <f t="shared" si="1"/>
        <v>0</v>
      </c>
      <c r="H13">
        <f t="shared" si="2"/>
        <v>0</v>
      </c>
      <c r="I13">
        <f t="shared" si="2"/>
        <v>0</v>
      </c>
      <c r="J13">
        <f t="shared" si="3"/>
        <v>0</v>
      </c>
      <c r="K13">
        <f t="shared" si="3"/>
        <v>0</v>
      </c>
      <c r="L13">
        <f t="shared" si="4"/>
        <v>0</v>
      </c>
      <c r="M13">
        <f t="shared" si="4"/>
        <v>0</v>
      </c>
      <c r="N13">
        <f t="shared" si="5"/>
        <v>0</v>
      </c>
      <c r="O13" t="e">
        <f t="shared" si="6"/>
        <v>#DIV/0!</v>
      </c>
      <c r="P13" t="e">
        <f t="shared" si="7"/>
        <v>#DIV/0!</v>
      </c>
      <c r="Q13" t="e">
        <f t="shared" si="8"/>
        <v>#DIV/0!</v>
      </c>
      <c r="R13" t="e">
        <f t="shared" si="9"/>
        <v>#DIV/0!</v>
      </c>
      <c r="S13">
        <f t="shared" si="10"/>
        <v>0</v>
      </c>
      <c r="T13" t="e">
        <f>Q13-'"0" цикл 24.06'!Q12</f>
        <v>#DIV/0!</v>
      </c>
      <c r="U13" t="e">
        <f>R13-'"0" цикл 24.06'!R12</f>
        <v>#DIV/0!</v>
      </c>
      <c r="V13" t="e">
        <f t="shared" si="11"/>
        <v>#DIV/0!</v>
      </c>
      <c r="W13" t="e">
        <f t="shared" si="12"/>
        <v>#DIV/0!</v>
      </c>
      <c r="X13" t="e">
        <f t="shared" si="13"/>
        <v>#DIV/0!</v>
      </c>
    </row>
    <row r="14" spans="1:24" x14ac:dyDescent="0.45">
      <c r="A14">
        <v>5</v>
      </c>
      <c r="F14">
        <f t="shared" si="0"/>
        <v>0</v>
      </c>
      <c r="G14">
        <f t="shared" si="1"/>
        <v>0</v>
      </c>
      <c r="H14">
        <f t="shared" si="2"/>
        <v>0</v>
      </c>
      <c r="I14">
        <f t="shared" si="2"/>
        <v>0</v>
      </c>
      <c r="J14">
        <f t="shared" si="3"/>
        <v>0</v>
      </c>
      <c r="K14">
        <f t="shared" si="3"/>
        <v>0</v>
      </c>
      <c r="L14">
        <f t="shared" si="4"/>
        <v>0</v>
      </c>
      <c r="M14">
        <f t="shared" si="4"/>
        <v>0</v>
      </c>
      <c r="N14">
        <f t="shared" si="5"/>
        <v>0</v>
      </c>
      <c r="O14" t="e">
        <f t="shared" si="6"/>
        <v>#DIV/0!</v>
      </c>
      <c r="P14" t="e">
        <f t="shared" si="7"/>
        <v>#DIV/0!</v>
      </c>
      <c r="Q14" t="e">
        <f t="shared" si="8"/>
        <v>#DIV/0!</v>
      </c>
      <c r="R14" t="e">
        <f t="shared" si="9"/>
        <v>#DIV/0!</v>
      </c>
      <c r="S14">
        <f t="shared" si="10"/>
        <v>0</v>
      </c>
      <c r="T14" t="e">
        <f>Q14-'"0" цикл 24.06'!Q13</f>
        <v>#DIV/0!</v>
      </c>
      <c r="U14" t="e">
        <f>R14-'"0" цикл 24.06'!R13</f>
        <v>#DIV/0!</v>
      </c>
      <c r="V14" t="e">
        <f t="shared" si="11"/>
        <v>#DIV/0!</v>
      </c>
      <c r="W14" t="e">
        <f t="shared" si="12"/>
        <v>#DIV/0!</v>
      </c>
      <c r="X14" t="e">
        <f t="shared" si="13"/>
        <v>#DIV/0!</v>
      </c>
    </row>
    <row r="15" spans="1:24" x14ac:dyDescent="0.45">
      <c r="A15">
        <v>5.5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2"/>
        <v>0</v>
      </c>
      <c r="J15">
        <f t="shared" si="3"/>
        <v>0</v>
      </c>
      <c r="K15">
        <f t="shared" si="3"/>
        <v>0</v>
      </c>
      <c r="L15">
        <f t="shared" si="4"/>
        <v>0</v>
      </c>
      <c r="M15">
        <f t="shared" si="4"/>
        <v>0</v>
      </c>
      <c r="N15">
        <f t="shared" si="5"/>
        <v>0</v>
      </c>
      <c r="O15" t="e">
        <f t="shared" si="6"/>
        <v>#DIV/0!</v>
      </c>
      <c r="P15" t="e">
        <f t="shared" si="7"/>
        <v>#DIV/0!</v>
      </c>
      <c r="Q15" t="e">
        <f t="shared" si="8"/>
        <v>#DIV/0!</v>
      </c>
      <c r="R15" t="e">
        <f t="shared" si="9"/>
        <v>#DIV/0!</v>
      </c>
      <c r="S15">
        <f t="shared" si="10"/>
        <v>0</v>
      </c>
      <c r="T15" t="e">
        <f>Q15-'"0" цикл 24.06'!Q14</f>
        <v>#DIV/0!</v>
      </c>
      <c r="U15" t="e">
        <f>R15-'"0" цикл 24.06'!R14</f>
        <v>#DIV/0!</v>
      </c>
      <c r="V15" t="e">
        <f t="shared" si="11"/>
        <v>#DIV/0!</v>
      </c>
      <c r="W15" t="e">
        <f t="shared" si="12"/>
        <v>#DIV/0!</v>
      </c>
      <c r="X15" t="e">
        <f t="shared" si="13"/>
        <v>#DIV/0!</v>
      </c>
    </row>
    <row r="16" spans="1:24" x14ac:dyDescent="0.45">
      <c r="A16">
        <v>6</v>
      </c>
      <c r="F16">
        <f t="shared" si="0"/>
        <v>0</v>
      </c>
      <c r="G16">
        <f t="shared" si="1"/>
        <v>0</v>
      </c>
      <c r="H16">
        <f t="shared" si="2"/>
        <v>0</v>
      </c>
      <c r="I16">
        <f t="shared" si="2"/>
        <v>0</v>
      </c>
      <c r="J16">
        <f t="shared" si="3"/>
        <v>0</v>
      </c>
      <c r="K16">
        <f t="shared" si="3"/>
        <v>0</v>
      </c>
      <c r="L16">
        <f t="shared" si="4"/>
        <v>0</v>
      </c>
      <c r="M16">
        <f t="shared" si="4"/>
        <v>0</v>
      </c>
      <c r="N16">
        <f t="shared" si="5"/>
        <v>0</v>
      </c>
      <c r="O16" t="e">
        <f t="shared" si="6"/>
        <v>#DIV/0!</v>
      </c>
      <c r="P16" t="e">
        <f t="shared" si="7"/>
        <v>#DIV/0!</v>
      </c>
      <c r="Q16" t="e">
        <f t="shared" si="8"/>
        <v>#DIV/0!</v>
      </c>
      <c r="R16" t="e">
        <f t="shared" si="9"/>
        <v>#DIV/0!</v>
      </c>
      <c r="S16">
        <f t="shared" si="10"/>
        <v>0</v>
      </c>
      <c r="T16" t="e">
        <f>Q16-'"0" цикл 24.06'!Q15</f>
        <v>#DIV/0!</v>
      </c>
      <c r="U16" t="e">
        <f>R16-'"0" цикл 24.06'!R15</f>
        <v>#DIV/0!</v>
      </c>
      <c r="V16" t="e">
        <f t="shared" si="11"/>
        <v>#DIV/0!</v>
      </c>
      <c r="W16" t="e">
        <f t="shared" si="12"/>
        <v>#DIV/0!</v>
      </c>
      <c r="X16" t="e">
        <f t="shared" si="13"/>
        <v>#DIV/0!</v>
      </c>
    </row>
    <row r="17" spans="1:24" x14ac:dyDescent="0.45">
      <c r="A17">
        <v>6.5</v>
      </c>
      <c r="F17">
        <f t="shared" si="0"/>
        <v>0</v>
      </c>
      <c r="G17">
        <f t="shared" si="1"/>
        <v>0</v>
      </c>
      <c r="H17">
        <f t="shared" si="2"/>
        <v>0</v>
      </c>
      <c r="I17">
        <f t="shared" si="2"/>
        <v>0</v>
      </c>
      <c r="J17">
        <f t="shared" si="3"/>
        <v>0</v>
      </c>
      <c r="K17">
        <f t="shared" si="3"/>
        <v>0</v>
      </c>
      <c r="L17">
        <f t="shared" si="4"/>
        <v>0</v>
      </c>
      <c r="M17">
        <f t="shared" si="4"/>
        <v>0</v>
      </c>
      <c r="N17">
        <f t="shared" si="5"/>
        <v>0</v>
      </c>
      <c r="O17" t="e">
        <f t="shared" si="6"/>
        <v>#DIV/0!</v>
      </c>
      <c r="P17" t="e">
        <f t="shared" si="7"/>
        <v>#DIV/0!</v>
      </c>
      <c r="Q17" t="e">
        <f t="shared" si="8"/>
        <v>#DIV/0!</v>
      </c>
      <c r="R17" t="e">
        <f t="shared" si="9"/>
        <v>#DIV/0!</v>
      </c>
      <c r="S17">
        <f t="shared" si="10"/>
        <v>0</v>
      </c>
      <c r="T17" t="e">
        <f>Q17-'"0" цикл 24.06'!Q16</f>
        <v>#DIV/0!</v>
      </c>
      <c r="U17" t="e">
        <f>R17-'"0" цикл 24.06'!R16</f>
        <v>#DIV/0!</v>
      </c>
      <c r="V17" t="e">
        <f t="shared" si="11"/>
        <v>#DIV/0!</v>
      </c>
      <c r="W17" t="e">
        <f t="shared" si="12"/>
        <v>#DIV/0!</v>
      </c>
      <c r="X17" t="e">
        <f t="shared" si="13"/>
        <v>#DIV/0!</v>
      </c>
    </row>
    <row r="18" spans="1:24" x14ac:dyDescent="0.45">
      <c r="A18">
        <v>7</v>
      </c>
      <c r="F18">
        <f t="shared" si="0"/>
        <v>0</v>
      </c>
      <c r="G18">
        <f t="shared" si="1"/>
        <v>0</v>
      </c>
      <c r="H18">
        <f t="shared" si="2"/>
        <v>0</v>
      </c>
      <c r="I18">
        <f t="shared" si="2"/>
        <v>0</v>
      </c>
      <c r="J18">
        <f t="shared" si="3"/>
        <v>0</v>
      </c>
      <c r="K18">
        <f t="shared" si="3"/>
        <v>0</v>
      </c>
      <c r="L18">
        <f t="shared" si="4"/>
        <v>0</v>
      </c>
      <c r="M18">
        <f t="shared" si="4"/>
        <v>0</v>
      </c>
      <c r="N18">
        <f t="shared" si="5"/>
        <v>0</v>
      </c>
      <c r="O18" t="e">
        <f t="shared" si="6"/>
        <v>#DIV/0!</v>
      </c>
      <c r="P18" t="e">
        <f t="shared" si="7"/>
        <v>#DIV/0!</v>
      </c>
      <c r="Q18" t="e">
        <f t="shared" si="8"/>
        <v>#DIV/0!</v>
      </c>
      <c r="R18" t="e">
        <f t="shared" si="9"/>
        <v>#DIV/0!</v>
      </c>
      <c r="S18">
        <f t="shared" si="10"/>
        <v>0</v>
      </c>
      <c r="T18" t="e">
        <f>Q18-'"0" цикл 24.06'!Q17</f>
        <v>#DIV/0!</v>
      </c>
      <c r="U18" t="e">
        <f>R18-'"0" цикл 24.06'!R17</f>
        <v>#DIV/0!</v>
      </c>
      <c r="V18" t="e">
        <f t="shared" si="11"/>
        <v>#DIV/0!</v>
      </c>
      <c r="W18" t="e">
        <f t="shared" si="12"/>
        <v>#DIV/0!</v>
      </c>
      <c r="X18" t="e">
        <f t="shared" si="13"/>
        <v>#DIV/0!</v>
      </c>
    </row>
    <row r="19" spans="1:24" x14ac:dyDescent="0.45">
      <c r="A19">
        <v>7.5</v>
      </c>
      <c r="F19">
        <f t="shared" si="0"/>
        <v>0</v>
      </c>
      <c r="G19">
        <f t="shared" si="1"/>
        <v>0</v>
      </c>
      <c r="H19">
        <f t="shared" si="2"/>
        <v>0</v>
      </c>
      <c r="I19">
        <f t="shared" si="2"/>
        <v>0</v>
      </c>
      <c r="J19">
        <f t="shared" si="3"/>
        <v>0</v>
      </c>
      <c r="K19">
        <f t="shared" si="3"/>
        <v>0</v>
      </c>
      <c r="L19">
        <f t="shared" si="4"/>
        <v>0</v>
      </c>
      <c r="M19">
        <f t="shared" si="4"/>
        <v>0</v>
      </c>
      <c r="N19">
        <f t="shared" si="5"/>
        <v>0</v>
      </c>
      <c r="O19" t="e">
        <f t="shared" si="6"/>
        <v>#DIV/0!</v>
      </c>
      <c r="P19" t="e">
        <f t="shared" si="7"/>
        <v>#DIV/0!</v>
      </c>
      <c r="Q19" t="e">
        <f t="shared" si="8"/>
        <v>#DIV/0!</v>
      </c>
      <c r="R19" t="e">
        <f t="shared" si="9"/>
        <v>#DIV/0!</v>
      </c>
      <c r="S19">
        <f t="shared" si="10"/>
        <v>0</v>
      </c>
      <c r="T19" t="e">
        <f>Q19-'"0" цикл 24.06'!Q18</f>
        <v>#DIV/0!</v>
      </c>
      <c r="U19" t="e">
        <f>R19-'"0" цикл 24.06'!R18</f>
        <v>#DIV/0!</v>
      </c>
      <c r="V19" t="e">
        <f t="shared" si="11"/>
        <v>#DIV/0!</v>
      </c>
      <c r="W19" t="e">
        <f t="shared" si="12"/>
        <v>#DIV/0!</v>
      </c>
      <c r="X19" t="e">
        <f t="shared" si="13"/>
        <v>#DIV/0!</v>
      </c>
    </row>
    <row r="20" spans="1:24" x14ac:dyDescent="0.45">
      <c r="A20">
        <v>8</v>
      </c>
      <c r="F20">
        <f t="shared" si="0"/>
        <v>0</v>
      </c>
      <c r="G20">
        <f t="shared" si="1"/>
        <v>0</v>
      </c>
      <c r="H20">
        <f t="shared" ref="H20:I52" si="14">ASIN(F20/20000)</f>
        <v>0</v>
      </c>
      <c r="I20">
        <f t="shared" si="14"/>
        <v>0</v>
      </c>
      <c r="J20">
        <f t="shared" ref="J20:K52" si="15">0.5*SIN(H20)</f>
        <v>0</v>
      </c>
      <c r="K20">
        <f t="shared" si="15"/>
        <v>0</v>
      </c>
      <c r="L20">
        <f t="shared" ref="L20:M52" si="16">J21+L21</f>
        <v>0</v>
      </c>
      <c r="M20">
        <f t="shared" si="16"/>
        <v>0</v>
      </c>
      <c r="N20">
        <f t="shared" si="5"/>
        <v>0</v>
      </c>
      <c r="O20" t="e">
        <f t="shared" si="6"/>
        <v>#DIV/0!</v>
      </c>
      <c r="P20" t="e">
        <f t="shared" si="7"/>
        <v>#DIV/0!</v>
      </c>
      <c r="Q20" t="e">
        <f t="shared" si="8"/>
        <v>#DIV/0!</v>
      </c>
      <c r="R20" t="e">
        <f t="shared" si="9"/>
        <v>#DIV/0!</v>
      </c>
      <c r="S20">
        <f t="shared" si="10"/>
        <v>0</v>
      </c>
      <c r="T20" t="e">
        <f>Q20-'"0" цикл 24.06'!Q19</f>
        <v>#DIV/0!</v>
      </c>
      <c r="U20" t="e">
        <f>R20-'"0" цикл 24.06'!R19</f>
        <v>#DIV/0!</v>
      </c>
      <c r="V20" t="e">
        <f t="shared" si="11"/>
        <v>#DIV/0!</v>
      </c>
      <c r="W20" t="e">
        <f t="shared" si="12"/>
        <v>#DIV/0!</v>
      </c>
      <c r="X20" t="e">
        <f t="shared" si="13"/>
        <v>#DIV/0!</v>
      </c>
    </row>
    <row r="21" spans="1:24" x14ac:dyDescent="0.45">
      <c r="A21">
        <v>8.5</v>
      </c>
      <c r="F21">
        <f t="shared" si="0"/>
        <v>0</v>
      </c>
      <c r="G21">
        <f t="shared" si="1"/>
        <v>0</v>
      </c>
      <c r="H21">
        <f t="shared" si="14"/>
        <v>0</v>
      </c>
      <c r="I21">
        <f t="shared" si="14"/>
        <v>0</v>
      </c>
      <c r="J21">
        <f t="shared" si="15"/>
        <v>0</v>
      </c>
      <c r="K21">
        <f t="shared" si="15"/>
        <v>0</v>
      </c>
      <c r="L21">
        <f t="shared" si="16"/>
        <v>0</v>
      </c>
      <c r="M21">
        <f t="shared" si="16"/>
        <v>0</v>
      </c>
      <c r="N21">
        <f t="shared" si="5"/>
        <v>0</v>
      </c>
      <c r="O21" t="e">
        <f t="shared" si="6"/>
        <v>#DIV/0!</v>
      </c>
      <c r="P21" t="e">
        <f t="shared" si="7"/>
        <v>#DIV/0!</v>
      </c>
      <c r="Q21" t="e">
        <f t="shared" si="8"/>
        <v>#DIV/0!</v>
      </c>
      <c r="R21" t="e">
        <f t="shared" si="9"/>
        <v>#DIV/0!</v>
      </c>
      <c r="S21">
        <f t="shared" si="10"/>
        <v>0</v>
      </c>
      <c r="T21" t="e">
        <f>Q21-'"0" цикл 24.06'!Q20</f>
        <v>#DIV/0!</v>
      </c>
      <c r="U21" t="e">
        <f>R21-'"0" цикл 24.06'!R20</f>
        <v>#DIV/0!</v>
      </c>
      <c r="V21" t="e">
        <f t="shared" si="11"/>
        <v>#DIV/0!</v>
      </c>
      <c r="W21" t="e">
        <f t="shared" si="12"/>
        <v>#DIV/0!</v>
      </c>
      <c r="X21" t="e">
        <f t="shared" si="13"/>
        <v>#DIV/0!</v>
      </c>
    </row>
    <row r="22" spans="1:24" x14ac:dyDescent="0.45">
      <c r="A22">
        <v>9</v>
      </c>
      <c r="F22">
        <f t="shared" si="0"/>
        <v>0</v>
      </c>
      <c r="G22">
        <f t="shared" si="1"/>
        <v>0</v>
      </c>
      <c r="H22">
        <f t="shared" si="14"/>
        <v>0</v>
      </c>
      <c r="I22">
        <f t="shared" si="14"/>
        <v>0</v>
      </c>
      <c r="J22">
        <f t="shared" si="15"/>
        <v>0</v>
      </c>
      <c r="K22">
        <f t="shared" si="15"/>
        <v>0</v>
      </c>
      <c r="L22">
        <f t="shared" si="16"/>
        <v>0</v>
      </c>
      <c r="M22">
        <f t="shared" si="16"/>
        <v>0</v>
      </c>
      <c r="N22">
        <f t="shared" si="5"/>
        <v>0</v>
      </c>
      <c r="O22" t="e">
        <f t="shared" si="6"/>
        <v>#DIV/0!</v>
      </c>
      <c r="P22" t="e">
        <f t="shared" si="7"/>
        <v>#DIV/0!</v>
      </c>
      <c r="Q22" t="e">
        <f t="shared" si="8"/>
        <v>#DIV/0!</v>
      </c>
      <c r="R22" t="e">
        <f t="shared" si="9"/>
        <v>#DIV/0!</v>
      </c>
      <c r="S22">
        <f t="shared" si="10"/>
        <v>0</v>
      </c>
      <c r="T22" t="e">
        <f>Q22-'"0" цикл 24.06'!Q21</f>
        <v>#DIV/0!</v>
      </c>
      <c r="U22" t="e">
        <f>R22-'"0" цикл 24.06'!R21</f>
        <v>#DIV/0!</v>
      </c>
      <c r="V22" t="e">
        <f t="shared" si="11"/>
        <v>#DIV/0!</v>
      </c>
      <c r="W22" t="e">
        <f t="shared" si="12"/>
        <v>#DIV/0!</v>
      </c>
      <c r="X22" t="e">
        <f t="shared" si="13"/>
        <v>#DIV/0!</v>
      </c>
    </row>
    <row r="23" spans="1:24" x14ac:dyDescent="0.45">
      <c r="A23">
        <v>9.5</v>
      </c>
      <c r="F23">
        <f t="shared" si="0"/>
        <v>0</v>
      </c>
      <c r="G23">
        <f t="shared" si="1"/>
        <v>0</v>
      </c>
      <c r="H23">
        <f t="shared" si="14"/>
        <v>0</v>
      </c>
      <c r="I23">
        <f t="shared" si="14"/>
        <v>0</v>
      </c>
      <c r="J23">
        <f t="shared" si="15"/>
        <v>0</v>
      </c>
      <c r="K23">
        <f t="shared" si="15"/>
        <v>0</v>
      </c>
      <c r="L23">
        <f t="shared" si="16"/>
        <v>0</v>
      </c>
      <c r="M23">
        <f t="shared" si="16"/>
        <v>0</v>
      </c>
      <c r="N23">
        <f t="shared" si="5"/>
        <v>0</v>
      </c>
      <c r="O23" t="e">
        <f t="shared" si="6"/>
        <v>#DIV/0!</v>
      </c>
      <c r="P23" t="e">
        <f t="shared" si="7"/>
        <v>#DIV/0!</v>
      </c>
      <c r="Q23" t="e">
        <f t="shared" si="8"/>
        <v>#DIV/0!</v>
      </c>
      <c r="R23" t="e">
        <f t="shared" si="9"/>
        <v>#DIV/0!</v>
      </c>
      <c r="S23">
        <f t="shared" si="10"/>
        <v>0</v>
      </c>
      <c r="T23" t="e">
        <f>Q23-'"0" цикл 24.06'!Q22</f>
        <v>#DIV/0!</v>
      </c>
      <c r="U23" t="e">
        <f>R23-'"0" цикл 24.06'!R22</f>
        <v>#DIV/0!</v>
      </c>
      <c r="V23" t="e">
        <f t="shared" si="11"/>
        <v>#DIV/0!</v>
      </c>
      <c r="W23" t="e">
        <f t="shared" si="12"/>
        <v>#DIV/0!</v>
      </c>
      <c r="X23" t="e">
        <f t="shared" si="13"/>
        <v>#DIV/0!</v>
      </c>
    </row>
    <row r="24" spans="1:24" x14ac:dyDescent="0.45">
      <c r="A24">
        <v>10</v>
      </c>
      <c r="F24">
        <f t="shared" si="0"/>
        <v>0</v>
      </c>
      <c r="G24">
        <f t="shared" si="1"/>
        <v>0</v>
      </c>
      <c r="H24">
        <f t="shared" si="14"/>
        <v>0</v>
      </c>
      <c r="I24">
        <f t="shared" si="14"/>
        <v>0</v>
      </c>
      <c r="J24">
        <f t="shared" si="15"/>
        <v>0</v>
      </c>
      <c r="K24">
        <f t="shared" si="15"/>
        <v>0</v>
      </c>
      <c r="L24">
        <f t="shared" si="16"/>
        <v>0</v>
      </c>
      <c r="M24">
        <f t="shared" si="16"/>
        <v>0</v>
      </c>
      <c r="N24">
        <f t="shared" si="5"/>
        <v>0</v>
      </c>
      <c r="O24" t="e">
        <f t="shared" si="6"/>
        <v>#DIV/0!</v>
      </c>
      <c r="P24" t="e">
        <f t="shared" si="7"/>
        <v>#DIV/0!</v>
      </c>
      <c r="Q24" t="e">
        <f t="shared" si="8"/>
        <v>#DIV/0!</v>
      </c>
      <c r="R24" t="e">
        <f t="shared" si="9"/>
        <v>#DIV/0!</v>
      </c>
      <c r="S24">
        <f t="shared" si="10"/>
        <v>0</v>
      </c>
      <c r="T24" t="e">
        <f>Q24-'"0" цикл 24.06'!Q23</f>
        <v>#DIV/0!</v>
      </c>
      <c r="U24" t="e">
        <f>R24-'"0" цикл 24.06'!R23</f>
        <v>#DIV/0!</v>
      </c>
      <c r="V24" t="e">
        <f t="shared" si="11"/>
        <v>#DIV/0!</v>
      </c>
      <c r="W24" t="e">
        <f t="shared" si="12"/>
        <v>#DIV/0!</v>
      </c>
      <c r="X24" t="e">
        <f t="shared" si="13"/>
        <v>#DIV/0!</v>
      </c>
    </row>
    <row r="25" spans="1:24" x14ac:dyDescent="0.45">
      <c r="A25">
        <v>10.5</v>
      </c>
      <c r="F25">
        <f t="shared" si="0"/>
        <v>0</v>
      </c>
      <c r="G25">
        <f t="shared" si="1"/>
        <v>0</v>
      </c>
      <c r="H25">
        <f t="shared" si="14"/>
        <v>0</v>
      </c>
      <c r="I25">
        <f t="shared" si="14"/>
        <v>0</v>
      </c>
      <c r="J25">
        <f t="shared" si="15"/>
        <v>0</v>
      </c>
      <c r="K25">
        <f t="shared" si="15"/>
        <v>0</v>
      </c>
      <c r="L25">
        <f t="shared" si="16"/>
        <v>0</v>
      </c>
      <c r="M25">
        <f t="shared" si="16"/>
        <v>0</v>
      </c>
      <c r="N25">
        <f t="shared" si="5"/>
        <v>0</v>
      </c>
      <c r="O25" t="e">
        <f t="shared" si="6"/>
        <v>#DIV/0!</v>
      </c>
      <c r="P25" t="e">
        <f t="shared" si="7"/>
        <v>#DIV/0!</v>
      </c>
      <c r="Q25" t="e">
        <f t="shared" si="8"/>
        <v>#DIV/0!</v>
      </c>
      <c r="R25" t="e">
        <f t="shared" si="9"/>
        <v>#DIV/0!</v>
      </c>
      <c r="S25">
        <f t="shared" si="10"/>
        <v>0</v>
      </c>
      <c r="T25" t="e">
        <f>Q25-'"0" цикл 24.06'!Q24</f>
        <v>#DIV/0!</v>
      </c>
      <c r="U25" t="e">
        <f>R25-'"0" цикл 24.06'!R24</f>
        <v>#DIV/0!</v>
      </c>
      <c r="V25" t="e">
        <f t="shared" si="11"/>
        <v>#DIV/0!</v>
      </c>
      <c r="W25" t="e">
        <f t="shared" si="12"/>
        <v>#DIV/0!</v>
      </c>
      <c r="X25" t="e">
        <f t="shared" si="13"/>
        <v>#DIV/0!</v>
      </c>
    </row>
    <row r="26" spans="1:24" x14ac:dyDescent="0.45">
      <c r="A26">
        <v>11</v>
      </c>
      <c r="F26">
        <f t="shared" si="0"/>
        <v>0</v>
      </c>
      <c r="G26">
        <f t="shared" si="1"/>
        <v>0</v>
      </c>
      <c r="H26">
        <f t="shared" si="14"/>
        <v>0</v>
      </c>
      <c r="I26">
        <f t="shared" si="14"/>
        <v>0</v>
      </c>
      <c r="J26">
        <f t="shared" si="15"/>
        <v>0</v>
      </c>
      <c r="K26">
        <f t="shared" si="15"/>
        <v>0</v>
      </c>
      <c r="L26">
        <f t="shared" si="16"/>
        <v>0</v>
      </c>
      <c r="M26">
        <f t="shared" si="16"/>
        <v>0</v>
      </c>
      <c r="N26">
        <f t="shared" si="5"/>
        <v>0</v>
      </c>
      <c r="O26" t="e">
        <f t="shared" si="6"/>
        <v>#DIV/0!</v>
      </c>
      <c r="P26" t="e">
        <f t="shared" si="7"/>
        <v>#DIV/0!</v>
      </c>
      <c r="Q26" t="e">
        <f t="shared" si="8"/>
        <v>#DIV/0!</v>
      </c>
      <c r="R26" t="e">
        <f t="shared" si="9"/>
        <v>#DIV/0!</v>
      </c>
      <c r="S26">
        <f t="shared" si="10"/>
        <v>0</v>
      </c>
      <c r="T26" t="e">
        <f>Q26-'"0" цикл 24.06'!Q25</f>
        <v>#DIV/0!</v>
      </c>
      <c r="U26" t="e">
        <f>R26-'"0" цикл 24.06'!R25</f>
        <v>#DIV/0!</v>
      </c>
      <c r="V26" t="e">
        <f t="shared" si="11"/>
        <v>#DIV/0!</v>
      </c>
      <c r="W26" t="e">
        <f t="shared" si="12"/>
        <v>#DIV/0!</v>
      </c>
      <c r="X26" t="e">
        <f t="shared" si="13"/>
        <v>#DIV/0!</v>
      </c>
    </row>
    <row r="27" spans="1:24" x14ac:dyDescent="0.45">
      <c r="A27">
        <v>11.5</v>
      </c>
      <c r="F27">
        <f t="shared" si="0"/>
        <v>0</v>
      </c>
      <c r="G27">
        <f t="shared" si="1"/>
        <v>0</v>
      </c>
      <c r="H27">
        <f t="shared" si="14"/>
        <v>0</v>
      </c>
      <c r="I27">
        <f t="shared" si="14"/>
        <v>0</v>
      </c>
      <c r="J27">
        <f t="shared" si="15"/>
        <v>0</v>
      </c>
      <c r="K27">
        <f t="shared" si="15"/>
        <v>0</v>
      </c>
      <c r="L27">
        <f t="shared" si="16"/>
        <v>0</v>
      </c>
      <c r="M27">
        <f t="shared" si="16"/>
        <v>0</v>
      </c>
      <c r="N27">
        <f t="shared" si="5"/>
        <v>0</v>
      </c>
      <c r="O27" t="e">
        <f t="shared" si="6"/>
        <v>#DIV/0!</v>
      </c>
      <c r="P27" t="e">
        <f t="shared" si="7"/>
        <v>#DIV/0!</v>
      </c>
      <c r="Q27" t="e">
        <f t="shared" si="8"/>
        <v>#DIV/0!</v>
      </c>
      <c r="R27" t="e">
        <f t="shared" si="9"/>
        <v>#DIV/0!</v>
      </c>
      <c r="S27">
        <f t="shared" si="10"/>
        <v>0</v>
      </c>
      <c r="T27" t="e">
        <f>Q27-'"0" цикл 24.06'!Q26</f>
        <v>#DIV/0!</v>
      </c>
      <c r="U27" t="e">
        <f>R27-'"0" цикл 24.06'!R26</f>
        <v>#DIV/0!</v>
      </c>
      <c r="V27" t="e">
        <f t="shared" si="11"/>
        <v>#DIV/0!</v>
      </c>
      <c r="W27" t="e">
        <f t="shared" si="12"/>
        <v>#DIV/0!</v>
      </c>
      <c r="X27" t="e">
        <f t="shared" si="13"/>
        <v>#DIV/0!</v>
      </c>
    </row>
    <row r="28" spans="1:24" x14ac:dyDescent="0.45">
      <c r="A28">
        <v>12</v>
      </c>
      <c r="F28">
        <f t="shared" si="0"/>
        <v>0</v>
      </c>
      <c r="G28">
        <f t="shared" si="1"/>
        <v>0</v>
      </c>
      <c r="H28">
        <f t="shared" si="14"/>
        <v>0</v>
      </c>
      <c r="I28">
        <f t="shared" si="14"/>
        <v>0</v>
      </c>
      <c r="J28">
        <f t="shared" si="15"/>
        <v>0</v>
      </c>
      <c r="K28">
        <f t="shared" si="15"/>
        <v>0</v>
      </c>
      <c r="L28">
        <f t="shared" si="16"/>
        <v>0</v>
      </c>
      <c r="M28">
        <f t="shared" si="16"/>
        <v>0</v>
      </c>
      <c r="N28">
        <f t="shared" si="5"/>
        <v>0</v>
      </c>
      <c r="O28" t="e">
        <f t="shared" si="6"/>
        <v>#DIV/0!</v>
      </c>
      <c r="P28" t="e">
        <f t="shared" si="7"/>
        <v>#DIV/0!</v>
      </c>
      <c r="Q28" t="e">
        <f t="shared" si="8"/>
        <v>#DIV/0!</v>
      </c>
      <c r="R28" t="e">
        <f t="shared" si="9"/>
        <v>#DIV/0!</v>
      </c>
      <c r="S28">
        <f t="shared" si="10"/>
        <v>0</v>
      </c>
      <c r="T28" t="e">
        <f>Q28-'"0" цикл 24.06'!Q27</f>
        <v>#DIV/0!</v>
      </c>
      <c r="U28" t="e">
        <f>R28-'"0" цикл 24.06'!R27</f>
        <v>#DIV/0!</v>
      </c>
      <c r="V28" t="e">
        <f t="shared" si="11"/>
        <v>#DIV/0!</v>
      </c>
      <c r="W28" t="e">
        <f t="shared" si="12"/>
        <v>#DIV/0!</v>
      </c>
      <c r="X28" t="e">
        <f t="shared" si="13"/>
        <v>#DIV/0!</v>
      </c>
    </row>
    <row r="29" spans="1:24" x14ac:dyDescent="0.45">
      <c r="A29">
        <v>12.5</v>
      </c>
      <c r="F29">
        <f t="shared" si="0"/>
        <v>0</v>
      </c>
      <c r="G29">
        <f t="shared" si="1"/>
        <v>0</v>
      </c>
      <c r="H29">
        <f t="shared" si="14"/>
        <v>0</v>
      </c>
      <c r="I29">
        <f t="shared" si="14"/>
        <v>0</v>
      </c>
      <c r="J29">
        <f t="shared" si="15"/>
        <v>0</v>
      </c>
      <c r="K29">
        <f t="shared" si="15"/>
        <v>0</v>
      </c>
      <c r="L29">
        <f t="shared" si="16"/>
        <v>0</v>
      </c>
      <c r="M29">
        <f t="shared" si="16"/>
        <v>0</v>
      </c>
      <c r="N29">
        <f t="shared" si="5"/>
        <v>0</v>
      </c>
      <c r="O29" t="e">
        <f t="shared" si="6"/>
        <v>#DIV/0!</v>
      </c>
      <c r="P29" t="e">
        <f t="shared" si="7"/>
        <v>#DIV/0!</v>
      </c>
      <c r="Q29" t="e">
        <f t="shared" si="8"/>
        <v>#DIV/0!</v>
      </c>
      <c r="R29" t="e">
        <f t="shared" si="9"/>
        <v>#DIV/0!</v>
      </c>
      <c r="S29">
        <f t="shared" si="10"/>
        <v>0</v>
      </c>
      <c r="T29" t="e">
        <f>Q29-'"0" цикл 24.06'!Q28</f>
        <v>#DIV/0!</v>
      </c>
      <c r="U29" t="e">
        <f>R29-'"0" цикл 24.06'!R28</f>
        <v>#DIV/0!</v>
      </c>
      <c r="V29" t="e">
        <f t="shared" si="11"/>
        <v>#DIV/0!</v>
      </c>
      <c r="W29" t="e">
        <f t="shared" si="12"/>
        <v>#DIV/0!</v>
      </c>
      <c r="X29" t="e">
        <f t="shared" si="13"/>
        <v>#DIV/0!</v>
      </c>
    </row>
    <row r="30" spans="1:24" x14ac:dyDescent="0.45">
      <c r="A30">
        <v>13</v>
      </c>
      <c r="F30">
        <f t="shared" si="0"/>
        <v>0</v>
      </c>
      <c r="G30">
        <f t="shared" si="1"/>
        <v>0</v>
      </c>
      <c r="H30">
        <f t="shared" si="14"/>
        <v>0</v>
      </c>
      <c r="I30">
        <f t="shared" si="14"/>
        <v>0</v>
      </c>
      <c r="J30">
        <f t="shared" si="15"/>
        <v>0</v>
      </c>
      <c r="K30">
        <f t="shared" si="15"/>
        <v>0</v>
      </c>
      <c r="L30">
        <f t="shared" si="16"/>
        <v>0</v>
      </c>
      <c r="M30">
        <f t="shared" si="16"/>
        <v>0</v>
      </c>
      <c r="N30">
        <f t="shared" si="5"/>
        <v>0</v>
      </c>
      <c r="O30" t="e">
        <f t="shared" si="6"/>
        <v>#DIV/0!</v>
      </c>
      <c r="P30" t="e">
        <f t="shared" si="7"/>
        <v>#DIV/0!</v>
      </c>
      <c r="Q30" t="e">
        <f t="shared" si="8"/>
        <v>#DIV/0!</v>
      </c>
      <c r="R30" t="e">
        <f t="shared" si="9"/>
        <v>#DIV/0!</v>
      </c>
      <c r="S30">
        <f t="shared" si="10"/>
        <v>0</v>
      </c>
      <c r="T30" t="e">
        <f>Q30-'"0" цикл 24.06'!Q29</f>
        <v>#DIV/0!</v>
      </c>
      <c r="U30" t="e">
        <f>R30-'"0" цикл 24.06'!R29</f>
        <v>#DIV/0!</v>
      </c>
      <c r="V30" t="e">
        <f t="shared" si="11"/>
        <v>#DIV/0!</v>
      </c>
      <c r="W30" t="e">
        <f t="shared" si="12"/>
        <v>#DIV/0!</v>
      </c>
      <c r="X30" t="e">
        <f t="shared" si="13"/>
        <v>#DIV/0!</v>
      </c>
    </row>
    <row r="31" spans="1:24" x14ac:dyDescent="0.45">
      <c r="A31">
        <v>13.5</v>
      </c>
      <c r="F31">
        <f t="shared" si="0"/>
        <v>0</v>
      </c>
      <c r="G31">
        <f t="shared" si="1"/>
        <v>0</v>
      </c>
      <c r="H31">
        <f t="shared" si="14"/>
        <v>0</v>
      </c>
      <c r="I31">
        <f t="shared" si="14"/>
        <v>0</v>
      </c>
      <c r="J31">
        <f t="shared" si="15"/>
        <v>0</v>
      </c>
      <c r="K31">
        <f t="shared" si="15"/>
        <v>0</v>
      </c>
      <c r="L31">
        <f t="shared" si="16"/>
        <v>0</v>
      </c>
      <c r="M31">
        <f t="shared" si="16"/>
        <v>0</v>
      </c>
      <c r="N31">
        <f t="shared" si="5"/>
        <v>0</v>
      </c>
      <c r="O31" t="e">
        <f t="shared" si="6"/>
        <v>#DIV/0!</v>
      </c>
      <c r="P31" t="e">
        <f t="shared" si="7"/>
        <v>#DIV/0!</v>
      </c>
      <c r="Q31" t="e">
        <f t="shared" si="8"/>
        <v>#DIV/0!</v>
      </c>
      <c r="R31" t="e">
        <f t="shared" si="9"/>
        <v>#DIV/0!</v>
      </c>
      <c r="S31">
        <f t="shared" si="10"/>
        <v>0</v>
      </c>
      <c r="T31" t="e">
        <f>Q31-'"0" цикл 24.06'!Q30</f>
        <v>#DIV/0!</v>
      </c>
      <c r="U31" t="e">
        <f>R31-'"0" цикл 24.06'!R30</f>
        <v>#DIV/0!</v>
      </c>
      <c r="V31" t="e">
        <f t="shared" si="11"/>
        <v>#DIV/0!</v>
      </c>
      <c r="W31" t="e">
        <f t="shared" si="12"/>
        <v>#DIV/0!</v>
      </c>
      <c r="X31" t="e">
        <f t="shared" si="13"/>
        <v>#DIV/0!</v>
      </c>
    </row>
    <row r="32" spans="1:24" x14ac:dyDescent="0.45">
      <c r="A32">
        <v>14</v>
      </c>
      <c r="F32">
        <f t="shared" si="0"/>
        <v>0</v>
      </c>
      <c r="G32">
        <f t="shared" si="1"/>
        <v>0</v>
      </c>
      <c r="H32">
        <f t="shared" si="14"/>
        <v>0</v>
      </c>
      <c r="I32">
        <f t="shared" si="14"/>
        <v>0</v>
      </c>
      <c r="J32">
        <f t="shared" si="15"/>
        <v>0</v>
      </c>
      <c r="K32">
        <f t="shared" si="15"/>
        <v>0</v>
      </c>
      <c r="L32">
        <f t="shared" si="16"/>
        <v>0</v>
      </c>
      <c r="M32">
        <f t="shared" si="16"/>
        <v>0</v>
      </c>
      <c r="N32">
        <f t="shared" si="5"/>
        <v>0</v>
      </c>
      <c r="O32" t="e">
        <f t="shared" si="6"/>
        <v>#DIV/0!</v>
      </c>
      <c r="P32" t="e">
        <f t="shared" si="7"/>
        <v>#DIV/0!</v>
      </c>
      <c r="Q32" t="e">
        <f t="shared" si="8"/>
        <v>#DIV/0!</v>
      </c>
      <c r="R32" t="e">
        <f t="shared" si="9"/>
        <v>#DIV/0!</v>
      </c>
      <c r="S32">
        <f t="shared" si="10"/>
        <v>0</v>
      </c>
      <c r="T32" t="e">
        <f>Q32-'"0" цикл 24.06'!Q31</f>
        <v>#DIV/0!</v>
      </c>
      <c r="U32" t="e">
        <f>R32-'"0" цикл 24.06'!R31</f>
        <v>#DIV/0!</v>
      </c>
      <c r="V32" t="e">
        <f t="shared" si="11"/>
        <v>#DIV/0!</v>
      </c>
      <c r="W32" t="e">
        <f t="shared" si="12"/>
        <v>#DIV/0!</v>
      </c>
      <c r="X32" t="e">
        <f t="shared" si="13"/>
        <v>#DIV/0!</v>
      </c>
    </row>
    <row r="33" spans="1:24" x14ac:dyDescent="0.45">
      <c r="A33">
        <v>14.5</v>
      </c>
      <c r="F33">
        <f t="shared" si="0"/>
        <v>0</v>
      </c>
      <c r="G33">
        <f t="shared" si="1"/>
        <v>0</v>
      </c>
      <c r="H33">
        <f t="shared" si="14"/>
        <v>0</v>
      </c>
      <c r="I33">
        <f t="shared" si="14"/>
        <v>0</v>
      </c>
      <c r="J33">
        <f t="shared" si="15"/>
        <v>0</v>
      </c>
      <c r="K33">
        <f t="shared" si="15"/>
        <v>0</v>
      </c>
      <c r="L33">
        <f t="shared" si="16"/>
        <v>0</v>
      </c>
      <c r="M33">
        <f t="shared" si="16"/>
        <v>0</v>
      </c>
      <c r="N33">
        <f t="shared" si="5"/>
        <v>0</v>
      </c>
      <c r="O33" t="e">
        <f t="shared" si="6"/>
        <v>#DIV/0!</v>
      </c>
      <c r="P33" t="e">
        <f t="shared" si="7"/>
        <v>#DIV/0!</v>
      </c>
      <c r="Q33" t="e">
        <f t="shared" si="8"/>
        <v>#DIV/0!</v>
      </c>
      <c r="R33" t="e">
        <f t="shared" si="9"/>
        <v>#DIV/0!</v>
      </c>
      <c r="S33">
        <f t="shared" si="10"/>
        <v>0</v>
      </c>
      <c r="T33" t="e">
        <f>Q33-'"0" цикл 24.06'!Q32</f>
        <v>#DIV/0!</v>
      </c>
      <c r="U33" t="e">
        <f>R33-'"0" цикл 24.06'!R32</f>
        <v>#DIV/0!</v>
      </c>
      <c r="V33" t="e">
        <f t="shared" si="11"/>
        <v>#DIV/0!</v>
      </c>
      <c r="W33" t="e">
        <f t="shared" si="12"/>
        <v>#DIV/0!</v>
      </c>
      <c r="X33" t="e">
        <f t="shared" si="13"/>
        <v>#DIV/0!</v>
      </c>
    </row>
    <row r="34" spans="1:24" x14ac:dyDescent="0.45">
      <c r="A34">
        <v>15</v>
      </c>
      <c r="F34">
        <f t="shared" si="0"/>
        <v>0</v>
      </c>
      <c r="G34">
        <f t="shared" si="1"/>
        <v>0</v>
      </c>
      <c r="H34">
        <f t="shared" si="14"/>
        <v>0</v>
      </c>
      <c r="I34">
        <f t="shared" si="14"/>
        <v>0</v>
      </c>
      <c r="J34">
        <f t="shared" si="15"/>
        <v>0</v>
      </c>
      <c r="K34">
        <f t="shared" si="15"/>
        <v>0</v>
      </c>
      <c r="L34">
        <f t="shared" si="16"/>
        <v>0</v>
      </c>
      <c r="M34">
        <f t="shared" si="16"/>
        <v>0</v>
      </c>
      <c r="N34">
        <f t="shared" si="5"/>
        <v>0</v>
      </c>
      <c r="O34" t="e">
        <f t="shared" si="6"/>
        <v>#DIV/0!</v>
      </c>
      <c r="P34" t="e">
        <f t="shared" si="7"/>
        <v>#DIV/0!</v>
      </c>
      <c r="Q34" t="e">
        <f t="shared" si="8"/>
        <v>#DIV/0!</v>
      </c>
      <c r="R34" t="e">
        <f t="shared" si="9"/>
        <v>#DIV/0!</v>
      </c>
      <c r="S34">
        <f t="shared" si="10"/>
        <v>0</v>
      </c>
      <c r="T34" t="e">
        <f>Q34-'"0" цикл 24.06'!Q33</f>
        <v>#DIV/0!</v>
      </c>
      <c r="U34" t="e">
        <f>R34-'"0" цикл 24.06'!R33</f>
        <v>#DIV/0!</v>
      </c>
      <c r="V34" t="e">
        <f t="shared" si="11"/>
        <v>#DIV/0!</v>
      </c>
      <c r="W34" t="e">
        <f t="shared" si="12"/>
        <v>#DIV/0!</v>
      </c>
      <c r="X34" t="e">
        <f t="shared" si="13"/>
        <v>#DIV/0!</v>
      </c>
    </row>
    <row r="35" spans="1:24" x14ac:dyDescent="0.45">
      <c r="A35">
        <v>15.5</v>
      </c>
      <c r="F35">
        <f t="shared" si="0"/>
        <v>0</v>
      </c>
      <c r="G35">
        <f t="shared" si="1"/>
        <v>0</v>
      </c>
      <c r="H35">
        <f t="shared" si="14"/>
        <v>0</v>
      </c>
      <c r="I35">
        <f t="shared" si="14"/>
        <v>0</v>
      </c>
      <c r="J35">
        <f t="shared" si="15"/>
        <v>0</v>
      </c>
      <c r="K35">
        <f t="shared" si="15"/>
        <v>0</v>
      </c>
      <c r="L35">
        <f t="shared" si="16"/>
        <v>0</v>
      </c>
      <c r="M35">
        <f t="shared" si="16"/>
        <v>0</v>
      </c>
      <c r="N35">
        <f t="shared" si="5"/>
        <v>0</v>
      </c>
      <c r="O35" t="e">
        <f t="shared" si="6"/>
        <v>#DIV/0!</v>
      </c>
      <c r="P35" t="e">
        <f t="shared" si="7"/>
        <v>#DIV/0!</v>
      </c>
      <c r="Q35" t="e">
        <f t="shared" si="8"/>
        <v>#DIV/0!</v>
      </c>
      <c r="R35" t="e">
        <f t="shared" si="9"/>
        <v>#DIV/0!</v>
      </c>
      <c r="S35">
        <f t="shared" si="10"/>
        <v>0</v>
      </c>
      <c r="T35" t="e">
        <f>Q35-'"0" цикл 24.06'!Q34</f>
        <v>#DIV/0!</v>
      </c>
      <c r="U35" t="e">
        <f>R35-'"0" цикл 24.06'!R34</f>
        <v>#DIV/0!</v>
      </c>
      <c r="V35" t="e">
        <f t="shared" si="11"/>
        <v>#DIV/0!</v>
      </c>
      <c r="W35" t="e">
        <f t="shared" si="12"/>
        <v>#DIV/0!</v>
      </c>
      <c r="X35" t="e">
        <f t="shared" si="13"/>
        <v>#DIV/0!</v>
      </c>
    </row>
    <row r="36" spans="1:24" x14ac:dyDescent="0.45">
      <c r="A36">
        <v>16</v>
      </c>
      <c r="F36">
        <f t="shared" si="0"/>
        <v>0</v>
      </c>
      <c r="G36">
        <f t="shared" si="1"/>
        <v>0</v>
      </c>
      <c r="H36">
        <f t="shared" si="14"/>
        <v>0</v>
      </c>
      <c r="I36">
        <f t="shared" si="14"/>
        <v>0</v>
      </c>
      <c r="J36">
        <f t="shared" si="15"/>
        <v>0</v>
      </c>
      <c r="K36">
        <f t="shared" si="15"/>
        <v>0</v>
      </c>
      <c r="L36">
        <f t="shared" si="16"/>
        <v>0</v>
      </c>
      <c r="M36">
        <f t="shared" si="16"/>
        <v>0</v>
      </c>
      <c r="N36">
        <f t="shared" si="5"/>
        <v>0</v>
      </c>
      <c r="O36" t="e">
        <f t="shared" si="6"/>
        <v>#DIV/0!</v>
      </c>
      <c r="P36" t="e">
        <f t="shared" si="7"/>
        <v>#DIV/0!</v>
      </c>
      <c r="Q36" t="e">
        <f t="shared" si="8"/>
        <v>#DIV/0!</v>
      </c>
      <c r="R36" t="e">
        <f t="shared" si="9"/>
        <v>#DIV/0!</v>
      </c>
      <c r="S36">
        <f t="shared" si="10"/>
        <v>0</v>
      </c>
      <c r="T36" t="e">
        <f>Q36-'"0" цикл 24.06'!Q35</f>
        <v>#DIV/0!</v>
      </c>
      <c r="U36" t="e">
        <f>R36-'"0" цикл 24.06'!R35</f>
        <v>#DIV/0!</v>
      </c>
      <c r="V36" t="e">
        <f t="shared" si="11"/>
        <v>#DIV/0!</v>
      </c>
      <c r="W36" t="e">
        <f t="shared" si="12"/>
        <v>#DIV/0!</v>
      </c>
      <c r="X36" t="e">
        <f t="shared" si="13"/>
        <v>#DIV/0!</v>
      </c>
    </row>
    <row r="37" spans="1:24" x14ac:dyDescent="0.45">
      <c r="A37">
        <v>16.5</v>
      </c>
      <c r="F37">
        <f t="shared" si="0"/>
        <v>0</v>
      </c>
      <c r="G37">
        <f t="shared" si="1"/>
        <v>0</v>
      </c>
      <c r="H37">
        <f t="shared" si="14"/>
        <v>0</v>
      </c>
      <c r="I37">
        <f t="shared" si="14"/>
        <v>0</v>
      </c>
      <c r="J37">
        <f t="shared" si="15"/>
        <v>0</v>
      </c>
      <c r="K37">
        <f t="shared" si="15"/>
        <v>0</v>
      </c>
      <c r="L37">
        <f t="shared" si="16"/>
        <v>0</v>
      </c>
      <c r="M37">
        <f t="shared" si="16"/>
        <v>0</v>
      </c>
      <c r="N37">
        <f t="shared" si="5"/>
        <v>0</v>
      </c>
      <c r="O37" t="e">
        <f t="shared" si="6"/>
        <v>#DIV/0!</v>
      </c>
      <c r="P37" t="e">
        <f t="shared" si="7"/>
        <v>#DIV/0!</v>
      </c>
      <c r="Q37" t="e">
        <f t="shared" si="8"/>
        <v>#DIV/0!</v>
      </c>
      <c r="R37" t="e">
        <f t="shared" si="9"/>
        <v>#DIV/0!</v>
      </c>
      <c r="S37">
        <f t="shared" si="10"/>
        <v>0</v>
      </c>
      <c r="T37" t="e">
        <f>Q37-'"0" цикл 24.06'!Q36</f>
        <v>#DIV/0!</v>
      </c>
      <c r="U37" t="e">
        <f>R37-'"0" цикл 24.06'!R36</f>
        <v>#DIV/0!</v>
      </c>
      <c r="V37" t="e">
        <f t="shared" si="11"/>
        <v>#DIV/0!</v>
      </c>
      <c r="W37" t="e">
        <f t="shared" si="12"/>
        <v>#DIV/0!</v>
      </c>
      <c r="X37" t="e">
        <f t="shared" si="13"/>
        <v>#DIV/0!</v>
      </c>
    </row>
    <row r="38" spans="1:24" x14ac:dyDescent="0.45">
      <c r="A38">
        <v>17</v>
      </c>
      <c r="F38">
        <f t="shared" si="0"/>
        <v>0</v>
      </c>
      <c r="G38">
        <f t="shared" si="1"/>
        <v>0</v>
      </c>
      <c r="H38">
        <f t="shared" si="14"/>
        <v>0</v>
      </c>
      <c r="I38">
        <f t="shared" si="14"/>
        <v>0</v>
      </c>
      <c r="J38">
        <f t="shared" si="15"/>
        <v>0</v>
      </c>
      <c r="K38">
        <f t="shared" si="15"/>
        <v>0</v>
      </c>
      <c r="L38">
        <f t="shared" si="16"/>
        <v>0</v>
      </c>
      <c r="M38">
        <f t="shared" si="16"/>
        <v>0</v>
      </c>
      <c r="N38">
        <f t="shared" si="5"/>
        <v>0</v>
      </c>
      <c r="O38" t="e">
        <f t="shared" si="6"/>
        <v>#DIV/0!</v>
      </c>
      <c r="P38" t="e">
        <f t="shared" si="7"/>
        <v>#DIV/0!</v>
      </c>
      <c r="Q38" t="e">
        <f t="shared" si="8"/>
        <v>#DIV/0!</v>
      </c>
      <c r="R38" t="e">
        <f t="shared" si="9"/>
        <v>#DIV/0!</v>
      </c>
      <c r="S38">
        <f t="shared" si="10"/>
        <v>0</v>
      </c>
      <c r="T38" t="e">
        <f>Q38-'"0" цикл 24.06'!Q37</f>
        <v>#DIV/0!</v>
      </c>
      <c r="U38" t="e">
        <f>R38-'"0" цикл 24.06'!R37</f>
        <v>#DIV/0!</v>
      </c>
      <c r="V38" t="e">
        <f t="shared" si="11"/>
        <v>#DIV/0!</v>
      </c>
      <c r="W38" t="e">
        <f t="shared" si="12"/>
        <v>#DIV/0!</v>
      </c>
      <c r="X38" t="e">
        <f t="shared" si="13"/>
        <v>#DIV/0!</v>
      </c>
    </row>
    <row r="39" spans="1:24" x14ac:dyDescent="0.45">
      <c r="A39">
        <v>17.5</v>
      </c>
      <c r="F39">
        <f t="shared" si="0"/>
        <v>0</v>
      </c>
      <c r="G39">
        <f t="shared" si="1"/>
        <v>0</v>
      </c>
      <c r="H39">
        <f t="shared" si="14"/>
        <v>0</v>
      </c>
      <c r="I39">
        <f t="shared" si="14"/>
        <v>0</v>
      </c>
      <c r="J39">
        <f t="shared" si="15"/>
        <v>0</v>
      </c>
      <c r="K39">
        <f t="shared" si="15"/>
        <v>0</v>
      </c>
      <c r="L39">
        <f t="shared" si="16"/>
        <v>0</v>
      </c>
      <c r="M39">
        <f t="shared" si="16"/>
        <v>0</v>
      </c>
      <c r="N39">
        <f t="shared" si="5"/>
        <v>0</v>
      </c>
      <c r="O39" t="e">
        <f t="shared" si="6"/>
        <v>#DIV/0!</v>
      </c>
      <c r="P39" t="e">
        <f t="shared" si="7"/>
        <v>#DIV/0!</v>
      </c>
      <c r="Q39" t="e">
        <f t="shared" si="8"/>
        <v>#DIV/0!</v>
      </c>
      <c r="R39" t="e">
        <f t="shared" si="9"/>
        <v>#DIV/0!</v>
      </c>
      <c r="S39">
        <f t="shared" si="10"/>
        <v>0</v>
      </c>
      <c r="T39" t="e">
        <f>Q39-'"0" цикл 24.06'!Q38</f>
        <v>#DIV/0!</v>
      </c>
      <c r="U39" t="e">
        <f>R39-'"0" цикл 24.06'!R38</f>
        <v>#DIV/0!</v>
      </c>
      <c r="V39" t="e">
        <f t="shared" si="11"/>
        <v>#DIV/0!</v>
      </c>
      <c r="W39" t="e">
        <f t="shared" si="12"/>
        <v>#DIV/0!</v>
      </c>
      <c r="X39" t="e">
        <f t="shared" si="13"/>
        <v>#DIV/0!</v>
      </c>
    </row>
    <row r="40" spans="1:24" x14ac:dyDescent="0.45">
      <c r="A40">
        <v>18</v>
      </c>
      <c r="F40">
        <f t="shared" si="0"/>
        <v>0</v>
      </c>
      <c r="G40">
        <f t="shared" si="1"/>
        <v>0</v>
      </c>
      <c r="H40">
        <f t="shared" si="14"/>
        <v>0</v>
      </c>
      <c r="I40">
        <f t="shared" si="14"/>
        <v>0</v>
      </c>
      <c r="J40">
        <f t="shared" si="15"/>
        <v>0</v>
      </c>
      <c r="K40">
        <f t="shared" si="15"/>
        <v>0</v>
      </c>
      <c r="L40">
        <f t="shared" si="16"/>
        <v>0</v>
      </c>
      <c r="M40">
        <f t="shared" si="16"/>
        <v>0</v>
      </c>
      <c r="N40">
        <f t="shared" si="5"/>
        <v>0</v>
      </c>
      <c r="O40" t="e">
        <f t="shared" si="6"/>
        <v>#DIV/0!</v>
      </c>
      <c r="P40" t="e">
        <f t="shared" si="7"/>
        <v>#DIV/0!</v>
      </c>
      <c r="Q40" t="e">
        <f t="shared" si="8"/>
        <v>#DIV/0!</v>
      </c>
      <c r="R40" t="e">
        <f t="shared" si="9"/>
        <v>#DIV/0!</v>
      </c>
      <c r="S40">
        <f t="shared" si="10"/>
        <v>0</v>
      </c>
      <c r="T40" t="e">
        <f>Q40-'"0" цикл 24.06'!Q39</f>
        <v>#DIV/0!</v>
      </c>
      <c r="U40" t="e">
        <f>R40-'"0" цикл 24.06'!R39</f>
        <v>#DIV/0!</v>
      </c>
      <c r="V40" t="e">
        <f t="shared" si="11"/>
        <v>#DIV/0!</v>
      </c>
      <c r="W40" t="e">
        <f t="shared" si="12"/>
        <v>#DIV/0!</v>
      </c>
      <c r="X40" t="e">
        <f t="shared" si="13"/>
        <v>#DIV/0!</v>
      </c>
    </row>
    <row r="41" spans="1:24" x14ac:dyDescent="0.45">
      <c r="A41">
        <v>18.5</v>
      </c>
      <c r="F41">
        <f t="shared" si="0"/>
        <v>0</v>
      </c>
      <c r="G41">
        <f t="shared" si="1"/>
        <v>0</v>
      </c>
      <c r="H41">
        <f t="shared" si="14"/>
        <v>0</v>
      </c>
      <c r="I41">
        <f t="shared" si="14"/>
        <v>0</v>
      </c>
      <c r="J41">
        <f t="shared" si="15"/>
        <v>0</v>
      </c>
      <c r="K41">
        <f t="shared" si="15"/>
        <v>0</v>
      </c>
      <c r="L41">
        <f t="shared" si="16"/>
        <v>0</v>
      </c>
      <c r="M41">
        <f t="shared" si="16"/>
        <v>0</v>
      </c>
      <c r="N41">
        <f t="shared" si="5"/>
        <v>0</v>
      </c>
      <c r="O41" t="e">
        <f t="shared" si="6"/>
        <v>#DIV/0!</v>
      </c>
      <c r="P41" t="e">
        <f t="shared" si="7"/>
        <v>#DIV/0!</v>
      </c>
      <c r="Q41" t="e">
        <f t="shared" si="8"/>
        <v>#DIV/0!</v>
      </c>
      <c r="R41" t="e">
        <f t="shared" si="9"/>
        <v>#DIV/0!</v>
      </c>
      <c r="S41">
        <f t="shared" si="10"/>
        <v>0</v>
      </c>
      <c r="T41" t="e">
        <f>Q41-'"0" цикл 24.06'!Q40</f>
        <v>#DIV/0!</v>
      </c>
      <c r="U41" t="e">
        <f>R41-'"0" цикл 24.06'!R40</f>
        <v>#DIV/0!</v>
      </c>
      <c r="V41" t="e">
        <f t="shared" si="11"/>
        <v>#DIV/0!</v>
      </c>
      <c r="W41" t="e">
        <f t="shared" si="12"/>
        <v>#DIV/0!</v>
      </c>
      <c r="X41" t="e">
        <f t="shared" si="13"/>
        <v>#DIV/0!</v>
      </c>
    </row>
    <row r="42" spans="1:24" x14ac:dyDescent="0.45">
      <c r="A42">
        <v>19</v>
      </c>
      <c r="F42">
        <f t="shared" si="0"/>
        <v>0</v>
      </c>
      <c r="G42">
        <f t="shared" si="1"/>
        <v>0</v>
      </c>
      <c r="H42">
        <f t="shared" si="14"/>
        <v>0</v>
      </c>
      <c r="I42">
        <f t="shared" si="14"/>
        <v>0</v>
      </c>
      <c r="J42">
        <f t="shared" si="15"/>
        <v>0</v>
      </c>
      <c r="K42">
        <f t="shared" si="15"/>
        <v>0</v>
      </c>
      <c r="L42">
        <f t="shared" si="16"/>
        <v>0</v>
      </c>
      <c r="M42">
        <f t="shared" si="16"/>
        <v>0</v>
      </c>
      <c r="N42">
        <f t="shared" si="5"/>
        <v>0</v>
      </c>
      <c r="O42" t="e">
        <f t="shared" si="6"/>
        <v>#DIV/0!</v>
      </c>
      <c r="P42" t="e">
        <f t="shared" si="7"/>
        <v>#DIV/0!</v>
      </c>
      <c r="Q42" t="e">
        <f t="shared" si="8"/>
        <v>#DIV/0!</v>
      </c>
      <c r="R42" t="e">
        <f t="shared" si="9"/>
        <v>#DIV/0!</v>
      </c>
      <c r="S42">
        <f t="shared" si="10"/>
        <v>0</v>
      </c>
      <c r="T42" t="e">
        <f>Q42-'"0" цикл 24.06'!Q41</f>
        <v>#DIV/0!</v>
      </c>
      <c r="U42" t="e">
        <f>R42-'"0" цикл 24.06'!R41</f>
        <v>#DIV/0!</v>
      </c>
      <c r="V42" t="e">
        <f t="shared" si="11"/>
        <v>#DIV/0!</v>
      </c>
      <c r="W42" t="e">
        <f t="shared" si="12"/>
        <v>#DIV/0!</v>
      </c>
      <c r="X42" t="e">
        <f t="shared" si="13"/>
        <v>#DIV/0!</v>
      </c>
    </row>
    <row r="43" spans="1:24" x14ac:dyDescent="0.45">
      <c r="A43">
        <v>19.5</v>
      </c>
      <c r="F43">
        <f t="shared" si="0"/>
        <v>0</v>
      </c>
      <c r="G43">
        <f t="shared" si="1"/>
        <v>0</v>
      </c>
      <c r="H43">
        <f t="shared" si="14"/>
        <v>0</v>
      </c>
      <c r="I43">
        <f t="shared" si="14"/>
        <v>0</v>
      </c>
      <c r="J43">
        <f t="shared" si="15"/>
        <v>0</v>
      </c>
      <c r="K43">
        <f t="shared" si="15"/>
        <v>0</v>
      </c>
      <c r="L43">
        <f t="shared" si="16"/>
        <v>0</v>
      </c>
      <c r="M43">
        <f t="shared" si="16"/>
        <v>0</v>
      </c>
      <c r="N43">
        <f t="shared" si="5"/>
        <v>0</v>
      </c>
      <c r="O43" t="e">
        <f t="shared" si="6"/>
        <v>#DIV/0!</v>
      </c>
      <c r="P43" t="e">
        <f t="shared" si="7"/>
        <v>#DIV/0!</v>
      </c>
      <c r="Q43" t="e">
        <f t="shared" si="8"/>
        <v>#DIV/0!</v>
      </c>
      <c r="R43" t="e">
        <f t="shared" si="9"/>
        <v>#DIV/0!</v>
      </c>
      <c r="S43">
        <f t="shared" si="10"/>
        <v>0</v>
      </c>
      <c r="T43" t="e">
        <f>Q43-'"0" цикл 24.06'!Q42</f>
        <v>#DIV/0!</v>
      </c>
      <c r="U43" t="e">
        <f>R43-'"0" цикл 24.06'!R42</f>
        <v>#DIV/0!</v>
      </c>
      <c r="V43" t="e">
        <f t="shared" si="11"/>
        <v>#DIV/0!</v>
      </c>
      <c r="W43" t="e">
        <f t="shared" si="12"/>
        <v>#DIV/0!</v>
      </c>
      <c r="X43" t="e">
        <f t="shared" si="13"/>
        <v>#DIV/0!</v>
      </c>
    </row>
    <row r="44" spans="1:24" x14ac:dyDescent="0.45">
      <c r="A44">
        <v>20</v>
      </c>
      <c r="F44">
        <f t="shared" si="0"/>
        <v>0</v>
      </c>
      <c r="G44">
        <f t="shared" si="1"/>
        <v>0</v>
      </c>
      <c r="H44">
        <f t="shared" si="14"/>
        <v>0</v>
      </c>
      <c r="I44">
        <f t="shared" si="14"/>
        <v>0</v>
      </c>
      <c r="J44">
        <f t="shared" si="15"/>
        <v>0</v>
      </c>
      <c r="K44">
        <f t="shared" si="15"/>
        <v>0</v>
      </c>
      <c r="L44">
        <f t="shared" si="16"/>
        <v>0</v>
      </c>
      <c r="M44">
        <f t="shared" si="16"/>
        <v>0</v>
      </c>
      <c r="N44">
        <f t="shared" si="5"/>
        <v>0</v>
      </c>
      <c r="O44" t="e">
        <f t="shared" si="6"/>
        <v>#DIV/0!</v>
      </c>
      <c r="P44" t="e">
        <f t="shared" si="7"/>
        <v>#DIV/0!</v>
      </c>
      <c r="Q44" t="e">
        <f t="shared" si="8"/>
        <v>#DIV/0!</v>
      </c>
      <c r="R44" t="e">
        <f t="shared" si="9"/>
        <v>#DIV/0!</v>
      </c>
      <c r="S44">
        <f t="shared" si="10"/>
        <v>0</v>
      </c>
      <c r="T44" t="e">
        <f>Q44-'"0" цикл 24.06'!Q43</f>
        <v>#DIV/0!</v>
      </c>
      <c r="U44" t="e">
        <f>R44-'"0" цикл 24.06'!R43</f>
        <v>#DIV/0!</v>
      </c>
      <c r="V44" t="e">
        <f t="shared" si="11"/>
        <v>#DIV/0!</v>
      </c>
      <c r="W44" t="e">
        <f t="shared" si="12"/>
        <v>#DIV/0!</v>
      </c>
      <c r="X44" t="e">
        <f t="shared" si="13"/>
        <v>#DIV/0!</v>
      </c>
    </row>
    <row r="45" spans="1:24" x14ac:dyDescent="0.45">
      <c r="A45">
        <v>20.5</v>
      </c>
      <c r="F45">
        <f t="shared" si="0"/>
        <v>0</v>
      </c>
      <c r="G45">
        <f t="shared" si="1"/>
        <v>0</v>
      </c>
      <c r="H45">
        <f t="shared" si="14"/>
        <v>0</v>
      </c>
      <c r="I45">
        <f t="shared" si="14"/>
        <v>0</v>
      </c>
      <c r="J45">
        <f t="shared" si="15"/>
        <v>0</v>
      </c>
      <c r="K45">
        <f t="shared" si="15"/>
        <v>0</v>
      </c>
      <c r="L45">
        <f t="shared" si="16"/>
        <v>0</v>
      </c>
      <c r="M45">
        <f t="shared" si="16"/>
        <v>0</v>
      </c>
      <c r="N45">
        <f t="shared" si="5"/>
        <v>0</v>
      </c>
      <c r="O45" t="e">
        <f t="shared" si="6"/>
        <v>#DIV/0!</v>
      </c>
      <c r="P45" t="e">
        <f t="shared" si="7"/>
        <v>#DIV/0!</v>
      </c>
      <c r="Q45" t="e">
        <f t="shared" si="8"/>
        <v>#DIV/0!</v>
      </c>
      <c r="R45" t="e">
        <f t="shared" si="9"/>
        <v>#DIV/0!</v>
      </c>
      <c r="S45">
        <f t="shared" si="10"/>
        <v>0</v>
      </c>
      <c r="T45" t="e">
        <f>Q45-'"0" цикл 24.06'!Q44</f>
        <v>#DIV/0!</v>
      </c>
      <c r="U45" t="e">
        <f>R45-'"0" цикл 24.06'!R44</f>
        <v>#DIV/0!</v>
      </c>
      <c r="V45" t="e">
        <f t="shared" si="11"/>
        <v>#DIV/0!</v>
      </c>
      <c r="W45" t="e">
        <f t="shared" si="12"/>
        <v>#DIV/0!</v>
      </c>
      <c r="X45" t="e">
        <f t="shared" si="13"/>
        <v>#DIV/0!</v>
      </c>
    </row>
    <row r="46" spans="1:24" x14ac:dyDescent="0.45">
      <c r="A46">
        <v>21</v>
      </c>
      <c r="F46">
        <f t="shared" si="0"/>
        <v>0</v>
      </c>
      <c r="G46">
        <f t="shared" si="1"/>
        <v>0</v>
      </c>
      <c r="H46">
        <f t="shared" si="14"/>
        <v>0</v>
      </c>
      <c r="I46">
        <f t="shared" si="14"/>
        <v>0</v>
      </c>
      <c r="J46">
        <f t="shared" si="15"/>
        <v>0</v>
      </c>
      <c r="K46">
        <f t="shared" si="15"/>
        <v>0</v>
      </c>
      <c r="L46">
        <f t="shared" si="16"/>
        <v>0</v>
      </c>
      <c r="M46">
        <f t="shared" si="16"/>
        <v>0</v>
      </c>
      <c r="N46">
        <f t="shared" si="5"/>
        <v>0</v>
      </c>
      <c r="O46" t="e">
        <f t="shared" si="6"/>
        <v>#DIV/0!</v>
      </c>
      <c r="P46" t="e">
        <f t="shared" si="7"/>
        <v>#DIV/0!</v>
      </c>
      <c r="Q46" t="e">
        <f t="shared" si="8"/>
        <v>#DIV/0!</v>
      </c>
      <c r="R46" t="e">
        <f t="shared" si="9"/>
        <v>#DIV/0!</v>
      </c>
      <c r="S46">
        <f t="shared" si="10"/>
        <v>0</v>
      </c>
      <c r="T46" t="e">
        <f>Q46-'"0" цикл 24.06'!Q45</f>
        <v>#DIV/0!</v>
      </c>
      <c r="U46" t="e">
        <f>R46-'"0" цикл 24.06'!R45</f>
        <v>#DIV/0!</v>
      </c>
      <c r="V46" t="e">
        <f t="shared" si="11"/>
        <v>#DIV/0!</v>
      </c>
      <c r="W46" t="e">
        <f t="shared" si="12"/>
        <v>#DIV/0!</v>
      </c>
      <c r="X46" t="e">
        <f t="shared" si="13"/>
        <v>#DIV/0!</v>
      </c>
    </row>
    <row r="47" spans="1:24" x14ac:dyDescent="0.45">
      <c r="A47">
        <v>21.5</v>
      </c>
      <c r="F47">
        <f t="shared" si="0"/>
        <v>0</v>
      </c>
      <c r="G47">
        <f t="shared" si="1"/>
        <v>0</v>
      </c>
      <c r="H47">
        <f t="shared" si="14"/>
        <v>0</v>
      </c>
      <c r="I47">
        <f t="shared" si="14"/>
        <v>0</v>
      </c>
      <c r="J47">
        <f t="shared" si="15"/>
        <v>0</v>
      </c>
      <c r="K47">
        <f t="shared" si="15"/>
        <v>0</v>
      </c>
      <c r="L47">
        <f t="shared" si="16"/>
        <v>0</v>
      </c>
      <c r="M47">
        <f t="shared" si="16"/>
        <v>0</v>
      </c>
      <c r="N47">
        <f t="shared" si="5"/>
        <v>0</v>
      </c>
      <c r="O47" t="e">
        <f t="shared" si="6"/>
        <v>#DIV/0!</v>
      </c>
      <c r="P47" t="e">
        <f t="shared" si="7"/>
        <v>#DIV/0!</v>
      </c>
      <c r="Q47" t="e">
        <f t="shared" si="8"/>
        <v>#DIV/0!</v>
      </c>
      <c r="R47" t="e">
        <f t="shared" si="9"/>
        <v>#DIV/0!</v>
      </c>
      <c r="S47">
        <f t="shared" si="10"/>
        <v>0</v>
      </c>
      <c r="T47" t="e">
        <f>Q47-'"0" цикл 24.06'!Q46</f>
        <v>#DIV/0!</v>
      </c>
      <c r="U47" t="e">
        <f>R47-'"0" цикл 24.06'!R46</f>
        <v>#DIV/0!</v>
      </c>
      <c r="V47" t="e">
        <f t="shared" si="11"/>
        <v>#DIV/0!</v>
      </c>
      <c r="W47" t="e">
        <f t="shared" si="12"/>
        <v>#DIV/0!</v>
      </c>
      <c r="X47" t="e">
        <f t="shared" si="13"/>
        <v>#DIV/0!</v>
      </c>
    </row>
    <row r="48" spans="1:24" x14ac:dyDescent="0.45">
      <c r="A48">
        <v>22</v>
      </c>
      <c r="F48">
        <f t="shared" si="0"/>
        <v>0</v>
      </c>
      <c r="G48">
        <f t="shared" si="1"/>
        <v>0</v>
      </c>
      <c r="H48">
        <f t="shared" si="14"/>
        <v>0</v>
      </c>
      <c r="I48">
        <f t="shared" si="14"/>
        <v>0</v>
      </c>
      <c r="J48">
        <f t="shared" si="15"/>
        <v>0</v>
      </c>
      <c r="K48">
        <f t="shared" si="15"/>
        <v>0</v>
      </c>
      <c r="L48">
        <f t="shared" si="16"/>
        <v>0</v>
      </c>
      <c r="M48">
        <f t="shared" si="16"/>
        <v>0</v>
      </c>
      <c r="N48">
        <f t="shared" si="5"/>
        <v>0</v>
      </c>
      <c r="O48" t="e">
        <f t="shared" si="6"/>
        <v>#DIV/0!</v>
      </c>
      <c r="P48" t="e">
        <f t="shared" si="7"/>
        <v>#DIV/0!</v>
      </c>
      <c r="Q48" t="e">
        <f t="shared" si="8"/>
        <v>#DIV/0!</v>
      </c>
      <c r="R48" t="e">
        <f t="shared" si="9"/>
        <v>#DIV/0!</v>
      </c>
      <c r="S48">
        <f t="shared" si="10"/>
        <v>0</v>
      </c>
      <c r="T48" t="e">
        <f>Q48-'"0" цикл 24.06'!Q47</f>
        <v>#DIV/0!</v>
      </c>
      <c r="U48" t="e">
        <f>R48-'"0" цикл 24.06'!R47</f>
        <v>#DIV/0!</v>
      </c>
      <c r="V48" t="e">
        <f t="shared" si="11"/>
        <v>#DIV/0!</v>
      </c>
      <c r="W48" t="e">
        <f t="shared" si="12"/>
        <v>#DIV/0!</v>
      </c>
      <c r="X48" t="e">
        <f t="shared" si="13"/>
        <v>#DIV/0!</v>
      </c>
    </row>
    <row r="49" spans="1:24" x14ac:dyDescent="0.45">
      <c r="A49">
        <v>22.5</v>
      </c>
      <c r="F49">
        <f t="shared" si="0"/>
        <v>0</v>
      </c>
      <c r="G49">
        <f t="shared" si="1"/>
        <v>0</v>
      </c>
      <c r="H49">
        <f t="shared" si="14"/>
        <v>0</v>
      </c>
      <c r="I49">
        <f t="shared" si="14"/>
        <v>0</v>
      </c>
      <c r="J49">
        <f t="shared" si="15"/>
        <v>0</v>
      </c>
      <c r="K49">
        <f t="shared" si="15"/>
        <v>0</v>
      </c>
      <c r="L49">
        <f t="shared" si="16"/>
        <v>0</v>
      </c>
      <c r="M49">
        <f t="shared" si="16"/>
        <v>0</v>
      </c>
      <c r="N49">
        <f t="shared" si="5"/>
        <v>0</v>
      </c>
      <c r="O49" t="e">
        <f t="shared" si="6"/>
        <v>#DIV/0!</v>
      </c>
      <c r="P49" t="e">
        <f t="shared" si="7"/>
        <v>#DIV/0!</v>
      </c>
      <c r="Q49" t="e">
        <f t="shared" si="8"/>
        <v>#DIV/0!</v>
      </c>
      <c r="R49" t="e">
        <f t="shared" si="9"/>
        <v>#DIV/0!</v>
      </c>
      <c r="S49">
        <f t="shared" si="10"/>
        <v>0</v>
      </c>
      <c r="T49" t="e">
        <f>Q49-'"0" цикл 24.06'!Q48</f>
        <v>#DIV/0!</v>
      </c>
      <c r="U49" t="e">
        <f>R49-'"0" цикл 24.06'!R48</f>
        <v>#DIV/0!</v>
      </c>
      <c r="V49" t="e">
        <f t="shared" si="11"/>
        <v>#DIV/0!</v>
      </c>
      <c r="W49" t="e">
        <f t="shared" si="12"/>
        <v>#DIV/0!</v>
      </c>
      <c r="X49" t="e">
        <f t="shared" si="13"/>
        <v>#DIV/0!</v>
      </c>
    </row>
    <row r="50" spans="1:24" x14ac:dyDescent="0.45">
      <c r="A50">
        <v>23</v>
      </c>
      <c r="F50">
        <f t="shared" si="0"/>
        <v>0</v>
      </c>
      <c r="G50">
        <f t="shared" si="1"/>
        <v>0</v>
      </c>
      <c r="H50">
        <f t="shared" si="14"/>
        <v>0</v>
      </c>
      <c r="I50">
        <f t="shared" si="14"/>
        <v>0</v>
      </c>
      <c r="J50">
        <f t="shared" si="15"/>
        <v>0</v>
      </c>
      <c r="K50">
        <f t="shared" si="15"/>
        <v>0</v>
      </c>
      <c r="L50">
        <f t="shared" si="16"/>
        <v>0</v>
      </c>
      <c r="M50">
        <f t="shared" si="16"/>
        <v>0</v>
      </c>
      <c r="N50">
        <f t="shared" si="5"/>
        <v>0</v>
      </c>
      <c r="O50" t="e">
        <f t="shared" si="6"/>
        <v>#DIV/0!</v>
      </c>
      <c r="P50" t="e">
        <f t="shared" si="7"/>
        <v>#DIV/0!</v>
      </c>
      <c r="Q50" t="e">
        <f t="shared" si="8"/>
        <v>#DIV/0!</v>
      </c>
      <c r="R50" t="e">
        <f t="shared" si="9"/>
        <v>#DIV/0!</v>
      </c>
      <c r="S50">
        <f t="shared" si="10"/>
        <v>0</v>
      </c>
      <c r="T50" t="e">
        <f>Q50-'"0" цикл 24.06'!Q49</f>
        <v>#DIV/0!</v>
      </c>
      <c r="U50" t="e">
        <f>R50-'"0" цикл 24.06'!R49</f>
        <v>#DIV/0!</v>
      </c>
      <c r="V50" t="e">
        <f t="shared" si="11"/>
        <v>#DIV/0!</v>
      </c>
      <c r="W50" t="e">
        <f t="shared" si="12"/>
        <v>#DIV/0!</v>
      </c>
      <c r="X50" t="e">
        <f t="shared" si="13"/>
        <v>#DIV/0!</v>
      </c>
    </row>
    <row r="51" spans="1:24" x14ac:dyDescent="0.45">
      <c r="A51">
        <v>23.5</v>
      </c>
      <c r="F51">
        <f t="shared" si="0"/>
        <v>0</v>
      </c>
      <c r="G51">
        <f t="shared" si="1"/>
        <v>0</v>
      </c>
      <c r="H51">
        <f t="shared" si="14"/>
        <v>0</v>
      </c>
      <c r="I51">
        <f t="shared" si="14"/>
        <v>0</v>
      </c>
      <c r="J51">
        <f t="shared" si="15"/>
        <v>0</v>
      </c>
      <c r="K51">
        <f t="shared" si="15"/>
        <v>0</v>
      </c>
      <c r="L51">
        <f t="shared" si="16"/>
        <v>0</v>
      </c>
      <c r="M51">
        <f t="shared" si="16"/>
        <v>0</v>
      </c>
      <c r="N51">
        <f t="shared" si="5"/>
        <v>0</v>
      </c>
      <c r="O51" t="e">
        <f t="shared" si="6"/>
        <v>#DIV/0!</v>
      </c>
      <c r="P51" t="e">
        <f t="shared" si="7"/>
        <v>#DIV/0!</v>
      </c>
      <c r="Q51" t="e">
        <f t="shared" si="8"/>
        <v>#DIV/0!</v>
      </c>
      <c r="R51" t="e">
        <f t="shared" si="9"/>
        <v>#DIV/0!</v>
      </c>
      <c r="S51">
        <f t="shared" si="10"/>
        <v>0</v>
      </c>
      <c r="T51" t="e">
        <f>Q51-'"0" цикл 24.06'!Q50</f>
        <v>#DIV/0!</v>
      </c>
      <c r="U51" t="e">
        <f>R51-'"0" цикл 24.06'!R50</f>
        <v>#DIV/0!</v>
      </c>
      <c r="V51" t="e">
        <f t="shared" si="11"/>
        <v>#DIV/0!</v>
      </c>
      <c r="W51" t="e">
        <f t="shared" si="12"/>
        <v>#DIV/0!</v>
      </c>
      <c r="X51" t="e">
        <f t="shared" si="13"/>
        <v>#DIV/0!</v>
      </c>
    </row>
    <row r="52" spans="1:24" x14ac:dyDescent="0.45">
      <c r="A52">
        <v>24</v>
      </c>
      <c r="F52">
        <f t="shared" si="0"/>
        <v>0</v>
      </c>
      <c r="G52">
        <f t="shared" si="1"/>
        <v>0</v>
      </c>
      <c r="H52">
        <f t="shared" si="14"/>
        <v>0</v>
      </c>
      <c r="I52">
        <f t="shared" si="14"/>
        <v>0</v>
      </c>
      <c r="J52">
        <f t="shared" si="15"/>
        <v>0</v>
      </c>
      <c r="K52">
        <f t="shared" si="15"/>
        <v>0</v>
      </c>
      <c r="L52">
        <f t="shared" si="16"/>
        <v>0</v>
      </c>
      <c r="M52">
        <f t="shared" si="16"/>
        <v>0</v>
      </c>
      <c r="N52">
        <f t="shared" si="5"/>
        <v>0</v>
      </c>
      <c r="O52" t="e">
        <f t="shared" si="6"/>
        <v>#DIV/0!</v>
      </c>
      <c r="P52" t="e">
        <f t="shared" si="7"/>
        <v>#DIV/0!</v>
      </c>
      <c r="Q52" t="e">
        <f t="shared" si="8"/>
        <v>#DIV/0!</v>
      </c>
      <c r="R52" t="e">
        <f t="shared" si="9"/>
        <v>#DIV/0!</v>
      </c>
      <c r="S52">
        <f t="shared" si="10"/>
        <v>0</v>
      </c>
      <c r="T52" t="e">
        <f>Q52-'"0" цикл 24.06'!Q51</f>
        <v>#DIV/0!</v>
      </c>
      <c r="U52" t="e">
        <f>R52-'"0" цикл 24.06'!R51</f>
        <v>#DIV/0!</v>
      </c>
      <c r="V52" t="e">
        <f t="shared" si="11"/>
        <v>#DIV/0!</v>
      </c>
      <c r="W52" t="e">
        <f t="shared" si="12"/>
        <v>#DIV/0!</v>
      </c>
      <c r="X52" t="e">
        <f t="shared" si="13"/>
        <v>#DIV/0!</v>
      </c>
    </row>
    <row r="53" spans="1:24" x14ac:dyDescent="0.45">
      <c r="A53">
        <v>24.5</v>
      </c>
      <c r="F53">
        <f t="shared" si="0"/>
        <v>0</v>
      </c>
      <c r="G53">
        <f t="shared" si="1"/>
        <v>0</v>
      </c>
      <c r="H53">
        <f t="shared" ref="H53:I54" si="17">ASIN(F53/20000)</f>
        <v>0</v>
      </c>
      <c r="I53">
        <f t="shared" si="17"/>
        <v>0</v>
      </c>
      <c r="J53">
        <f t="shared" ref="J53:K54" si="18">0.5*SIN(H53)</f>
        <v>0</v>
      </c>
      <c r="K53">
        <f t="shared" si="18"/>
        <v>0</v>
      </c>
      <c r="L53">
        <f t="shared" ref="L53:M54" si="19">J54+L54</f>
        <v>0</v>
      </c>
      <c r="M53">
        <f t="shared" si="19"/>
        <v>0</v>
      </c>
      <c r="N53">
        <f t="shared" si="5"/>
        <v>0</v>
      </c>
      <c r="O53" t="e">
        <f t="shared" si="6"/>
        <v>#DIV/0!</v>
      </c>
      <c r="P53" t="e">
        <f t="shared" si="7"/>
        <v>#DIV/0!</v>
      </c>
      <c r="Q53" t="e">
        <f t="shared" si="8"/>
        <v>#DIV/0!</v>
      </c>
      <c r="R53" t="e">
        <f t="shared" si="9"/>
        <v>#DIV/0!</v>
      </c>
      <c r="S53">
        <f t="shared" si="10"/>
        <v>0</v>
      </c>
      <c r="T53" t="e">
        <f>Q53-'"0" цикл 24.06'!Q52</f>
        <v>#DIV/0!</v>
      </c>
      <c r="U53" t="e">
        <f>R53-'"0" цикл 24.06'!R52</f>
        <v>#DIV/0!</v>
      </c>
      <c r="V53" t="e">
        <f t="shared" si="11"/>
        <v>#DIV/0!</v>
      </c>
      <c r="W53" t="e">
        <f t="shared" si="12"/>
        <v>#DIV/0!</v>
      </c>
      <c r="X53" t="e">
        <f t="shared" si="13"/>
        <v>#DIV/0!</v>
      </c>
    </row>
    <row r="54" spans="1:24" x14ac:dyDescent="0.45">
      <c r="A54">
        <v>25</v>
      </c>
      <c r="F54">
        <f t="shared" si="0"/>
        <v>0</v>
      </c>
      <c r="G54">
        <f t="shared" si="1"/>
        <v>0</v>
      </c>
      <c r="H54">
        <f t="shared" si="17"/>
        <v>0</v>
      </c>
      <c r="I54">
        <f t="shared" si="17"/>
        <v>0</v>
      </c>
      <c r="J54">
        <f t="shared" si="18"/>
        <v>0</v>
      </c>
      <c r="K54">
        <f t="shared" si="18"/>
        <v>0</v>
      </c>
      <c r="L54">
        <f t="shared" si="19"/>
        <v>0</v>
      </c>
      <c r="M54">
        <f t="shared" si="19"/>
        <v>0</v>
      </c>
      <c r="N54">
        <f t="shared" si="5"/>
        <v>0</v>
      </c>
      <c r="O54">
        <v>0</v>
      </c>
      <c r="P54">
        <v>0</v>
      </c>
      <c r="Q54">
        <f t="shared" si="8"/>
        <v>0</v>
      </c>
      <c r="R54">
        <f t="shared" si="9"/>
        <v>0</v>
      </c>
      <c r="S54">
        <f t="shared" si="10"/>
        <v>0</v>
      </c>
      <c r="T54">
        <f>Q54-'"0" цикл 24.06'!Q53</f>
        <v>-609.23571912388809</v>
      </c>
      <c r="U54">
        <f>R54-'"0" цикл 24.06'!R53</f>
        <v>-915.46942750717574</v>
      </c>
      <c r="V54">
        <f t="shared" si="11"/>
        <v>1099.660144843268</v>
      </c>
      <c r="W54">
        <f t="shared" si="12"/>
        <v>236.35663315793096</v>
      </c>
      <c r="X54">
        <f t="shared" si="13"/>
        <v>236.35663315793096</v>
      </c>
    </row>
  </sheetData>
  <mergeCells count="1">
    <mergeCell ref="B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4"/>
  <sheetViews>
    <sheetView topLeftCell="A15" zoomScale="70" zoomScaleNormal="70" workbookViewId="0">
      <selection activeCell="B2" sqref="B2:E53"/>
    </sheetView>
  </sheetViews>
  <sheetFormatPr defaultRowHeight="14.25" x14ac:dyDescent="0.45"/>
  <cols>
    <col min="1" max="1" width="9" style="6" customWidth="1"/>
    <col min="8" max="8" width="8.86328125" style="5"/>
    <col min="11" max="11" width="25.73046875" customWidth="1"/>
    <col min="12" max="12" width="9.1328125" style="6"/>
  </cols>
  <sheetData>
    <row r="1" spans="1:14" x14ac:dyDescent="0.45">
      <c r="A1" s="6" t="s">
        <v>92</v>
      </c>
      <c r="B1">
        <v>5556</v>
      </c>
      <c r="C1">
        <v>-12381</v>
      </c>
      <c r="D1">
        <v>11531</v>
      </c>
      <c r="E1">
        <v>729</v>
      </c>
      <c r="F1" s="5"/>
      <c r="G1" s="5"/>
      <c r="I1" s="5"/>
      <c r="K1" t="s">
        <v>79</v>
      </c>
      <c r="M1" s="58" t="s">
        <v>89</v>
      </c>
      <c r="N1" s="58"/>
    </row>
    <row r="2" spans="1:14" x14ac:dyDescent="0.45">
      <c r="A2" s="6" t="s">
        <v>78</v>
      </c>
      <c r="B2">
        <v>-293</v>
      </c>
      <c r="C2">
        <v>280</v>
      </c>
      <c r="D2">
        <v>-8</v>
      </c>
      <c r="E2">
        <v>9</v>
      </c>
      <c r="F2" s="5"/>
      <c r="G2" s="5"/>
      <c r="I2" s="5"/>
      <c r="K2" t="s">
        <v>80</v>
      </c>
      <c r="M2">
        <v>-45</v>
      </c>
      <c r="N2">
        <v>15</v>
      </c>
    </row>
    <row r="3" spans="1:14" x14ac:dyDescent="0.45">
      <c r="A3" s="6" t="s">
        <v>67</v>
      </c>
      <c r="B3">
        <v>-281</v>
      </c>
      <c r="C3">
        <v>274</v>
      </c>
      <c r="D3">
        <v>3</v>
      </c>
      <c r="E3">
        <v>1</v>
      </c>
      <c r="F3" s="5"/>
      <c r="G3" s="5"/>
      <c r="I3" s="5"/>
      <c r="K3" t="s">
        <v>81</v>
      </c>
      <c r="M3">
        <v>-35</v>
      </c>
      <c r="N3">
        <v>35</v>
      </c>
    </row>
    <row r="4" spans="1:14" x14ac:dyDescent="0.45">
      <c r="A4" s="6" t="s">
        <v>66</v>
      </c>
      <c r="B4">
        <v>-224</v>
      </c>
      <c r="C4">
        <v>219</v>
      </c>
      <c r="D4">
        <v>-2</v>
      </c>
      <c r="E4">
        <v>9</v>
      </c>
      <c r="F4" s="5"/>
      <c r="G4" s="5"/>
      <c r="I4" s="5"/>
      <c r="K4" t="s">
        <v>82</v>
      </c>
      <c r="M4">
        <v>0</v>
      </c>
      <c r="N4">
        <v>8</v>
      </c>
    </row>
    <row r="5" spans="1:14" x14ac:dyDescent="0.45">
      <c r="A5" s="6" t="s">
        <v>65</v>
      </c>
      <c r="B5">
        <v>-130</v>
      </c>
      <c r="C5">
        <v>140</v>
      </c>
      <c r="D5">
        <v>-21</v>
      </c>
      <c r="E5">
        <v>29</v>
      </c>
      <c r="F5" s="5"/>
      <c r="G5" s="5"/>
      <c r="I5" s="5"/>
      <c r="K5" t="s">
        <v>83</v>
      </c>
      <c r="M5">
        <v>0</v>
      </c>
      <c r="N5">
        <v>360</v>
      </c>
    </row>
    <row r="6" spans="1:14" x14ac:dyDescent="0.45">
      <c r="A6" s="6" t="s">
        <v>64</v>
      </c>
      <c r="B6">
        <v>-34</v>
      </c>
      <c r="C6">
        <v>18</v>
      </c>
      <c r="D6">
        <v>-119</v>
      </c>
      <c r="E6">
        <v>130</v>
      </c>
      <c r="F6" s="5"/>
      <c r="G6" s="5"/>
      <c r="I6" s="5"/>
    </row>
    <row r="7" spans="1:14" x14ac:dyDescent="0.45">
      <c r="A7" s="6" t="s">
        <v>63</v>
      </c>
      <c r="B7">
        <v>-24</v>
      </c>
      <c r="C7">
        <v>30</v>
      </c>
      <c r="D7">
        <v>-212</v>
      </c>
      <c r="E7">
        <v>218</v>
      </c>
      <c r="F7" s="5"/>
      <c r="G7" s="5"/>
      <c r="I7" s="5"/>
      <c r="K7" t="s">
        <v>90</v>
      </c>
      <c r="L7" s="6" t="s">
        <v>91</v>
      </c>
      <c r="M7" t="s">
        <v>2</v>
      </c>
    </row>
    <row r="8" spans="1:14" x14ac:dyDescent="0.45">
      <c r="A8" s="6" t="s">
        <v>62</v>
      </c>
      <c r="B8">
        <v>18</v>
      </c>
      <c r="C8">
        <v>-13</v>
      </c>
      <c r="D8">
        <v>-267</v>
      </c>
      <c r="E8">
        <v>274</v>
      </c>
      <c r="F8" s="5"/>
      <c r="G8" s="5"/>
      <c r="I8" s="5"/>
      <c r="K8" t="s">
        <v>84</v>
      </c>
      <c r="L8" s="6">
        <v>282.5</v>
      </c>
      <c r="M8">
        <f>$L$8-L8</f>
        <v>0</v>
      </c>
      <c r="N8">
        <f t="shared" ref="N8" si="0">M8</f>
        <v>0</v>
      </c>
    </row>
    <row r="9" spans="1:14" x14ac:dyDescent="0.45">
      <c r="A9" s="6" t="s">
        <v>61</v>
      </c>
      <c r="B9">
        <v>69</v>
      </c>
      <c r="C9">
        <v>-69</v>
      </c>
      <c r="D9">
        <v>-279</v>
      </c>
      <c r="E9">
        <v>290</v>
      </c>
      <c r="F9" s="5"/>
      <c r="G9" s="5"/>
      <c r="I9" s="5"/>
      <c r="K9" t="s">
        <v>85</v>
      </c>
      <c r="L9" s="6">
        <v>280</v>
      </c>
      <c r="M9">
        <f>$L$8-L9</f>
        <v>2.5</v>
      </c>
      <c r="N9">
        <f t="shared" ref="N9" si="1">M9</f>
        <v>2.5</v>
      </c>
    </row>
    <row r="10" spans="1:14" x14ac:dyDescent="0.45">
      <c r="A10" s="6" t="s">
        <v>60</v>
      </c>
      <c r="B10">
        <v>107</v>
      </c>
      <c r="C10">
        <v>-111</v>
      </c>
      <c r="D10">
        <v>-294</v>
      </c>
      <c r="E10">
        <v>302</v>
      </c>
      <c r="F10" s="5"/>
      <c r="G10" s="5"/>
      <c r="I10" s="5"/>
      <c r="K10" t="s">
        <v>88</v>
      </c>
      <c r="L10" s="6">
        <v>272</v>
      </c>
      <c r="M10">
        <f>$L$8-L10</f>
        <v>10.5</v>
      </c>
      <c r="N10">
        <f>M10</f>
        <v>10.5</v>
      </c>
    </row>
    <row r="11" spans="1:14" x14ac:dyDescent="0.45">
      <c r="A11" s="6" t="s">
        <v>59</v>
      </c>
      <c r="B11">
        <v>184</v>
      </c>
      <c r="C11">
        <v>-185</v>
      </c>
      <c r="D11">
        <v>-311</v>
      </c>
      <c r="E11">
        <v>319</v>
      </c>
      <c r="F11" s="5"/>
      <c r="G11" s="5"/>
      <c r="I11" s="5"/>
      <c r="K11" t="s">
        <v>86</v>
      </c>
      <c r="L11" s="6">
        <v>269</v>
      </c>
      <c r="M11">
        <f>$L$8-L11</f>
        <v>13.5</v>
      </c>
      <c r="N11">
        <f>M11</f>
        <v>13.5</v>
      </c>
    </row>
    <row r="12" spans="1:14" x14ac:dyDescent="0.45">
      <c r="A12" s="6" t="s">
        <v>58</v>
      </c>
      <c r="B12">
        <v>232</v>
      </c>
      <c r="C12">
        <v>-238</v>
      </c>
      <c r="D12">
        <v>-283</v>
      </c>
      <c r="E12">
        <v>293</v>
      </c>
      <c r="F12" s="5"/>
      <c r="G12" s="5"/>
      <c r="I12" s="5"/>
      <c r="K12" t="s">
        <v>87</v>
      </c>
      <c r="L12" s="6">
        <v>263</v>
      </c>
      <c r="M12">
        <f>$L$8-L12</f>
        <v>19.5</v>
      </c>
      <c r="N12">
        <f>M12</f>
        <v>19.5</v>
      </c>
    </row>
    <row r="13" spans="1:14" x14ac:dyDescent="0.45">
      <c r="A13" s="6" t="s">
        <v>57</v>
      </c>
      <c r="B13">
        <v>203</v>
      </c>
      <c r="C13">
        <v>-198</v>
      </c>
      <c r="D13">
        <v>-242</v>
      </c>
      <c r="E13">
        <v>249</v>
      </c>
      <c r="F13" s="5"/>
      <c r="G13" s="5"/>
      <c r="I13" s="5"/>
    </row>
    <row r="14" spans="1:14" x14ac:dyDescent="0.45">
      <c r="A14" s="6" t="s">
        <v>56</v>
      </c>
      <c r="B14">
        <v>150</v>
      </c>
      <c r="C14">
        <v>-152</v>
      </c>
      <c r="D14">
        <v>-178</v>
      </c>
      <c r="E14">
        <v>187</v>
      </c>
      <c r="F14" s="5"/>
      <c r="G14" s="5"/>
      <c r="I14" s="5"/>
    </row>
    <row r="15" spans="1:14" x14ac:dyDescent="0.45">
      <c r="A15" s="6" t="s">
        <v>55</v>
      </c>
      <c r="B15">
        <v>159</v>
      </c>
      <c r="C15">
        <v>-160</v>
      </c>
      <c r="D15">
        <v>-128</v>
      </c>
      <c r="E15">
        <v>135</v>
      </c>
      <c r="F15" s="5"/>
      <c r="G15" s="5"/>
      <c r="I15" s="5"/>
    </row>
    <row r="16" spans="1:14" x14ac:dyDescent="0.45">
      <c r="A16" s="6" t="s">
        <v>54</v>
      </c>
      <c r="B16">
        <v>174</v>
      </c>
      <c r="C16">
        <v>-175</v>
      </c>
      <c r="D16">
        <v>-106</v>
      </c>
      <c r="E16">
        <v>113</v>
      </c>
      <c r="F16" s="5"/>
      <c r="G16" s="5"/>
      <c r="I16" s="5"/>
    </row>
    <row r="17" spans="1:9" x14ac:dyDescent="0.45">
      <c r="A17" s="6" t="s">
        <v>53</v>
      </c>
      <c r="B17">
        <v>167</v>
      </c>
      <c r="C17">
        <v>-172</v>
      </c>
      <c r="D17">
        <v>-111</v>
      </c>
      <c r="E17">
        <v>94</v>
      </c>
      <c r="F17" s="5"/>
      <c r="G17" s="5"/>
      <c r="I17" s="5"/>
    </row>
    <row r="18" spans="1:9" x14ac:dyDescent="0.45">
      <c r="A18" s="6" t="s">
        <v>52</v>
      </c>
      <c r="B18">
        <v>313</v>
      </c>
      <c r="C18">
        <v>-310</v>
      </c>
      <c r="D18">
        <v>-217</v>
      </c>
      <c r="E18">
        <v>243</v>
      </c>
      <c r="F18" s="5"/>
      <c r="G18" s="5"/>
      <c r="I18" s="5"/>
    </row>
    <row r="19" spans="1:9" x14ac:dyDescent="0.45">
      <c r="A19" s="6" t="s">
        <v>51</v>
      </c>
      <c r="B19">
        <v>221</v>
      </c>
      <c r="C19">
        <v>-221</v>
      </c>
      <c r="D19">
        <v>-217</v>
      </c>
      <c r="E19">
        <v>223</v>
      </c>
      <c r="F19" s="5"/>
      <c r="G19" s="5"/>
      <c r="I19" s="5"/>
    </row>
    <row r="20" spans="1:9" x14ac:dyDescent="0.45">
      <c r="A20" s="6" t="s">
        <v>50</v>
      </c>
      <c r="B20">
        <v>88</v>
      </c>
      <c r="C20">
        <v>-87</v>
      </c>
      <c r="D20">
        <v>-185</v>
      </c>
      <c r="E20">
        <v>193</v>
      </c>
      <c r="F20" s="5"/>
      <c r="G20" s="5"/>
      <c r="I20" s="5"/>
    </row>
    <row r="21" spans="1:9" x14ac:dyDescent="0.45">
      <c r="A21" s="6" t="s">
        <v>49</v>
      </c>
      <c r="B21">
        <v>-60</v>
      </c>
      <c r="C21">
        <v>49</v>
      </c>
      <c r="D21">
        <v>-175</v>
      </c>
      <c r="E21">
        <v>182</v>
      </c>
      <c r="F21" s="5"/>
      <c r="G21" s="5"/>
      <c r="I21" s="5"/>
    </row>
    <row r="22" spans="1:9" x14ac:dyDescent="0.45">
      <c r="A22" s="6" t="s">
        <v>48</v>
      </c>
      <c r="B22">
        <v>-191</v>
      </c>
      <c r="C22">
        <v>191</v>
      </c>
      <c r="D22">
        <v>-162</v>
      </c>
      <c r="E22">
        <v>167</v>
      </c>
      <c r="F22" s="5"/>
      <c r="G22" s="5"/>
      <c r="I22" s="5"/>
    </row>
    <row r="23" spans="1:9" x14ac:dyDescent="0.45">
      <c r="A23" s="6" t="s">
        <v>47</v>
      </c>
      <c r="B23">
        <v>-288</v>
      </c>
      <c r="C23">
        <v>304</v>
      </c>
      <c r="D23">
        <v>-142</v>
      </c>
      <c r="E23">
        <v>129</v>
      </c>
      <c r="F23" s="5"/>
      <c r="G23" s="5"/>
      <c r="I23" s="5"/>
    </row>
    <row r="24" spans="1:9" x14ac:dyDescent="0.45">
      <c r="A24" s="6" t="s">
        <v>46</v>
      </c>
      <c r="B24">
        <v>-104</v>
      </c>
      <c r="C24">
        <v>88</v>
      </c>
      <c r="D24">
        <v>-196</v>
      </c>
      <c r="E24">
        <v>224</v>
      </c>
      <c r="F24" s="5"/>
      <c r="G24" s="5"/>
      <c r="I24" s="5"/>
    </row>
    <row r="25" spans="1:9" x14ac:dyDescent="0.45">
      <c r="A25" s="6" t="s">
        <v>45</v>
      </c>
      <c r="B25">
        <v>-170</v>
      </c>
      <c r="C25">
        <v>176</v>
      </c>
      <c r="D25">
        <v>-159</v>
      </c>
      <c r="E25">
        <v>166</v>
      </c>
      <c r="F25" s="5"/>
      <c r="G25" s="5"/>
      <c r="I25" s="5"/>
    </row>
    <row r="26" spans="1:9" x14ac:dyDescent="0.45">
      <c r="A26" s="6" t="s">
        <v>44</v>
      </c>
      <c r="B26">
        <v>-232</v>
      </c>
      <c r="C26">
        <v>230</v>
      </c>
      <c r="D26">
        <v>-91</v>
      </c>
      <c r="E26">
        <v>99</v>
      </c>
      <c r="F26" s="5"/>
      <c r="G26" s="5"/>
      <c r="I26" s="5"/>
    </row>
    <row r="27" spans="1:9" x14ac:dyDescent="0.45">
      <c r="A27" s="6" t="s">
        <v>43</v>
      </c>
      <c r="B27">
        <v>-266</v>
      </c>
      <c r="C27">
        <v>266</v>
      </c>
      <c r="D27">
        <v>-56</v>
      </c>
      <c r="E27">
        <v>63</v>
      </c>
      <c r="F27" s="5"/>
      <c r="G27" s="5"/>
      <c r="I27" s="5"/>
    </row>
    <row r="28" spans="1:9" x14ac:dyDescent="0.45">
      <c r="A28" s="6" t="s">
        <v>42</v>
      </c>
      <c r="B28">
        <v>-306</v>
      </c>
      <c r="C28">
        <v>305</v>
      </c>
      <c r="D28">
        <v>-15</v>
      </c>
      <c r="E28">
        <v>23</v>
      </c>
      <c r="F28" s="5"/>
      <c r="G28" s="5"/>
      <c r="I28" s="5"/>
    </row>
    <row r="29" spans="1:9" x14ac:dyDescent="0.45">
      <c r="A29" s="6" t="s">
        <v>41</v>
      </c>
      <c r="B29">
        <v>-361</v>
      </c>
      <c r="C29">
        <v>344</v>
      </c>
      <c r="D29">
        <v>14</v>
      </c>
      <c r="E29">
        <v>-36</v>
      </c>
      <c r="F29" s="5"/>
      <c r="G29" s="5"/>
      <c r="I29" s="5"/>
    </row>
    <row r="30" spans="1:9" x14ac:dyDescent="0.45">
      <c r="A30" s="6" t="s">
        <v>40</v>
      </c>
      <c r="B30">
        <v>-280</v>
      </c>
      <c r="C30">
        <v>290</v>
      </c>
      <c r="D30">
        <v>73</v>
      </c>
      <c r="E30">
        <v>-42</v>
      </c>
      <c r="F30" s="5"/>
      <c r="G30" s="5"/>
      <c r="I30" s="5"/>
    </row>
    <row r="31" spans="1:9" x14ac:dyDescent="0.45">
      <c r="A31" s="6" t="s">
        <v>39</v>
      </c>
      <c r="B31">
        <v>-202</v>
      </c>
      <c r="C31">
        <v>207</v>
      </c>
      <c r="D31">
        <v>51</v>
      </c>
      <c r="E31">
        <v>-43</v>
      </c>
      <c r="F31" s="5"/>
      <c r="G31" s="5"/>
      <c r="I31" s="5"/>
    </row>
    <row r="32" spans="1:9" x14ac:dyDescent="0.45">
      <c r="A32" s="6" t="s">
        <v>38</v>
      </c>
      <c r="B32">
        <v>-100</v>
      </c>
      <c r="C32">
        <v>103</v>
      </c>
      <c r="D32">
        <v>61</v>
      </c>
      <c r="E32">
        <v>-53</v>
      </c>
      <c r="F32" s="5"/>
      <c r="G32" s="5"/>
      <c r="I32" s="5"/>
    </row>
    <row r="33" spans="1:9" x14ac:dyDescent="0.45">
      <c r="A33" s="6" t="s">
        <v>37</v>
      </c>
      <c r="B33">
        <v>-26</v>
      </c>
      <c r="C33">
        <v>22</v>
      </c>
      <c r="D33">
        <v>80</v>
      </c>
      <c r="E33">
        <v>-72</v>
      </c>
      <c r="F33" s="5"/>
      <c r="G33" s="5"/>
      <c r="I33" s="5"/>
    </row>
    <row r="34" spans="1:9" x14ac:dyDescent="0.45">
      <c r="A34" s="6" t="s">
        <v>36</v>
      </c>
      <c r="B34">
        <v>47</v>
      </c>
      <c r="C34">
        <v>-47</v>
      </c>
      <c r="D34">
        <v>71</v>
      </c>
      <c r="E34">
        <v>-66</v>
      </c>
      <c r="F34" s="5"/>
      <c r="G34" s="5"/>
      <c r="I34" s="5"/>
    </row>
    <row r="35" spans="1:9" x14ac:dyDescent="0.45">
      <c r="A35" s="6" t="s">
        <v>35</v>
      </c>
      <c r="B35">
        <v>120</v>
      </c>
      <c r="C35">
        <v>-120</v>
      </c>
      <c r="D35">
        <v>26</v>
      </c>
      <c r="E35">
        <v>-24</v>
      </c>
      <c r="F35" s="5"/>
      <c r="G35" s="5"/>
      <c r="I35" s="5"/>
    </row>
    <row r="36" spans="1:9" x14ac:dyDescent="0.45">
      <c r="A36" s="6" t="s">
        <v>34</v>
      </c>
      <c r="B36">
        <v>167</v>
      </c>
      <c r="C36">
        <v>-161</v>
      </c>
      <c r="D36">
        <v>-24</v>
      </c>
      <c r="E36">
        <v>35</v>
      </c>
      <c r="F36" s="5"/>
      <c r="G36" s="5"/>
      <c r="I36" s="5"/>
    </row>
    <row r="37" spans="1:9" x14ac:dyDescent="0.45">
      <c r="A37" s="6" t="s">
        <v>33</v>
      </c>
      <c r="B37">
        <v>157</v>
      </c>
      <c r="C37">
        <v>-172</v>
      </c>
      <c r="D37">
        <v>-57</v>
      </c>
      <c r="E37">
        <v>63</v>
      </c>
      <c r="F37" s="5"/>
      <c r="G37" s="5"/>
      <c r="I37" s="5"/>
    </row>
    <row r="38" spans="1:9" x14ac:dyDescent="0.45">
      <c r="A38" s="6" t="s">
        <v>32</v>
      </c>
      <c r="B38">
        <v>158</v>
      </c>
      <c r="C38">
        <v>-155</v>
      </c>
      <c r="D38">
        <v>-117</v>
      </c>
      <c r="E38">
        <v>124</v>
      </c>
      <c r="F38" s="5"/>
      <c r="G38" s="5"/>
      <c r="I38" s="5"/>
    </row>
    <row r="39" spans="1:9" x14ac:dyDescent="0.45">
      <c r="A39" s="6" t="s">
        <v>31</v>
      </c>
      <c r="B39">
        <v>96</v>
      </c>
      <c r="C39">
        <v>-96</v>
      </c>
      <c r="D39">
        <v>-133</v>
      </c>
      <c r="E39">
        <v>140</v>
      </c>
      <c r="F39" s="5"/>
      <c r="G39" s="5"/>
      <c r="I39" s="5"/>
    </row>
    <row r="40" spans="1:9" x14ac:dyDescent="0.45">
      <c r="A40" s="6" t="s">
        <v>30</v>
      </c>
      <c r="B40">
        <v>0</v>
      </c>
      <c r="C40">
        <v>-4</v>
      </c>
      <c r="D40">
        <v>-119</v>
      </c>
      <c r="E40">
        <v>127</v>
      </c>
      <c r="F40" s="5"/>
      <c r="G40" s="5"/>
      <c r="I40" s="5"/>
    </row>
    <row r="41" spans="1:9" x14ac:dyDescent="0.45">
      <c r="A41" s="6" t="s">
        <v>29</v>
      </c>
      <c r="B41">
        <v>-96</v>
      </c>
      <c r="C41">
        <v>99</v>
      </c>
      <c r="D41">
        <v>-63</v>
      </c>
      <c r="E41">
        <v>72</v>
      </c>
      <c r="F41" s="5"/>
      <c r="G41" s="5"/>
      <c r="I41" s="5"/>
    </row>
    <row r="42" spans="1:9" x14ac:dyDescent="0.45">
      <c r="A42" s="6" t="s">
        <v>28</v>
      </c>
      <c r="B42">
        <v>-77</v>
      </c>
      <c r="C42">
        <v>66</v>
      </c>
      <c r="D42">
        <v>-192</v>
      </c>
      <c r="E42">
        <v>196</v>
      </c>
      <c r="F42" s="5"/>
      <c r="G42" s="5"/>
      <c r="I42" s="5"/>
    </row>
    <row r="43" spans="1:9" x14ac:dyDescent="0.45">
      <c r="A43" s="6" t="s">
        <v>76</v>
      </c>
      <c r="B43">
        <v>-100</v>
      </c>
      <c r="C43">
        <v>106</v>
      </c>
      <c r="D43">
        <v>-130</v>
      </c>
      <c r="E43">
        <v>140</v>
      </c>
      <c r="F43" s="5"/>
      <c r="G43" s="5"/>
      <c r="I43" s="5"/>
    </row>
    <row r="44" spans="1:9" x14ac:dyDescent="0.45">
      <c r="A44" s="6" t="s">
        <v>75</v>
      </c>
      <c r="B44">
        <v>-136</v>
      </c>
      <c r="C44">
        <v>129</v>
      </c>
      <c r="D44">
        <v>-55</v>
      </c>
      <c r="E44">
        <v>62</v>
      </c>
      <c r="F44" s="5"/>
      <c r="G44" s="5"/>
      <c r="I44" s="5"/>
    </row>
    <row r="45" spans="1:9" x14ac:dyDescent="0.45">
      <c r="A45" s="6" t="s">
        <v>74</v>
      </c>
      <c r="B45">
        <v>-111</v>
      </c>
      <c r="C45">
        <v>111</v>
      </c>
      <c r="D45">
        <v>-26</v>
      </c>
      <c r="E45">
        <v>35</v>
      </c>
      <c r="F45" s="5"/>
      <c r="G45" s="5"/>
      <c r="I45" s="5"/>
    </row>
    <row r="46" spans="1:9" x14ac:dyDescent="0.45">
      <c r="A46" s="6" t="s">
        <v>73</v>
      </c>
      <c r="B46">
        <v>-55</v>
      </c>
      <c r="C46">
        <v>57</v>
      </c>
      <c r="D46">
        <v>-26</v>
      </c>
      <c r="E46">
        <v>33</v>
      </c>
      <c r="F46" s="5"/>
      <c r="G46" s="5"/>
      <c r="I46" s="5"/>
    </row>
    <row r="47" spans="1:9" x14ac:dyDescent="0.45">
      <c r="A47" s="6" t="s">
        <v>72</v>
      </c>
      <c r="B47">
        <v>-114</v>
      </c>
      <c r="C47">
        <v>119</v>
      </c>
      <c r="D47">
        <v>60</v>
      </c>
      <c r="E47">
        <v>-50</v>
      </c>
      <c r="F47" s="5"/>
      <c r="G47" s="5"/>
      <c r="I47" s="5"/>
    </row>
    <row r="48" spans="1:9" x14ac:dyDescent="0.45">
      <c r="A48" s="6" t="s">
        <v>71</v>
      </c>
      <c r="B48">
        <v>-166</v>
      </c>
      <c r="C48">
        <v>161</v>
      </c>
      <c r="D48">
        <v>167</v>
      </c>
      <c r="E48">
        <v>-160</v>
      </c>
      <c r="F48" s="5"/>
      <c r="G48" s="5"/>
      <c r="I48" s="5"/>
    </row>
    <row r="49" spans="1:9" x14ac:dyDescent="0.45">
      <c r="A49" s="6" t="s">
        <v>70</v>
      </c>
      <c r="B49">
        <v>-188</v>
      </c>
      <c r="C49">
        <v>188</v>
      </c>
      <c r="D49">
        <v>147</v>
      </c>
      <c r="E49">
        <v>-138</v>
      </c>
      <c r="F49" s="5"/>
      <c r="G49" s="5"/>
      <c r="I49" s="5"/>
    </row>
    <row r="50" spans="1:9" x14ac:dyDescent="0.45">
      <c r="A50" s="6" t="s">
        <v>69</v>
      </c>
      <c r="B50">
        <v>-194</v>
      </c>
      <c r="C50">
        <v>191</v>
      </c>
      <c r="D50">
        <v>147</v>
      </c>
      <c r="E50">
        <v>-137</v>
      </c>
      <c r="F50" s="5"/>
      <c r="G50" s="5"/>
      <c r="I50" s="5"/>
    </row>
    <row r="51" spans="1:9" x14ac:dyDescent="0.45">
      <c r="A51" s="6" t="s">
        <v>68</v>
      </c>
      <c r="B51">
        <v>-238</v>
      </c>
      <c r="C51">
        <v>240</v>
      </c>
      <c r="D51">
        <v>167</v>
      </c>
      <c r="E51">
        <v>-158</v>
      </c>
      <c r="F51" s="5"/>
      <c r="G51" s="5"/>
      <c r="I51" s="5"/>
    </row>
    <row r="52" spans="1:9" x14ac:dyDescent="0.45">
      <c r="A52" s="6" t="s">
        <v>77</v>
      </c>
      <c r="B52">
        <v>-268</v>
      </c>
      <c r="C52">
        <v>267</v>
      </c>
      <c r="D52">
        <v>197</v>
      </c>
      <c r="E52">
        <v>-188</v>
      </c>
      <c r="F52" s="5"/>
      <c r="G52" s="5"/>
      <c r="I52" s="5"/>
    </row>
    <row r="53" spans="1:9" x14ac:dyDescent="0.45">
      <c r="A53" s="6" t="s">
        <v>98</v>
      </c>
      <c r="B53">
        <v>-279</v>
      </c>
      <c r="C53">
        <v>273</v>
      </c>
      <c r="D53">
        <v>209</v>
      </c>
      <c r="E53">
        <v>-200</v>
      </c>
      <c r="F53" s="5"/>
      <c r="G53" s="5"/>
      <c r="I53" s="5"/>
    </row>
    <row r="54" spans="1:9" x14ac:dyDescent="0.45">
      <c r="B54" s="5"/>
      <c r="D54" s="5"/>
    </row>
  </sheetData>
  <sortState xmlns:xlrd2="http://schemas.microsoft.com/office/spreadsheetml/2017/richdata2" ref="A1:E54">
    <sortCondition ref="A1:A54"/>
  </sortState>
  <mergeCells count="1">
    <mergeCell ref="M1:N1"/>
  </mergeCells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1337DC-54AB-4E50-B173-F20ABB0302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Граф_Наблюдения</vt:lpstr>
      <vt:lpstr>"0" цикл 24.06</vt:lpstr>
      <vt:lpstr>21.10.24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2026-05-01T12:30:19Z</dcterms:modified>
</cp:coreProperties>
</file>